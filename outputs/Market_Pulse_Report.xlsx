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Projects\market-pulse\outputs\"/>
    </mc:Choice>
  </mc:AlternateContent>
  <xr:revisionPtr revIDLastSave="0" documentId="13_ncr:1_{8D64661B-0FC7-4BCC-AD24-E60B5BEAD026}" xr6:coauthVersionLast="47" xr6:coauthVersionMax="47" xr10:uidLastSave="{00000000-0000-0000-0000-000000000000}"/>
  <bookViews>
    <workbookView xWindow="28680" yWindow="-120" windowWidth="29040" windowHeight="15720" activeTab="5" xr2:uid="{5B430235-B1C7-4ED1-8A6D-E1852567F09E}"/>
  </bookViews>
  <sheets>
    <sheet name="Summary" sheetId="1" r:id="rId1"/>
    <sheet name="Performance" sheetId="5" r:id="rId2"/>
    <sheet name="Trend" sheetId="6" r:id="rId3"/>
    <sheet name="Fact" sheetId="2" r:id="rId4"/>
    <sheet name="DimDate" sheetId="3" r:id="rId5"/>
    <sheet name="DimCompany" sheetId="4" r:id="rId6"/>
  </sheets>
  <definedNames>
    <definedName name="ExternalData_1" localSheetId="5" hidden="1">DimCompany!$A$1:$E$6</definedName>
    <definedName name="ExternalData_1" localSheetId="4" hidden="1">DimDate!$A$1:$G$732</definedName>
    <definedName name="ExternalData_1" localSheetId="3" hidden="1">Fact!$A$1:$L$2504</definedName>
    <definedName name="Slicer_Ticker">#N/A</definedName>
  </definedNames>
  <calcPr calcId="191029"/>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399391-3F0C-4350-8681-21E772C3FFCC}"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2" xr16:uid="{E8DC1148-C328-49D3-90D7-7F491D1EB960}"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60DA99A1-6814-4D41-869C-DFAEE6553DC2}"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s>
</file>

<file path=xl/sharedStrings.xml><?xml version="1.0" encoding="utf-8"?>
<sst xmlns="http://schemas.openxmlformats.org/spreadsheetml/2006/main" count="4800" uniqueCount="82">
  <si>
    <t>Date</t>
  </si>
  <si>
    <t>Close</t>
  </si>
  <si>
    <t>High</t>
  </si>
  <si>
    <t>Low</t>
  </si>
  <si>
    <t>Open</t>
  </si>
  <si>
    <t>Volume</t>
  </si>
  <si>
    <t>Ticker</t>
  </si>
  <si>
    <t>DailyReturnPct</t>
  </si>
  <si>
    <t>GrowthOf100</t>
  </si>
  <si>
    <t>MA50</t>
  </si>
  <si>
    <t>Volatility30</t>
  </si>
  <si>
    <t>VolumeSpike</t>
  </si>
  <si>
    <t>AAPL</t>
  </si>
  <si>
    <t>JPM</t>
  </si>
  <si>
    <t>MSFT</t>
  </si>
  <si>
    <t>RELIANCE.NS</t>
  </si>
  <si>
    <t>TSLA</t>
  </si>
  <si>
    <t>Year</t>
  </si>
  <si>
    <t>Quarter</t>
  </si>
  <si>
    <t>MonthNum</t>
  </si>
  <si>
    <t>Month</t>
  </si>
  <si>
    <t>YearMonth</t>
  </si>
  <si>
    <t>Weekday</t>
  </si>
  <si>
    <t>Q3</t>
  </si>
  <si>
    <t>Jul</t>
  </si>
  <si>
    <t>Wednesday</t>
  </si>
  <si>
    <t>Thursday</t>
  </si>
  <si>
    <t>Friday</t>
  </si>
  <si>
    <t>Saturday</t>
  </si>
  <si>
    <t>Sunday</t>
  </si>
  <si>
    <t>Monday</t>
  </si>
  <si>
    <t>Tuesday</t>
  </si>
  <si>
    <t>Aug</t>
  </si>
  <si>
    <t>Sep</t>
  </si>
  <si>
    <t>Q4</t>
  </si>
  <si>
    <t>Oct</t>
  </si>
  <si>
    <t>Nov</t>
  </si>
  <si>
    <t>Dec</t>
  </si>
  <si>
    <t>Q1</t>
  </si>
  <si>
    <t>Jan</t>
  </si>
  <si>
    <t>Feb</t>
  </si>
  <si>
    <t>Mar</t>
  </si>
  <si>
    <t>Q2</t>
  </si>
  <si>
    <t>Apr</t>
  </si>
  <si>
    <t>May</t>
  </si>
  <si>
    <t>Jun</t>
  </si>
  <si>
    <t>Company</t>
  </si>
  <si>
    <t>Sector</t>
  </si>
  <si>
    <t>Country</t>
  </si>
  <si>
    <t>Currency</t>
  </si>
  <si>
    <t>Apple Inc.</t>
  </si>
  <si>
    <t>Technology</t>
  </si>
  <si>
    <t>USA</t>
  </si>
  <si>
    <t>USD</t>
  </si>
  <si>
    <t>Microsoft Corp.</t>
  </si>
  <si>
    <t>Tesla Inc.</t>
  </si>
  <si>
    <t>Consumer Discretionary</t>
  </si>
  <si>
    <t>JPMorgan Chase &amp; Co.</t>
  </si>
  <si>
    <t>Financials</t>
  </si>
  <si>
    <t>Reliance Industries</t>
  </si>
  <si>
    <t>Energy &amp; Conglomerate</t>
  </si>
  <si>
    <t>India</t>
  </si>
  <si>
    <t>INR</t>
  </si>
  <si>
    <t>Row Labels</t>
  </si>
  <si>
    <t>Grand Total</t>
  </si>
  <si>
    <t>Sum of VolumeSpike</t>
  </si>
  <si>
    <t>Average of DailyReturnPct</t>
  </si>
  <si>
    <t>Average of Volatility30</t>
  </si>
  <si>
    <t>2024</t>
  </si>
  <si>
    <t>2025</t>
  </si>
  <si>
    <t>2026</t>
  </si>
  <si>
    <t>Column Labels</t>
  </si>
  <si>
    <t>Average of GrowthOf100</t>
  </si>
  <si>
    <t>Market Pulse - Watchlist Review</t>
  </si>
  <si>
    <t>Key Findings</t>
  </si>
  <si>
    <t>JPM was the best performer: 100 invested two years ago is now 167. TSLA followed at 156 and AAPL at 141, while MSFT (86) and Reliance (85) both lost money — 2 of our 5 picks ended below where they started.</t>
  </si>
  <si>
    <r>
      <t xml:space="preserve">Within our watchlist, the bank beat all three tech names on cumulative return — despite TSLA having the </t>
    </r>
    <r>
      <rPr>
        <i/>
        <sz val="11"/>
        <color theme="1"/>
        <rFont val="Calibri"/>
        <family val="2"/>
        <scheme val="minor"/>
      </rPr>
      <t>highest average daily</t>
    </r>
    <r>
      <rPr>
        <sz val="11"/>
        <color theme="1"/>
        <rFont val="Calibri"/>
        <family val="2"/>
        <scheme val="minor"/>
      </rPr>
      <t xml:space="preserve"> return (0.16% vs JPM's 0.12%). TSLA's large swings eroded its compounding (volatility drag).</t>
    </r>
  </si>
  <si>
    <t>TSLA is by far the riskiest holding: average 30-day volatility of 3.6%, roughly 2.3× any other stock we track. Reliance is the calmest (1.3%) — but calm didn't pay this period.</t>
  </si>
  <si>
    <t>Reliance barely moves with the US stocks (return correlation 0.06–0.15). It's our only real diversifier: on days the US names fall together, it mostly doesn't follow.</t>
  </si>
  <si>
    <t>Four of five stocks saw their biggest single-day move on a volume spike — the exception was TSLA's +22.7% day, which cleared its (already huge) normal volume but not our 2× threshold. Both AAPL (+15.3%) and TSLA printed their biggest gains on 9 April 2025, the day the US announced its tariff pause — a market-wide event, visible right in our data.</t>
  </si>
  <si>
    <t>Period covered: 3 July 2024 – 3 July 2026 (daily data, 5 stocks)</t>
  </si>
  <si>
    <t>Data: Yahoo Finance API · Prices split/dividend adjusted · All returns in %, currency-neutral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</si>
</sst>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quotePrefix="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Alignment="1">
      <alignment wrapText="1"/>
    </xf>
    <xf numFmtId="0" fontId="2" fillId="2" borderId="0" xfId="0" applyFont="1" applyFill="1"/>
    <xf numFmtId="0" fontId="1" fillId="3" borderId="0" xfId="0" applyFont="1" applyFill="1"/>
  </cellXfs>
  <cellStyles count="1">
    <cellStyle name="Normal" xfId="0" builtinId="0"/>
  </cellStyles>
  <dxfs count="14">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[Market_Pulse_Report.xlsx]Trend!PivotTable2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Trend!$B$3:$B$4</c:f>
              <c:strCache>
                <c:ptCount val="1"/>
                <c:pt idx="0">
                  <c:v>AAPL</c:v>
                </c:pt>
              </c:strCache>
            </c:strRef>
          </c:tx>
          <c:spPr>
            <a:ln w="28575" cap="rnd">
              <a:solidFill>
                <a:schemeClr val="accent1"/>
              </a:solidFill>
              <a:round/>
            </a:ln>
            <a:effectLst/>
          </c:spPr>
          <c:marker>
            <c:symbol val="none"/>
          </c:marker>
          <c:cat>
            <c:multiLvlStrRef>
              <c:f>Trend!$A$5:$A$33</c:f>
              <c:multiLvlStrCache>
                <c:ptCount val="25"/>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lvl>
                <c:lvl>
                  <c:pt idx="0">
                    <c:v>2024</c:v>
                  </c:pt>
                  <c:pt idx="6">
                    <c:v>2025</c:v>
                  </c:pt>
                  <c:pt idx="18">
                    <c:v>2026</c:v>
                  </c:pt>
                </c:lvl>
              </c:multiLvlStrCache>
            </c:multiLvlStrRef>
          </c:cat>
          <c:val>
            <c:numRef>
              <c:f>Trend!$B$5:$B$33</c:f>
              <c:numCache>
                <c:formatCode>0.00</c:formatCode>
                <c:ptCount val="25"/>
                <c:pt idx="0">
                  <c:v>101.65087219654093</c:v>
                </c:pt>
                <c:pt idx="1">
                  <c:v>100.12011908386202</c:v>
                </c:pt>
                <c:pt idx="2">
                  <c:v>101.1135203906187</c:v>
                </c:pt>
                <c:pt idx="3">
                  <c:v>103.95954896025938</c:v>
                </c:pt>
                <c:pt idx="4">
                  <c:v>103.03024854937264</c:v>
                </c:pt>
                <c:pt idx="5">
                  <c:v>112.78992542435765</c:v>
                </c:pt>
                <c:pt idx="6">
                  <c:v>106.12364209701755</c:v>
                </c:pt>
                <c:pt idx="7">
                  <c:v>107.995111862607</c:v>
                </c:pt>
                <c:pt idx="8">
                  <c:v>100.85820472163303</c:v>
                </c:pt>
                <c:pt idx="9">
                  <c:v>91.112606866671257</c:v>
                </c:pt>
                <c:pt idx="10">
                  <c:v>92.472178605850743</c:v>
                </c:pt>
                <c:pt idx="11">
                  <c:v>90.882998006364275</c:v>
                </c:pt>
                <c:pt idx="12">
                  <c:v>95.810882000834866</c:v>
                </c:pt>
                <c:pt idx="13">
                  <c:v>101.95661248528516</c:v>
                </c:pt>
                <c:pt idx="14">
                  <c:v>110.08653432091445</c:v>
                </c:pt>
                <c:pt idx="15">
                  <c:v>117.23250189958314</c:v>
                </c:pt>
                <c:pt idx="16">
                  <c:v>123.41785019723896</c:v>
                </c:pt>
                <c:pt idx="17">
                  <c:v>125.56218541604522</c:v>
                </c:pt>
                <c:pt idx="18">
                  <c:v>117.08392805015924</c:v>
                </c:pt>
                <c:pt idx="19">
                  <c:v>122.40682909479557</c:v>
                </c:pt>
                <c:pt idx="20">
                  <c:v>115.94575343861725</c:v>
                </c:pt>
                <c:pt idx="21">
                  <c:v>120.44940177926485</c:v>
                </c:pt>
                <c:pt idx="22">
                  <c:v>135.42748474692891</c:v>
                </c:pt>
                <c:pt idx="23">
                  <c:v>134.78729560013329</c:v>
                </c:pt>
                <c:pt idx="24">
                  <c:v>137.26778950685411</c:v>
                </c:pt>
              </c:numCache>
            </c:numRef>
          </c:val>
          <c:smooth val="0"/>
          <c:extLst>
            <c:ext xmlns:c16="http://schemas.microsoft.com/office/drawing/2014/chart" uri="{C3380CC4-5D6E-409C-BE32-E72D297353CC}">
              <c16:uniqueId val="{00000000-1B64-4A58-83EA-B68A54844EBA}"/>
            </c:ext>
          </c:extLst>
        </c:ser>
        <c:dLbls>
          <c:showLegendKey val="0"/>
          <c:showVal val="0"/>
          <c:showCatName val="0"/>
          <c:showSerName val="0"/>
          <c:showPercent val="0"/>
          <c:showBubbleSize val="0"/>
        </c:dLbls>
        <c:smooth val="0"/>
        <c:axId val="1797486128"/>
        <c:axId val="1797487088"/>
      </c:lineChart>
      <c:catAx>
        <c:axId val="17974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87088"/>
        <c:crosses val="autoZero"/>
        <c:auto val="1"/>
        <c:lblAlgn val="ctr"/>
        <c:lblOffset val="100"/>
        <c:noMultiLvlLbl val="0"/>
      </c:catAx>
      <c:valAx>
        <c:axId val="1797487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8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681990</xdr:colOff>
      <xdr:row>4</xdr:row>
      <xdr:rowOff>116204</xdr:rowOff>
    </xdr:from>
    <xdr:to>
      <xdr:col>8</xdr:col>
      <xdr:colOff>64770</xdr:colOff>
      <xdr:row>20</xdr:row>
      <xdr:rowOff>144780</xdr:rowOff>
    </xdr:to>
    <xdr:graphicFrame macro="">
      <xdr:nvGraphicFramePr>
        <xdr:cNvPr id="2" name="Chart 1">
          <a:extLst>
            <a:ext uri="{FF2B5EF4-FFF2-40B4-BE49-F238E27FC236}">
              <a16:creationId xmlns:a16="http://schemas.microsoft.com/office/drawing/2014/main" id="{DBBA95B5-AFB1-1E06-6678-A882D8887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83820</xdr:colOff>
      <xdr:row>4</xdr:row>
      <xdr:rowOff>116205</xdr:rowOff>
    </xdr:from>
    <xdr:to>
      <xdr:col>11</xdr:col>
      <xdr:colOff>78105</xdr:colOff>
      <xdr:row>18</xdr:row>
      <xdr:rowOff>36195</xdr:rowOff>
    </xdr:to>
    <mc:AlternateContent xmlns:mc="http://schemas.openxmlformats.org/markup-compatibility/2006">
      <mc:Choice xmlns:a14="http://schemas.microsoft.com/office/drawing/2010/main" Requires="a14">
        <xdr:graphicFrame macro="">
          <xdr:nvGraphicFramePr>
            <xdr:cNvPr id="3" name="Ticker">
              <a:extLst>
                <a:ext uri="{FF2B5EF4-FFF2-40B4-BE49-F238E27FC236}">
                  <a16:creationId xmlns:a16="http://schemas.microsoft.com/office/drawing/2014/main" id="{80F2946C-5689-95AB-696A-DD6BA1AC95E6}"/>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dr:sp macro="" textlink="">
          <xdr:nvSpPr>
            <xdr:cNvPr id="0" name=""/>
            <xdr:cNvSpPr>
              <a:spLocks noTextEdit="1"/>
            </xdr:cNvSpPr>
          </xdr:nvSpPr>
          <xdr:spPr>
            <a:xfrm>
              <a:off x="8486775" y="840105"/>
              <a:ext cx="1821180" cy="245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hank" refreshedDate="46209.511169791665" createdVersion="8" refreshedVersion="8" minRefreshableVersion="3" recordCount="2503" xr:uid="{4DBA796C-6B39-4803-8CF9-4E12CE2007DC}">
  <cacheSource type="worksheet">
    <worksheetSource name="fact_daily_prices"/>
  </cacheSource>
  <cacheFields count="17">
    <cacheField name="Date" numFmtId="14">
      <sharedItems containsSemiMixedTypes="0" containsNonDate="0" containsDate="1" containsString="0" minDate="2024-07-03T00:00:00" maxDate="2026-07-04T00:00:00" count="52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2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22T00:00:00"/>
        <d v="2026-06-23T00:00:00"/>
        <d v="2026-06-24T00:00:00"/>
        <d v="2026-06-25T00:00:00"/>
        <d v="2026-06-26T00:00:00"/>
        <d v="2026-06-29T00:00:00"/>
        <d v="2026-06-30T00:00:00"/>
        <d v="2026-07-01T00:00:00"/>
        <d v="2026-07-02T00:00:00"/>
        <d v="2024-07-04T00:00:00"/>
        <d v="2024-09-02T00:00:00"/>
        <d v="2024-11-28T00:00:00"/>
        <d v="2025-01-01T00:00:00"/>
        <d v="2025-01-09T00:00:00"/>
        <d v="2025-01-20T00:00:00"/>
        <d v="2025-02-01T00:00:00"/>
        <d v="2025-02-17T00:00:00"/>
        <d v="2025-05-26T00:00:00"/>
        <d v="2025-06-19T00:00:00"/>
        <d v="2025-07-04T00:00:00"/>
        <d v="2025-09-01T00:00:00"/>
        <d v="2025-11-27T00:00:00"/>
        <d v="2026-01-01T00:00:00"/>
        <d v="2026-01-19T00:00:00"/>
        <d v="2026-02-16T00:00:00"/>
        <d v="2026-05-25T00:00:00"/>
        <d v="2026-06-19T00:00:00"/>
        <d v="2026-07-03T00:00:00"/>
      </sharedItems>
      <fieldGroup par="16"/>
    </cacheField>
    <cacheField name="Close" numFmtId="0">
      <sharedItems containsSemiMixedTypes="0" containsString="0" containsNumber="1" minValue="171.51376342773438" maxValue="1584.9718017578125"/>
    </cacheField>
    <cacheField name="High" numFmtId="0">
      <sharedItems containsSemiMixedTypes="0" containsString="0" containsNumber="1" minValue="189.10813588433089" maxValue="1604.3820104615531"/>
    </cacheField>
    <cacheField name="Low" numFmtId="0">
      <sharedItems containsSemiMixedTypes="0" containsString="0" containsNumber="1" minValue="168.32064359895526" maxValue="1570.9365970213464"/>
    </cacheField>
    <cacheField name="Open" numFmtId="0">
      <sharedItems containsSemiMixedTypes="0" containsString="0" containsNumber="1" minValue="171.04621878540135" maxValue="1585.6684856930358"/>
    </cacheField>
    <cacheField name="Volume" numFmtId="0">
      <sharedItems containsSemiMixedTypes="0" containsString="0" containsNumber="1" containsInteger="1" minValue="0" maxValue="318679900"/>
    </cacheField>
    <cacheField name="Ticker" numFmtId="0">
      <sharedItems count="5">
        <s v="AAPL"/>
        <s v="JPM"/>
        <s v="MSFT"/>
        <s v="RELIANCE.NS"/>
        <s v="TSLA"/>
      </sharedItems>
    </cacheField>
    <cacheField name="DailyReturnPct" numFmtId="0">
      <sharedItems containsString="0" containsBlank="1" containsNumber="1" minValue="-15.426206822195109" maxValue="22.689989839624513"/>
    </cacheField>
    <cacheField name="GrowthOf100" numFmtId="0">
      <sharedItems containsSemiMixedTypes="0" containsString="0" containsNumber="1" minValue="75.098213980182919" maxValue="194.76781033772025"/>
    </cacheField>
    <cacheField name="MA50" numFmtId="0">
      <sharedItems containsString="0" containsBlank="1" containsNumber="1" minValue="200.33813446044923" maxValue="1527.3043701171875"/>
    </cacheField>
    <cacheField name="Volatility30" numFmtId="0">
      <sharedItems containsString="0" containsBlank="1" containsNumber="1" minValue="0.63966680049748281" maxValue="7.179917578653443" count="2352">
        <m/>
        <n v="1.6536753960412409"/>
        <n v="1.6092538363881876"/>
        <n v="1.6047229410581059"/>
        <n v="1.6039710007653276"/>
        <n v="1.5635115860401039"/>
        <n v="1.5125487211685962"/>
        <n v="1.5049633965774383"/>
        <n v="1.4704606022216513"/>
        <n v="1.4721201790164513"/>
        <n v="1.403179763268902"/>
        <n v="1.373951734167139"/>
        <n v="1.3762866801892859"/>
        <n v="1.4681665442736245"/>
        <n v="1.4735018732397478"/>
        <n v="1.378313932320645"/>
        <n v="1.3819510634943397"/>
        <n v="1.381655846507265"/>
        <n v="1.3836955416625851"/>
        <n v="1.3982474908848999"/>
        <n v="1.3720228948927267"/>
        <n v="1.3345083215975"/>
        <n v="1.4264777375073827"/>
        <n v="1.1051212017320744"/>
        <n v="1.1255576889165586"/>
        <n v="1.2816183922304405"/>
        <n v="1.2595340806792159"/>
        <n v="1.2532990683779452"/>
        <n v="1.2498659628094262"/>
        <n v="1.2184592595704502"/>
        <n v="1.2207630511667431"/>
        <n v="1.1974178960340249"/>
        <n v="1.2620295108975383"/>
        <n v="1.3774621499992004"/>
        <n v="1.3773215201476425"/>
        <n v="1.380351663474243"/>
        <n v="1.3742677097017646"/>
        <n v="1.422828055889938"/>
        <n v="1.464567643733522"/>
        <n v="1.4950849146884857"/>
        <n v="1.4899369924329935"/>
        <n v="1.4707756961587222"/>
        <n v="1.5004150228728663"/>
        <n v="1.4175639446110537"/>
        <n v="1.4181567991841875"/>
        <n v="1.4147273123006896"/>
        <n v="1.4183828268493042"/>
        <n v="1.4199295454511875"/>
        <n v="1.4185916981332671"/>
        <n v="1.472996195183834"/>
        <n v="1.4734399636582682"/>
        <n v="1.4733057846117048"/>
        <n v="1.3709177708674707"/>
        <n v="1.3711592822060314"/>
        <n v="1.3768600202804271"/>
        <n v="1.248119091983982"/>
        <n v="1.2695932290626888"/>
        <n v="1.2646125103950916"/>
        <n v="1.268561213222259"/>
        <n v="1.267530772072514"/>
        <n v="1.3256707058858865"/>
        <n v="1.3256957052681837"/>
        <n v="1.2700295773491903"/>
        <n v="1.1548816539928131"/>
        <n v="1.1563574579844533"/>
        <n v="1.1798864701013905"/>
        <n v="1.2059190441363723"/>
        <n v="1.1534243549965086"/>
        <n v="1.1058902408955995"/>
        <n v="1.0641913327195895"/>
        <n v="1.0641340552497498"/>
        <n v="1.0620347213720949"/>
        <n v="1.0458868304810949"/>
        <n v="1.0405708388544306"/>
        <n v="1.0264438220463978"/>
        <n v="1.0414631690570475"/>
        <n v="1.0321936249956409"/>
        <n v="1.0508277662581951"/>
        <n v="1.0486881768792993"/>
        <n v="0.95749909578753145"/>
        <n v="0.9574987987011423"/>
        <n v="0.99210921591505941"/>
        <n v="0.98554579490049243"/>
        <n v="0.994303921794358"/>
        <n v="0.94227761699179691"/>
        <n v="0.85793872292866835"/>
        <n v="0.81254166988065857"/>
        <n v="0.80417194873009812"/>
        <n v="0.93167305551642021"/>
        <n v="0.92455358091414575"/>
        <n v="0.90895013933609614"/>
        <n v="0.90416748226057375"/>
        <n v="0.86163667850011216"/>
        <n v="0.85754210926121877"/>
        <n v="0.91904007547014632"/>
        <n v="0.95463435231534965"/>
        <n v="0.91806894368433323"/>
        <n v="1.0482732837277875"/>
        <n v="1.0510414897323683"/>
        <n v="1.0542106059410654"/>
        <n v="1.0809059464625377"/>
        <n v="1.0783847035189982"/>
        <n v="1.1560862597023238"/>
        <n v="1.1606174195354515"/>
        <n v="1.1638350092547536"/>
        <n v="1.2050283893109146"/>
        <n v="1.4000104686848738"/>
        <n v="1.3847610887668509"/>
        <n v="1.4887062671789173"/>
        <n v="1.4952869003738392"/>
        <n v="1.4953138043086289"/>
        <n v="1.4529134154872423"/>
        <n v="1.583483972398015"/>
        <n v="1.7340911976284321"/>
        <n v="1.7324033303057043"/>
        <n v="1.7359212489232236"/>
        <n v="1.7207634100182581"/>
        <n v="1.8012111955249954"/>
        <n v="1.8210211147333712"/>
        <n v="1.8131947254821987"/>
        <n v="1.7726757541801756"/>
        <n v="1.810392914904196"/>
        <n v="1.7903714071307737"/>
        <n v="1.8476276838836545"/>
        <n v="1.8789093151270193"/>
        <n v="1.9087777276046363"/>
        <n v="1.9220293242496054"/>
        <n v="1.8599494942786843"/>
        <n v="1.8595868725176963"/>
        <n v="1.8569895971040793"/>
        <n v="1.8438317890917628"/>
        <n v="1.8455039330051932"/>
        <n v="1.7848910830812728"/>
        <n v="1.848308240182605"/>
        <n v="1.8625881124498533"/>
        <n v="1.860710205248072"/>
        <n v="1.7219663063499149"/>
        <n v="1.7283393209300384"/>
        <n v="1.6133339717226629"/>
        <n v="1.6135595313872522"/>
        <n v="1.6328574828424656"/>
        <n v="1.8766727236532923"/>
        <n v="1.8608368740564372"/>
        <n v="1.7412552353472761"/>
        <n v="1.8223110590351297"/>
        <n v="1.8661269231783761"/>
        <n v="1.8678867634137875"/>
        <n v="1.776558781885978"/>
        <n v="1.7433856291068093"/>
        <n v="1.7440504378539308"/>
        <n v="1.7873250712386251"/>
        <n v="1.7535345940604099"/>
        <n v="1.7732394139576138"/>
        <n v="1.7300686242753676"/>
        <n v="1.7050485649020537"/>
        <n v="1.7138386164976167"/>
        <n v="1.7395789943915902"/>
        <n v="1.7449224919628725"/>
        <n v="1.7464762085391494"/>
        <n v="2.3869441056169936"/>
        <n v="2.6766603027764089"/>
        <n v="2.7121140733772808"/>
        <n v="2.8010024953555872"/>
        <n v="4.093330489839297"/>
        <n v="4.1468444298878424"/>
        <n v="4.2106157892168259"/>
        <n v="4.2362541363149742"/>
        <n v="4.2357228520052201"/>
        <n v="4.2818445359426462"/>
        <n v="4.296234735324199"/>
        <n v="4.2852320459161666"/>
        <n v="4.269495617735747"/>
        <n v="4.2701256695507421"/>
        <n v="4.2746405956416442"/>
        <n v="4.2290597482353887"/>
        <n v="4.2168970794025489"/>
        <n v="4.2176446581944216"/>
        <n v="4.2170314545927141"/>
        <n v="4.2122090211475003"/>
        <n v="4.267842779985247"/>
        <n v="4.2867820540299375"/>
        <n v="4.2792186088393542"/>
        <n v="4.2706594491969838"/>
        <n v="4.2693583565833979"/>
        <n v="4.2706711937122259"/>
        <n v="4.4126354668464378"/>
        <n v="4.4017098347738246"/>
        <n v="4.4007852798904352"/>
        <n v="4.4006018309967665"/>
        <n v="4.0473927807550947"/>
        <n v="3.7924390909093741"/>
        <n v="3.7435551542526788"/>
        <n v="3.6386882902604305"/>
        <n v="2.3459785884745212"/>
        <n v="2.2784896125254277"/>
        <n v="2.2030000391051119"/>
        <n v="2.1655966840918977"/>
        <n v="2.1657478160871557"/>
        <n v="2.03860020256317"/>
        <n v="2.0255750001523003"/>
        <n v="1.9887620269017903"/>
        <n v="1.8945387314493367"/>
        <n v="1.8516848498821243"/>
        <n v="1.8171687073949627"/>
        <n v="1.8168873808696162"/>
        <n v="1.8191465690754447"/>
        <n v="1.8449383854876744"/>
        <n v="1.8404602687709148"/>
        <n v="1.8494811533692614"/>
        <n v="1.7409638918733223"/>
        <n v="1.6629462073386836"/>
        <n v="1.6653243337474042"/>
        <n v="1.7009589551590714"/>
        <n v="1.7010716220366919"/>
        <n v="1.6937093861453358"/>
        <n v="1.2201748675376205"/>
        <n v="1.2005703880014338"/>
        <n v="1.20111212697833"/>
        <n v="1.2656821409178505"/>
        <n v="1.2906725659393616"/>
        <n v="1.3556258339629421"/>
        <n v="1.2980057737047872"/>
        <n v="1.2625894372375794"/>
        <n v="1.2593083525745823"/>
        <n v="1.1088176857059711"/>
        <n v="1.0258938752162139"/>
        <n v="1.0359291171455214"/>
        <n v="1.063976219471729"/>
        <n v="1.0625869435239501"/>
        <n v="1.0634098080758223"/>
        <n v="1.0637870454670086"/>
        <n v="1.0637473701331439"/>
        <n v="1.0415019634551841"/>
        <n v="1.0486588803448937"/>
        <n v="1.0499021074424322"/>
        <n v="1.0494995133186988"/>
        <n v="0.97216204408910312"/>
        <n v="0.97263571779340596"/>
        <n v="0.96802845318633302"/>
        <n v="0.98521370389794771"/>
        <n v="0.95453749557979195"/>
        <n v="1.0724032708904538"/>
        <n v="0.99626964288468223"/>
        <n v="0.99654425531373447"/>
        <n v="1.351392678608911"/>
        <n v="1.4544438510954301"/>
        <n v="1.6167151410352241"/>
        <n v="1.6322101457904949"/>
        <n v="1.6089966137966158"/>
        <n v="1.6159716564396704"/>
        <n v="1.5824778523304939"/>
        <n v="1.5891777317555968"/>
        <n v="1.5495496493601513"/>
        <n v="1.5510255991612514"/>
        <n v="1.6060393545481535"/>
        <n v="1.6100171815027942"/>
        <n v="1.6141489143378713"/>
        <n v="1.5935960731359928"/>
        <n v="1.5978822377155306"/>
        <n v="1.5979318782810426"/>
        <n v="1.5995019051029815"/>
        <n v="1.6020009307425822"/>
        <n v="1.6203735034220472"/>
        <n v="1.7414380932176727"/>
        <n v="1.7392181803673896"/>
        <n v="1.737761615880153"/>
        <n v="1.7495780094763469"/>
        <n v="1.781628149599914"/>
        <n v="1.8743879566461901"/>
        <n v="1.8693849875206421"/>
        <n v="1.8758883218822597"/>
        <n v="1.7962095269351497"/>
        <n v="1.7962120901857646"/>
        <n v="1.7909412027127634"/>
        <n v="1.5819755632142498"/>
        <n v="1.5834400956470387"/>
        <n v="1.5896783379968091"/>
        <n v="1.585044164104898"/>
        <n v="1.5946809369922765"/>
        <n v="1.6007606913650347"/>
        <n v="1.6056129683305571"/>
        <n v="1.6037984415512687"/>
        <n v="1.6001542035967466"/>
        <n v="1.5975748194171011"/>
        <n v="1.5364161275367725"/>
        <n v="1.5264490730494711"/>
        <n v="1.5289602162744245"/>
        <n v="1.5265572291690157"/>
        <n v="1.5250090642794574"/>
        <n v="1.5440826594417989"/>
        <n v="1.6871439703604927"/>
        <n v="1.6915401236042442"/>
        <n v="1.6749105622714533"/>
        <n v="1.5380275003526771"/>
        <n v="1.5451228631556526"/>
        <n v="1.5807247482258511"/>
        <n v="1.7119301450918738"/>
        <n v="1.6773264661463143"/>
        <n v="1.5816815923860474"/>
        <n v="1.5708173829508139"/>
        <n v="1.5585529941488279"/>
        <n v="1.5910302146254642"/>
        <n v="1.5920446277356517"/>
        <n v="1.5922669685418083"/>
        <n v="1.5839176878069254"/>
        <n v="1.5023188713267432"/>
        <n v="1.3070856522413181"/>
        <n v="1.2982937637537602"/>
        <n v="1.2838968451099304"/>
        <n v="1.2504715762052807"/>
        <n v="1.2492000772967489"/>
        <n v="1.245364240978504"/>
        <n v="1.2952470836161105"/>
        <n v="1.3059673439461532"/>
        <n v="1.305766728898361"/>
        <n v="1.3075965092246995"/>
        <n v="1.3527165091016218"/>
        <n v="1.3523468428231098"/>
        <n v="1.3528889908750263"/>
        <n v="1.3503926184132171"/>
        <n v="1.2038942226873259"/>
        <n v="1.2215161842961781"/>
        <n v="1.2199559044096713"/>
        <n v="1.2194020025428149"/>
        <n v="1.2007569594317604"/>
        <n v="1.1840474042147868"/>
        <n v="0.98742189733195984"/>
        <n v="1.0045204889880701"/>
        <n v="0.97903030218230691"/>
        <n v="0.99424318183762728"/>
        <n v="0.98086431910457361"/>
        <n v="0.90096354190294725"/>
        <n v="0.90495095132332315"/>
        <n v="0.90740526991831483"/>
        <n v="0.90204005311892543"/>
        <n v="0.94429656271863083"/>
        <n v="0.93895687167854269"/>
        <n v="0.95763453717623026"/>
        <n v="0.95780484640739316"/>
        <n v="0.96169802433148333"/>
        <n v="0.97573595067341057"/>
        <n v="0.9766476779287"/>
        <n v="0.8967903699844717"/>
        <n v="0.88925112529067862"/>
        <n v="0.88878233642694993"/>
        <n v="0.88924506083637944"/>
        <n v="0.82491631427216328"/>
        <n v="0.82762492489510164"/>
        <n v="0.86435545896428678"/>
        <n v="0.91409988168992318"/>
        <n v="0.83994608114464009"/>
        <n v="0.77262477703185672"/>
        <n v="0.76734715594577751"/>
        <n v="0.77019004110343381"/>
        <n v="0.76583832143327757"/>
        <n v="0.69213830947200894"/>
        <n v="0.64479602386372448"/>
        <n v="0.65393857382922416"/>
        <n v="0.85352207660365509"/>
        <n v="0.86461961324099257"/>
        <n v="0.87326435189132656"/>
        <n v="0.8741815561476669"/>
        <n v="1.0540166309230949"/>
        <n v="1.0848362883310632"/>
        <n v="1.086263411470286"/>
        <n v="1.0748724259669478"/>
        <n v="1.0794914018157356"/>
        <n v="1.3162660393262737"/>
        <n v="1.3163866702539719"/>
        <n v="1.3981047782042308"/>
        <n v="1.3855042193404346"/>
        <n v="1.3896747577355009"/>
        <n v="1.4050810720233793"/>
        <n v="1.4063340150413235"/>
        <n v="1.4112088857787961"/>
        <n v="1.6840323174599794"/>
        <n v="1.7285172277838603"/>
        <n v="1.8332451908565734"/>
        <n v="1.8167369581042661"/>
        <n v="1.8041765663178198"/>
        <n v="1.8193785972653858"/>
        <n v="1.8186089265126868"/>
        <n v="1.8597144198503202"/>
        <n v="1.8626234560055155"/>
        <n v="1.8663648530100216"/>
        <n v="1.9638838942742076"/>
        <n v="1.9588763911104858"/>
        <n v="1.9491815901484817"/>
        <n v="1.8326386559733219"/>
        <n v="1.8427946716594916"/>
        <n v="1.857224896468775"/>
        <n v="1.8621571720608707"/>
        <n v="1.7864868385905441"/>
        <n v="1.7758749173038617"/>
        <n v="1.8078417974140577"/>
        <n v="1.8467396796178039"/>
        <n v="1.8564625640104686"/>
        <n v="1.6908854909220992"/>
        <n v="1.7130467872833248"/>
        <n v="1.6272856778117357"/>
        <n v="1.6271474360753391"/>
        <n v="1.6456039779665772"/>
        <n v="1.6390410768335972"/>
        <n v="1.6434861734682797"/>
        <n v="1.6358730293762875"/>
        <n v="1.3982532430920751"/>
        <n v="1.3476896690063036"/>
        <n v="1.3262557761623828"/>
        <n v="1.3342486924773036"/>
        <n v="1.3110124589735488"/>
        <n v="1.2967095133260869"/>
        <n v="1.3403455603146943"/>
        <n v="1.3337708999985036"/>
        <n v="1.3303811885736769"/>
        <n v="1.3294161562164351"/>
        <n v="1.1994994025503973"/>
        <n v="1.1985701613847404"/>
        <n v="1.3161325462021627"/>
        <n v="1.3306887376089227"/>
        <n v="1.3997888576615252"/>
        <n v="1.389684294508563"/>
        <n v="1.4679725761637801"/>
        <n v="1.5391103989111916"/>
        <n v="1.5388256224854666"/>
        <n v="1.4872186660648232"/>
        <n v="1.4829434012556477"/>
        <n v="1.4845602397809041"/>
        <n v="1.4853873428369051"/>
        <n v="1.4416295234518477"/>
        <n v="1.5324702318582173"/>
        <n v="1.5533162486689043"/>
        <n v="1.5977802033597961"/>
        <n v="1.6020164232399188"/>
        <n v="1.6044023901305147"/>
        <n v="1.6292211310281859"/>
        <n v="1.5842617734816384"/>
        <n v="1.5612082352834016"/>
        <n v="1.5079760725450317"/>
        <n v="1.5142929055191585"/>
        <n v="1.5124556537525342"/>
        <n v="1.5274140587087697"/>
        <n v="1.4496933698458077"/>
        <n v="1.4232520471039811"/>
        <n v="1.4248469572757501"/>
        <n v="1.4268281696587579"/>
        <n v="1.4194717021135002"/>
        <n v="1.4131196241083255"/>
        <n v="1.3440064956879081"/>
        <n v="1.3130141149292098"/>
        <n v="1.3279467253312554"/>
        <n v="1.3990107804771035"/>
        <n v="1.3377741447206579"/>
        <n v="1.2775245370020294"/>
        <n v="1.3133850662750464"/>
        <n v="1.3769496393851672"/>
        <n v="1.4935206969591581"/>
        <n v="1.4845574152820877"/>
        <n v="1.4958304064355503"/>
        <n v="1.5326157111725436"/>
        <n v="1.4570670757706441"/>
        <n v="1.4391644303930999"/>
        <n v="1.387177562148507"/>
        <n v="1.3777549800536455"/>
        <n v="1.3801417263851579"/>
        <n v="1.3431079198010554"/>
        <n v="1.3452418081482731"/>
        <n v="1.7420280716719612"/>
        <n v="1.8249980580149987"/>
        <n v="1.8278691830130969"/>
        <n v="1.8211763466570303"/>
        <n v="2.0069883956305659"/>
        <n v="2.1941074947190913"/>
        <n v="1.6353690234310712"/>
        <n v="1.6244761634210287"/>
        <n v="1.6273856766897634"/>
        <n v="1.6192501976639879"/>
        <n v="1.6193084045822113"/>
        <n v="1.6252309561448413"/>
        <n v="1.6079689770473278"/>
        <n v="1.5504269591125937"/>
        <n v="1.5241025939100212"/>
        <n v="1.5028371876764524"/>
        <n v="1.3719297200109497"/>
        <n v="1.381910559985982"/>
        <n v="1.441256041708006"/>
        <n v="1.4453136477223638"/>
        <n v="1.4441279371960656"/>
        <n v="1.5161168147979414"/>
        <n v="1.5298519889770323"/>
        <n v="1.8045032553879508"/>
        <n v="1.7678263605153626"/>
        <n v="1.7581938534137584"/>
        <n v="1.7204695324728003"/>
        <n v="1.5557913055696526"/>
        <n v="1.4969022609713789"/>
        <n v="1.4290500460700042"/>
        <n v="1.4482245166794858"/>
        <n v="1.4145523828115125"/>
        <n v="1.4078740784258013"/>
        <n v="1.4077802968543869"/>
        <n v="1.406938526389593"/>
        <n v="1.3931072600188676"/>
        <n v="1.3897392843773455"/>
        <n v="1.373206786371002"/>
        <n v="1.4029779929424409"/>
        <n v="1.4024118930772584"/>
        <n v="1.4114213829891933"/>
        <n v="1.5533260101064963"/>
        <n v="1.5454753492819082"/>
        <n v="1.5428546580010878"/>
        <n v="1.5598575791873124"/>
        <n v="1.5564099008766075"/>
        <n v="1.7620082866436468"/>
        <n v="1.7503076022127217"/>
        <n v="1.7108255265651324"/>
        <n v="1.7103840379234361"/>
        <n v="1.7028601866677935"/>
        <n v="1.6358115844304517"/>
        <n v="1.6148134501685818"/>
        <n v="1.2652503624250635"/>
        <n v="1.2629646120121307"/>
        <n v="1.2580515371001066"/>
        <n v="1.2613678243545681"/>
        <n v="1.2509166118257617"/>
        <n v="1.2763456082899989"/>
        <n v="1.2626491538326841"/>
        <n v="1.2689146896201022"/>
        <n v="1.2693470340966992"/>
        <n v="1.2868911001733949"/>
        <n v="1.291721243109446"/>
        <n v="2.434268605648171"/>
        <n v="2.5916138400571231"/>
        <n v="2.5917924021061047"/>
        <n v="2.5929931513751785"/>
        <n v="2.5580687828534843"/>
        <n v="2.5569407380228597"/>
        <n v="2.540776353656383"/>
        <n v="2.4846722222000976"/>
        <n v="2.4844617135933387"/>
        <n v="2.4938165820055418"/>
        <n v="2.5033130684656797"/>
        <n v="2.5011703135468393"/>
        <n v="2.4434312559148927"/>
        <n v="2.4396690220213268"/>
        <n v="2.4418408086648871"/>
        <n v="2.4432932616381637"/>
        <n v="2.444516402813774"/>
        <n v="2.465829998197298"/>
        <n v="2.4582603072939642"/>
        <n v="2.4637239582643295"/>
        <n v="2.4650353656193578"/>
        <n v="2.4662995859936414"/>
        <n v="2.4720280410385107"/>
        <n v="2.4639067840175013"/>
        <n v="2.4502159947295641"/>
        <n v="2.4580077052881313"/>
        <n v="2.4506240542407025"/>
        <n v="2.4513854076944619"/>
        <n v="2.4447986260967438"/>
        <n v="2.5316004372935654"/>
        <n v="1.3592287918739467"/>
        <n v="1.1727687808715255"/>
        <n v="1.1733885705881684"/>
        <n v="1.1981567430722526"/>
        <n v="1.1993137787354493"/>
        <n v="1.2036812124007998"/>
        <n v="1.2105275845188079"/>
        <n v="1.1799426052369268"/>
        <n v="1.1804215630892549"/>
        <n v="1.2000488487916434"/>
        <n v="1.1902202724532769"/>
        <n v="1.2024527846577224"/>
        <n v="1.0428284490780209"/>
        <n v="1.0585929661789428"/>
        <n v="1.1155854305572102"/>
        <n v="1.1440329719805087"/>
        <n v="1.199717307587687"/>
        <n v="1.1741481376753333"/>
        <n v="1.2102661871853957"/>
        <n v="1.2224816246116579"/>
        <n v="1.2192544295874905"/>
        <n v="1.2276670298161634"/>
        <n v="1.1925867557924335"/>
        <n v="1.1913074093986356"/>
        <n v="1.1889115023546377"/>
        <n v="1.1735812796405016"/>
        <n v="1.1586872034787778"/>
        <n v="1.1624337045166011"/>
        <n v="1.155246831090549"/>
        <n v="0.91252715187164446"/>
        <n v="0.90880674711181841"/>
        <n v="0.93379134142887465"/>
        <n v="0.94858186871587624"/>
        <n v="1.0072002079642606"/>
        <n v="1.0255459753830611"/>
        <n v="0.99987534152805035"/>
        <n v="0.97300839141083817"/>
        <n v="0.97386519823305884"/>
        <n v="0.97964498266177835"/>
        <n v="0.97686324344643838"/>
        <n v="1.3211752613609"/>
        <n v="1.3369529105250726"/>
        <n v="1.3597630237730132"/>
        <n v="1.3668133688885655"/>
        <n v="1.3360023952087232"/>
        <n v="1.3188116114073734"/>
        <n v="1.3282204928163353"/>
        <n v="1.3581348097216184"/>
        <n v="1.5033427433314723"/>
        <n v="1.4778093401506101"/>
        <n v="1.51559600166149"/>
        <n v="1.5170457496491092"/>
        <n v="1.6723909914759756"/>
        <n v="1.6731148073530859"/>
        <n v="1.6631525134701335"/>
        <n v="1.6665698286232915"/>
        <n v="1.7922164742093174"/>
        <n v="1.8034181358413348"/>
        <n v="1.809982983993017"/>
        <n v="1.847263416260738"/>
        <n v="1.8323011630450157"/>
        <n v="1.7788166622535579"/>
        <n v="1.8666814810231125"/>
        <n v="1.8689902699238161"/>
        <n v="1.8419827085969878"/>
        <n v="1.8466210355848132"/>
        <n v="1.8707161044303271"/>
        <n v="1.8866121324383243"/>
        <n v="1.8628294206752978"/>
        <n v="1.8784183929005411"/>
        <n v="2.1070941006032178"/>
        <n v="2.463680982050386"/>
        <n v="2.5104721282754427"/>
        <n v="2.5240131694692551"/>
        <n v="2.9667381784796567"/>
        <n v="3.0098331994606746"/>
        <n v="3.0812068715937344"/>
        <n v="3.0733965318514254"/>
        <n v="2.9945484736044037"/>
        <n v="3.0013747249268876"/>
        <n v="2.9913028317890777"/>
        <n v="2.9842133105358366"/>
        <n v="2.9327143043198274"/>
        <n v="2.9448541884089399"/>
        <n v="2.9508896956831396"/>
        <n v="2.941061639749829"/>
        <n v="2.8905271574254958"/>
        <n v="2.8902173005482421"/>
        <n v="2.8901141669222827"/>
        <n v="2.87851475239512"/>
        <n v="2.9037022289344634"/>
        <n v="2.8994676443248699"/>
        <n v="2.8742086863660208"/>
        <n v="2.8658347513744422"/>
        <n v="2.880575046247019"/>
        <n v="2.8713362930647586"/>
        <n v="2.8776046081917617"/>
        <n v="2.8788172776522476"/>
        <n v="2.8757046521739533"/>
        <n v="2.8746892966606397"/>
        <n v="2.5234415375203536"/>
        <n v="2.0408987946185997"/>
        <n v="2.0331940192684907"/>
        <n v="2.0697205161418961"/>
        <n v="1.5268865040624713"/>
        <n v="1.3833569516254904"/>
        <n v="1.2388329886308642"/>
        <n v="1.2403450657708255"/>
        <n v="1.2238686656865012"/>
        <n v="1.1736242282810552"/>
        <n v="1.1696012527899795"/>
        <n v="1.1233228286087336"/>
        <n v="1.0530829315182004"/>
        <n v="1.0161917489707879"/>
        <n v="1.0113012743080672"/>
        <n v="1.0020411087209886"/>
        <n v="1.000853167175511"/>
        <n v="1.0039158645460391"/>
        <n v="1.0035755568528981"/>
        <n v="1.034624369325539"/>
        <n v="1.019493621898572"/>
        <n v="1.0236528963990332"/>
        <n v="1.0133556765472853"/>
        <n v="1.0121661204225554"/>
        <n v="0.99545253613699547"/>
        <n v="1.0006918592234573"/>
        <n v="0.90210634852532989"/>
        <n v="0.92317525963543212"/>
        <n v="0.92748182614826757"/>
        <n v="0.93334717331061201"/>
        <n v="0.93239553745283654"/>
        <n v="0.90148284334816675"/>
        <n v="0.94104310375644928"/>
        <n v="0.93521168257649068"/>
        <n v="1.1344162178179005"/>
        <n v="1.1336155958371996"/>
        <n v="1.1344922506246768"/>
        <n v="1.1287244847068876"/>
        <n v="1.1303828008941901"/>
        <n v="1.1441068906484613"/>
        <n v="1.1485095870550364"/>
        <n v="1.166205869785639"/>
        <n v="1.1485916785878199"/>
        <n v="1.1293264947026169"/>
        <n v="1.1115762749692393"/>
        <n v="1.1447928822363937"/>
        <n v="1.1460065031952207"/>
        <n v="1.1433430976297838"/>
        <n v="1.1452066003076022"/>
        <n v="1.1152377470179733"/>
        <n v="1.0757423996529447"/>
        <n v="1.1035919307758011"/>
        <n v="1.1764524211165928"/>
        <n v="1.2070676767147452"/>
        <n v="1.2138320923523247"/>
        <n v="1.2022508400306233"/>
        <n v="1.1915317654848645"/>
        <n v="1.1680754773507609"/>
        <n v="1.1635186451198238"/>
        <n v="1.1682900870111006"/>
        <n v="1.1782160411992348"/>
        <n v="1.19580649723889"/>
        <n v="1.1677556595881755"/>
        <n v="1.143414210658831"/>
        <n v="0.97941121848378521"/>
        <n v="0.98280338691600655"/>
        <n v="0.93282740563199251"/>
        <n v="0.97162043540287846"/>
        <n v="0.9715849679345121"/>
        <n v="0.98151068351676529"/>
        <n v="0.97876573323698779"/>
        <n v="0.95305166476127656"/>
        <n v="0.95085924948540912"/>
        <n v="0.95842020864126254"/>
        <n v="0.95883450612328991"/>
        <n v="0.93692253747625698"/>
        <n v="1.1032957391759279"/>
        <n v="1.0981247553473854"/>
        <n v="1.1432618094972278"/>
        <n v="1.1519877344183453"/>
        <n v="1.1806054212598063"/>
        <n v="1.160065015039569"/>
        <n v="1.0673274687320475"/>
        <n v="1.0308685098177752"/>
        <n v="1.0139260792090405"/>
        <n v="1.0138493046777377"/>
        <n v="1.0137233817074867"/>
        <n v="1.0083513510216098"/>
        <n v="1.0088370102251574"/>
        <n v="0.99523593375207331"/>
        <n v="0.97740719654488506"/>
        <n v="0.96572221711195683"/>
        <n v="0.92677301619879171"/>
        <n v="0.92901019443187893"/>
        <n v="0.97858301635736145"/>
        <n v="1.0023788070040662"/>
        <n v="1.0052599402162989"/>
        <n v="0.96857000600813015"/>
        <n v="0.96923317996708136"/>
        <n v="0.97736808294067923"/>
        <n v="0.97701883242335497"/>
        <n v="0.99206887210252637"/>
        <n v="1.0798058297290811"/>
        <n v="1.1346661915100278"/>
        <n v="1.1534819213541045"/>
        <n v="1.2062328144529921"/>
        <n v="1.0600389079367274"/>
        <n v="1.0914743327822221"/>
        <n v="1.102138252632487"/>
        <n v="1.1040281153694607"/>
        <n v="1.0561635802875746"/>
        <n v="1.1203412252464813"/>
        <n v="1.1379044956335471"/>
        <n v="1.1403888713433927"/>
        <n v="1.1292512651805577"/>
        <n v="1.1516339204704762"/>
        <n v="1.152405213692538"/>
        <n v="1.1490453971191408"/>
        <n v="1.1488737847970067"/>
        <n v="1.1574897362711947"/>
        <n v="1.1619060936996102"/>
        <n v="1.1527433994949516"/>
        <n v="1.1628189229980257"/>
        <n v="1.1653808018868554"/>
        <n v="1.1596288213855661"/>
        <n v="1.3131716238171123"/>
        <n v="1.3513391897564928"/>
        <n v="1.3630999683740772"/>
        <n v="1.36180123459681"/>
        <n v="1.3674640211396123"/>
        <n v="1.3988219831965187"/>
        <n v="1.3866515310623093"/>
        <n v="1.3121752500227761"/>
        <n v="1.3049924050166599"/>
        <n v="1.3168394295146353"/>
        <n v="1.2749347219929286"/>
        <n v="1.3011390609658673"/>
        <n v="1.2730602965858462"/>
        <n v="1.2472899935681576"/>
        <n v="1.2425136283487184"/>
        <n v="1.2469781002435927"/>
        <n v="1.2014681379058056"/>
        <n v="1.4727149909964339"/>
        <n v="1.5849393379715901"/>
        <n v="1.6386950907756681"/>
        <n v="1.6250199266729997"/>
        <n v="1.6244106856059588"/>
        <n v="1.6432116795978506"/>
        <n v="1.6437821201667093"/>
        <n v="1.6429582102555829"/>
        <n v="1.6579381669708826"/>
        <n v="1.6900292627715752"/>
        <n v="1.6904328062875085"/>
        <n v="1.6951404882046921"/>
        <n v="1.6778536312531465"/>
        <n v="1.565478802885629"/>
        <n v="1.5176414660742874"/>
        <n v="1.5024951931270156"/>
        <n v="1.5048935088278492"/>
        <n v="1.5546852868732881"/>
        <n v="1.5111170871600783"/>
        <n v="1.5865900242044433"/>
        <n v="1.5879664309075816"/>
        <n v="1.5711914476350661"/>
        <n v="1.554723385859929"/>
        <n v="1.8546751995921049"/>
        <n v="1.8469809897818898"/>
        <n v="1.8473324418568033"/>
        <n v="1.8398495439987643"/>
        <n v="1.9110654358381245"/>
        <n v="1.9107384211250518"/>
        <n v="1.9140589909601902"/>
        <n v="1.7472874783314094"/>
        <n v="1.6549490637090236"/>
        <n v="1.5909449481969173"/>
        <n v="1.5890849140528815"/>
        <n v="1.6287507383001083"/>
        <n v="1.6108093245675028"/>
        <n v="1.6174258896171032"/>
        <n v="1.6630302077097552"/>
        <n v="1.6508155153489565"/>
        <n v="1.6639714807901538"/>
        <n v="1.8141392154673224"/>
        <n v="1.8043206746303904"/>
        <n v="1.8154842822831234"/>
        <n v="1.8502783921179018"/>
        <n v="1.8503760626695553"/>
        <n v="1.9082288873058444"/>
        <n v="1.9211717434211337"/>
        <n v="1.8531542834525638"/>
        <n v="1.8461511124353023"/>
        <n v="1.8170559302919598"/>
        <n v="1.9513265431000022"/>
        <n v="1.9514978817282236"/>
        <n v="1.9971755222980832"/>
        <n v="1.7375701449171375"/>
        <n v="1.762981292155863"/>
        <n v="1.7667088281541339"/>
        <n v="1.7639333706592804"/>
        <n v="1.6714514935058378"/>
        <n v="1.7079008418572876"/>
        <n v="1.7201116896024575"/>
        <n v="1.686654673148571"/>
        <n v="1.6724837780489996"/>
        <n v="1.6732202671866052"/>
        <n v="1.6937291593141253"/>
        <n v="1.6501477702655414"/>
        <n v="1.66477542657127"/>
        <n v="1.6576754933276878"/>
        <n v="1.5981854301903655"/>
        <n v="1.5874053670864918"/>
        <n v="1.5456059147244599"/>
        <n v="1.3571630771173089"/>
        <n v="1.3742643046933638"/>
        <n v="1.385308464837943"/>
        <n v="1.3423200205203309"/>
        <n v="1.4367697965392243"/>
        <n v="1.369778187910202"/>
        <n v="1.5114528291662699"/>
        <n v="1.5097454396269991"/>
        <n v="1.5098168552873192"/>
        <n v="1.5078432496458243"/>
        <n v="1.3015450136346618"/>
        <n v="1.3012604211555197"/>
        <n v="1.4812728759846623"/>
        <n v="1.4735379518123424"/>
        <n v="1.4395875342537643"/>
        <n v="1.425447533720233"/>
        <n v="1.4993764505471854"/>
        <n v="1.5138833755721195"/>
        <n v="1.4614233827072018"/>
        <n v="1.4710103627668936"/>
        <n v="1.4991922418778543"/>
        <n v="1.4944628194084317"/>
        <n v="1.4945591708610748"/>
        <n v="1.4746778608420164"/>
        <n v="1.481157767469649"/>
        <n v="1.4782239563470165"/>
        <n v="1.4898379499314072"/>
        <n v="1.5011894120070945"/>
        <n v="1.5040556238490623"/>
        <n v="1.5350929828571311"/>
        <n v="1.5267980618304051"/>
        <n v="1.5485874243628504"/>
        <n v="1.6357813201065128"/>
        <n v="1.6385220395636984"/>
        <n v="1.5349880486694096"/>
        <n v="1.5561616012921133"/>
        <n v="1.4504616049310877"/>
        <n v="1.4496570075984192"/>
        <n v="1.4553801374461925"/>
        <n v="1.4588686291028177"/>
        <n v="1.4881658966153968"/>
        <n v="1.5382536649526823"/>
        <n v="1.3103854300739322"/>
        <n v="1.3280222187327633"/>
        <n v="1.3070298146122694"/>
        <n v="1.3763606408615083"/>
        <n v="1.3123828079854898"/>
        <n v="1.2983781501305147"/>
        <n v="1.3058455822930486"/>
        <n v="1.269817726695267"/>
        <n v="1.2530132053531418"/>
        <n v="1.4035209187896627"/>
        <n v="1.4040479225179825"/>
        <n v="1.3908057311288236"/>
        <n v="1.3797925062581138"/>
        <n v="1.3959226722331626"/>
        <n v="1.4130750770134368"/>
        <n v="1.4553406700847902"/>
        <n v="1.4569941525596981"/>
        <n v="1.5637612157311742"/>
        <n v="1.5648510601472063"/>
        <n v="1.6144005400766646"/>
        <n v="1.5528689986109749"/>
        <n v="1.5241942728302995"/>
        <n v="1.5152501339819722"/>
        <n v="1.4967288165240693"/>
        <n v="1.5100641149526091"/>
        <n v="1.508454430288602"/>
        <n v="1.5067639412023839"/>
        <n v="1.5355023100703995"/>
        <n v="1.4877174724781783"/>
        <n v="1.472512200785425"/>
        <n v="1.4354292675144973"/>
        <n v="1.4490144425340605"/>
        <n v="1.4464700818864427"/>
        <n v="1.4104032380607132"/>
        <n v="1.3885839139599312"/>
        <n v="1.3926555972634693"/>
        <n v="1.3941855168304866"/>
        <n v="1.3897331761796101"/>
        <n v="1.378623380066315"/>
        <n v="1.384280416033874"/>
        <n v="1.3963991962113853"/>
        <n v="1.4013235726732534"/>
        <n v="1.3956966059952707"/>
        <n v="1.2468708452805999"/>
        <n v="1.2033956688480929"/>
        <n v="1.1763638826181775"/>
        <n v="1.2426787425891488"/>
        <n v="1.2966133226449599"/>
        <n v="1.29010922210462"/>
        <n v="1.2952922719528364"/>
        <n v="1.2276826193046637"/>
        <n v="1.0444141774636577"/>
        <n v="1.0605842138373245"/>
        <n v="1.0925073387011106"/>
        <n v="1.1016632008539511"/>
        <n v="1.1031931064443266"/>
        <n v="1.1259022150091809"/>
        <n v="1.0902904773858153"/>
        <n v="1.0872005465972647"/>
        <n v="1.07996759265455"/>
        <n v="1.0756896182533255"/>
        <n v="1.1492214968288228"/>
        <n v="1.1496079885104518"/>
        <n v="1.1495686663271416"/>
        <n v="1.0876009581923118"/>
        <n v="1.1289592432910418"/>
        <n v="1.144747393162606"/>
        <n v="1.1507963558178671"/>
        <n v="1.1433476347452893"/>
        <n v="1.1384635112176167"/>
        <n v="1.1312918399083101"/>
        <n v="1.0753821857740202"/>
        <n v="1.0825000053669716"/>
        <n v="1.0819964919810727"/>
        <n v="1.033339891494633"/>
        <n v="1.0204697974228356"/>
        <n v="1.0201029747931694"/>
        <n v="0.95491648428112352"/>
        <n v="0.93903187243643382"/>
        <n v="0.93793976346459818"/>
        <n v="0.9393526907413442"/>
        <n v="0.95425308055642588"/>
        <n v="0.93649558991073012"/>
        <n v="1.4010999734396776"/>
        <n v="1.4149868068180449"/>
        <n v="1.4153554653252227"/>
        <n v="1.41645537010727"/>
        <n v="1.4681876124330819"/>
        <n v="1.4879634069151051"/>
        <n v="1.4866324587546607"/>
        <n v="1.4944640299241572"/>
        <n v="1.4552868074855692"/>
        <n v="1.4482413594089707"/>
        <n v="1.4488153731687132"/>
        <n v="1.541224063137314"/>
        <n v="1.508387026074598"/>
        <n v="1.4936848400120526"/>
        <n v="1.4925414238256693"/>
        <n v="1.4929488853128441"/>
        <n v="1.5041342800076172"/>
        <n v="1.5010931196444925"/>
        <n v="1.5527276219303081"/>
        <n v="1.5644836762410101"/>
        <n v="1.5644436789935805"/>
        <n v="1.5945645203015255"/>
        <n v="1.5946037334301153"/>
        <n v="1.5714181152022328"/>
        <n v="1.5766443896494009"/>
        <n v="1.5764912972651313"/>
        <n v="1.57361628390423"/>
        <n v="1.5769352924521729"/>
        <n v="1.5774300955506675"/>
        <n v="1.5774328639756001"/>
        <n v="1.0687011404482096"/>
        <n v="1.0682134211421377"/>
        <n v="1.0587510839057825"/>
        <n v="1.2960634822853729"/>
        <n v="1.2461087158459034"/>
        <n v="1.2291111574854456"/>
        <n v="1.2228560726319031"/>
        <n v="1.2106886925362785"/>
        <n v="1.1977122158094997"/>
        <n v="1.2422024795149438"/>
        <n v="1.2654140410641319"/>
        <n v="1.1621437464095548"/>
        <n v="1.1700507355492562"/>
        <n v="1.1846851104984288"/>
        <n v="1.1927233700323994"/>
        <n v="1.2159054655160211"/>
        <n v="1.2065177040323281"/>
        <n v="1.2304892771819249"/>
        <n v="1.1608036972403259"/>
        <n v="1.1439384577037401"/>
        <n v="1.2393397710280789"/>
        <n v="1.1966250158868483"/>
        <n v="1.2130575177162077"/>
        <n v="1.1817027965629598"/>
        <n v="1.3923588128245252"/>
        <n v="1.3920358299786992"/>
        <n v="1.3930062416213191"/>
        <n v="1.4430756791931221"/>
        <n v="1.5235821774284972"/>
        <n v="1.5361519683696372"/>
        <n v="1.9011880928388358"/>
        <n v="1.8884269717286872"/>
        <n v="1.8851556579799571"/>
        <n v="1.77264144755873"/>
        <n v="1.7741031431886947"/>
        <n v="1.7798347505380359"/>
        <n v="1.79577649818711"/>
        <n v="1.7895920758679893"/>
        <n v="1.7895264995346547"/>
        <n v="1.7676848231802087"/>
        <n v="1.7560535798754453"/>
        <n v="1.7531126162517785"/>
        <n v="1.7506831455238077"/>
        <n v="1.7534590555962695"/>
        <n v="1.7444263869967265"/>
        <n v="1.7629149591012045"/>
        <n v="1.7671187151303194"/>
        <n v="1.7717814096400828"/>
        <n v="1.7744330421296908"/>
        <n v="1.8004474448965295"/>
        <n v="1.7439442833458494"/>
        <n v="1.7788950686702627"/>
        <n v="1.7624530690795897"/>
        <n v="1.8748488686136384"/>
        <n v="1.6919151662250975"/>
        <n v="1.692081293402327"/>
        <n v="1.7752125009509243"/>
        <n v="1.7503345491453586"/>
        <n v="1.6500317652558558"/>
        <n v="1.65116466050146"/>
        <n v="1.3603992240944991"/>
        <n v="1.3605108094029628"/>
        <n v="1.3686140576103241"/>
        <n v="1.3866586808763712"/>
        <n v="1.3845087470196258"/>
        <n v="1.3986101065831458"/>
        <n v="1.3822461181319254"/>
        <n v="1.380978457995057"/>
        <n v="1.3979319541060906"/>
        <n v="1.3967743198419103"/>
        <n v="1.4881963920876433"/>
        <n v="1.4922198723951674"/>
        <n v="1.5367895576460713"/>
        <n v="1.512360658182506"/>
        <n v="1.5523048641070383"/>
        <n v="1.6363719802773915"/>
        <n v="1.6323902541840898"/>
        <n v="1.6199156510803832"/>
        <n v="2.3665715042557967"/>
        <n v="2.3823199910373019"/>
        <n v="2.3986109992464066"/>
        <n v="2.3659844226640043"/>
        <n v="2.3681642340461275"/>
        <n v="2.3802059545761414"/>
        <n v="2.3802150368143717"/>
        <n v="2.4090253002145108"/>
        <n v="2.376139925975949"/>
        <n v="2.4084887470101979"/>
        <n v="2.4876391657406463"/>
        <n v="2.4842865178395694"/>
        <n v="2.4414617976922672"/>
        <n v="2.4446651278590243"/>
        <n v="2.4304328386544789"/>
        <n v="2.7861165480964458"/>
        <n v="2.8066538506724106"/>
        <n v="2.8036778235293638"/>
        <n v="2.8102380075055162"/>
        <n v="2.8107777239057414"/>
        <n v="2.7962741476856254"/>
        <n v="2.7963741487456999"/>
        <n v="2.740839392930432"/>
        <n v="2.7289051926423604"/>
        <n v="2.7202284738350624"/>
        <n v="2.7187144982432545"/>
        <n v="2.6614112071963372"/>
        <n v="2.5374107556787235"/>
        <n v="2.5308738578643095"/>
        <n v="2.5549718930508738"/>
        <n v="2.0181833699627116"/>
        <n v="1.9672927891011505"/>
        <n v="1.9797776743081901"/>
        <n v="1.989757984990095"/>
        <n v="1.9795257258697341"/>
        <n v="1.8096319561359209"/>
        <n v="1.7804248706726724"/>
        <n v="1.6833658080233065"/>
        <n v="1.670050931034186"/>
        <n v="1.6530727547072472"/>
        <n v="1.5734610485624372"/>
        <n v="1.5707692611402646"/>
        <n v="1.5750406509383721"/>
        <n v="1.5757249916361533"/>
        <n v="1.5795644556932873"/>
        <n v="0.90277136077247955"/>
        <n v="0.83121465876496992"/>
        <n v="0.83723048880306261"/>
        <n v="0.81714083703367846"/>
        <n v="0.833048853374173"/>
        <n v="0.86420693555188266"/>
        <n v="0.86761204267403169"/>
        <n v="0.77954402045386673"/>
        <n v="0.78811305457067016"/>
        <n v="0.79111666788011148"/>
        <n v="0.79095591605797588"/>
        <n v="0.83081158733160487"/>
        <n v="0.82280731333671664"/>
        <n v="0.85511818574063525"/>
        <n v="0.81273002191391963"/>
        <n v="0.81783592193009447"/>
        <n v="0.80163430526432067"/>
        <n v="0.72307504186051685"/>
        <n v="0.6975854654223953"/>
        <n v="0.70104939121386023"/>
        <n v="0.70243262065717982"/>
        <n v="0.70539215783106934"/>
        <n v="0.72391097216067335"/>
        <n v="0.73350045675219244"/>
        <n v="0.72941080150228466"/>
        <n v="0.76083269743702509"/>
        <n v="0.75950254828077823"/>
        <n v="0.76261939887439079"/>
        <n v="0.76418469912577636"/>
        <n v="0.74363992395180345"/>
        <n v="0.71840490085342201"/>
        <n v="0.70895294160546829"/>
        <n v="0.97533534128886312"/>
        <n v="1.0497395403704877"/>
        <n v="1.0911616101455317"/>
        <n v="1.1087496094511613"/>
        <n v="1.1130867477777895"/>
        <n v="1.1275579462105318"/>
        <n v="1.1159177908799385"/>
        <n v="1.1132006608501137"/>
        <n v="1.136511258524409"/>
        <n v="1.1626682660635956"/>
        <n v="1.1606911178811337"/>
        <n v="1.1371361863907083"/>
        <n v="1.143186549575629"/>
        <n v="1.1763778957523783"/>
        <n v="1.1609890744100726"/>
        <n v="1.1586099729242765"/>
        <n v="1.1616068029386712"/>
        <n v="1.1670822812548975"/>
        <n v="1.1654726280549947"/>
        <n v="1.178251449150576"/>
        <n v="1.1619380172590257"/>
        <n v="1.1653180270349803"/>
        <n v="1.1665970939453203"/>
        <n v="1.1536390735650184"/>
        <n v="1.1572125656415073"/>
        <n v="1.233681011479018"/>
        <n v="1.2354667423407952"/>
        <n v="1.2353738872766209"/>
        <n v="1.2383076243104405"/>
        <n v="1.2382922355251338"/>
        <n v="1.0435820773584636"/>
        <n v="1.0197516515154696"/>
        <n v="0.94899928527873334"/>
        <n v="0.91772867787090362"/>
        <n v="0.91502738812084738"/>
        <n v="0.97248658976018321"/>
        <n v="0.97877220796517062"/>
        <n v="0.99487150688634107"/>
        <n v="0.95514889509644851"/>
        <n v="0.91630980380156801"/>
        <n v="0.92941073411497732"/>
        <n v="0.93447784454173444"/>
        <n v="0.9361208003018523"/>
        <n v="0.89756487541719732"/>
        <n v="0.89656205203796013"/>
        <n v="0.89672428969453755"/>
        <n v="0.97036099367318773"/>
        <n v="0.97900956901164693"/>
        <n v="0.97301624487055716"/>
        <n v="0.96776750347248319"/>
        <n v="1.0497984047233593"/>
        <n v="1.0489920941693192"/>
        <n v="1.047149997455729"/>
        <n v="1.0472704845540053"/>
        <n v="1.0461680941727531"/>
        <n v="0.92679787480853637"/>
        <n v="0.92639153278809472"/>
        <n v="0.92628261869220274"/>
        <n v="0.92835386757875005"/>
        <n v="0.92866725669748396"/>
        <n v="0.88026838569614319"/>
        <n v="0.90056044149219017"/>
        <n v="0.92708032486140002"/>
        <n v="0.92880416171338442"/>
        <n v="1.0869625690522755"/>
        <n v="1.0745636988308116"/>
        <n v="1.0674345004952654"/>
        <n v="1.0546490735033325"/>
        <n v="1.0860557539885727"/>
        <n v="1.1396581076415335"/>
        <n v="1.1259618348858351"/>
        <n v="1.1740883646222429"/>
        <n v="1.1717984271751316"/>
        <n v="1.1737555067134837"/>
        <n v="1.1981793514412213"/>
        <n v="1.225170502420498"/>
        <n v="1.1544652000927216"/>
        <n v="1.2401313775698259"/>
        <n v="1.2559291833453448"/>
        <n v="1.2797833662530067"/>
        <n v="1.244313583517991"/>
        <n v="1.2399883384431536"/>
        <n v="1.2502759227239013"/>
        <n v="1.3031340313672353"/>
        <n v="1.3313938437961115"/>
        <n v="1.3390454353520118"/>
        <n v="1.3399792542392552"/>
        <n v="1.4045136790839106"/>
        <n v="1.4064957209024915"/>
        <n v="1.4121575922215499"/>
        <n v="1.4453513788286372"/>
        <n v="1.411381883206424"/>
        <n v="1.4177729113418824"/>
        <n v="1.4406427155935833"/>
        <n v="1.3643134183839547"/>
        <n v="1.3482411984326266"/>
        <n v="1.3526093676077422"/>
        <n v="1.3521370122407306"/>
        <n v="1.3767260813924191"/>
        <n v="1.3348369120418004"/>
        <n v="1.3350981145509278"/>
        <n v="1.2888812461804868"/>
        <n v="1.2849738617112432"/>
        <n v="1.2799274864839725"/>
        <n v="1.2525807893314338"/>
        <n v="1.2223590306503536"/>
        <n v="1.2262116782155557"/>
        <n v="1.1938021320852401"/>
        <n v="1.1714141071674942"/>
        <n v="1.1579964604178263"/>
        <n v="1.1447688704946382"/>
        <n v="1.1634842836544947"/>
        <n v="1.1587969620144019"/>
        <n v="1.1124033209228394"/>
        <n v="1.1052538236388614"/>
        <n v="1.1685142392634689"/>
        <n v="1.159322409967638"/>
        <n v="1.0878150856533302"/>
        <n v="1.0937543685700597"/>
        <n v="1.1513384936387947"/>
        <n v="1.1488676325631371"/>
        <n v="1.3182153512069328"/>
        <n v="1.2400277189340734"/>
        <n v="1.2920127880686541"/>
        <n v="1.2783560806266761"/>
        <n v="2.2311543596352514"/>
        <n v="2.2296509240128297"/>
        <n v="2.2414502534004281"/>
        <n v="2.2532496461149574"/>
        <n v="2.2585634106339278"/>
        <n v="2.3988830576816222"/>
        <n v="2.4370825615224612"/>
        <n v="2.5262417704900848"/>
        <n v="2.5261425454593178"/>
        <n v="2.5423430702737151"/>
        <n v="2.5392481077522415"/>
        <n v="2.5404889943631059"/>
        <n v="2.5241980428981763"/>
        <n v="2.5326626259023599"/>
        <n v="2.5134931707906971"/>
        <n v="2.4957966936322751"/>
        <n v="2.5393440135192988"/>
        <n v="2.5567787415469017"/>
        <n v="2.6415354347084219"/>
        <n v="2.6408756624343055"/>
        <n v="2.6369584952104956"/>
        <n v="2.6608997281196798"/>
        <n v="2.6728539735478796"/>
        <n v="2.6717127854845568"/>
        <n v="2.662727556475335"/>
        <n v="2.6410482547532586"/>
        <n v="2.5547601620782734"/>
        <n v="2.5432852140193911"/>
        <n v="2.4946016866995273"/>
        <n v="2.490822751420557"/>
        <n v="1.7581778207923937"/>
        <n v="1.7739997762799322"/>
        <n v="1.7545453151324544"/>
        <n v="1.7116667459817916"/>
        <n v="1.7066993836616353"/>
        <n v="1.4872679452182545"/>
        <n v="1.4417687141180182"/>
        <n v="1.378598471360754"/>
        <n v="1.3779613724635542"/>
        <n v="1.3494751163854091"/>
        <n v="1.407231160170378"/>
        <n v="1.4182685549777998"/>
        <n v="1.5452842292052165"/>
        <n v="1.5358504084101043"/>
        <n v="1.55529882262992"/>
        <n v="1.5551951006770364"/>
        <n v="1.4473639551527566"/>
        <n v="1.4327126460370696"/>
        <n v="1.3077619202871964"/>
        <n v="1.3057388653704045"/>
        <n v="1.4332860731931809"/>
        <n v="1.4696256605728073"/>
        <n v="1.6806416262811474"/>
        <n v="1.7245891944940976"/>
        <n v="1.7117312183689839"/>
        <n v="1.7238707365551003"/>
        <n v="1.7417385350579695"/>
        <n v="1.7673542086319365"/>
        <n v="1.9256023418574688"/>
        <n v="1.9532280640051112"/>
        <n v="1.9247342428637919"/>
        <n v="1.9237083586796104"/>
        <n v="1.9388205306626427"/>
        <n v="2.0474723471181235"/>
        <n v="2.0581033954797028"/>
        <n v="2.0227106210990438"/>
        <n v="2.028345223332598"/>
        <n v="1.9516154751339869"/>
        <n v="1.9586881142504673"/>
        <n v="1.9579409711490354"/>
        <n v="1.8881879716205014"/>
        <n v="1.9129628117194395"/>
        <n v="1.8534514117937639"/>
        <n v="1.8551627463220994"/>
        <n v="1.9150984415111938"/>
        <n v="1.9119900156615919"/>
        <n v="1.9401716024279509"/>
        <n v="1.9419233716105906"/>
        <n v="1.9408647452615535"/>
        <n v="1.934413252191338"/>
        <n v="1.8446659815871083"/>
        <n v="1.8158352015074122"/>
        <n v="1.7302251722153441"/>
        <n v="1.9504678481892228"/>
        <n v="1.9846207204811348"/>
        <n v="2.1332277142645757"/>
        <n v="2.2057479135157982"/>
        <n v="2.1730935837845751"/>
        <n v="2.1029446105812868"/>
        <n v="2.0758753988904561"/>
        <n v="2.1058809853575902"/>
        <n v="2.1076463977070277"/>
        <n v="2.1204054745149952"/>
        <n v="2.0037077465312016"/>
        <n v="2.02767935108833"/>
        <n v="2.0434895535605975"/>
        <n v="2.1489669619182847"/>
        <n v="2.1439219087555745"/>
        <n v="2.1766873205968236"/>
        <n v="2.206145189707986"/>
        <n v="2.2343794260001131"/>
        <n v="2.3003366074022389"/>
        <n v="2.559562359284"/>
        <n v="2.5534137420285479"/>
        <n v="2.4911444724875196"/>
        <n v="2.5641155352962364"/>
        <n v="2.5772346615054795"/>
        <n v="1.2975434700145987"/>
        <n v="1.3148747299760111"/>
        <n v="1.244479663301242"/>
        <n v="1.2334915507216013"/>
        <n v="1.2306899949777468"/>
        <n v="1.2313002039824774"/>
        <n v="1.2447825531340335"/>
        <n v="1.2313511077999755"/>
        <n v="1.2306892750507108"/>
        <n v="1.2499647670295935"/>
        <n v="1.2467558941677221"/>
        <n v="1.2011380096777311"/>
        <n v="1.0151270763492837"/>
        <n v="1.0026661508838357"/>
        <n v="1.0351832882363747"/>
        <n v="1.0342683676467013"/>
        <n v="1.0786456917481824"/>
        <n v="1.0674738189728985"/>
        <n v="1.0708206480701294"/>
        <n v="1.1324492844620067"/>
        <n v="1.127427142742681"/>
        <n v="1.1122653665441808"/>
        <n v="0.90511226515314158"/>
        <n v="0.90746528482879252"/>
        <n v="0.90419364023545135"/>
        <n v="0.90039826078274465"/>
        <n v="0.84969569415577118"/>
        <n v="0.83166443935390688"/>
        <n v="0.8324023958000627"/>
        <n v="0.83213999204692868"/>
        <n v="0.87521726256349008"/>
        <n v="1.0527701953210251"/>
        <n v="1.0570864281881087"/>
        <n v="1.2712482136751502"/>
        <n v="1.2910442599390815"/>
        <n v="1.29001021379533"/>
        <n v="1.2882724619734824"/>
        <n v="1.3089958960329766"/>
        <n v="1.3087403911459585"/>
        <n v="1.2663474695094761"/>
        <n v="1.2656293119356152"/>
        <n v="1.2972958689109386"/>
        <n v="1.3137466875522521"/>
        <n v="1.3107082670827521"/>
        <n v="1.2988115508431997"/>
        <n v="1.3114338926442282"/>
        <n v="1.3044583506364511"/>
        <n v="1.3039250564654623"/>
        <n v="1.3034280122123088"/>
        <n v="1.2391051050598307"/>
        <n v="1.2404869820758495"/>
        <n v="1.2607669868368203"/>
        <n v="1.2637211012504084"/>
        <n v="1.267092882206373"/>
        <n v="1.268550596666054"/>
        <n v="1.3139591867562206"/>
        <n v="1.3084552789479058"/>
        <n v="1.3571479211799575"/>
        <n v="1.3653511736642585"/>
        <n v="1.3767696748757918"/>
        <n v="1.3017616180154525"/>
        <n v="1.2067465309929677"/>
        <n v="1.2274023526111826"/>
        <n v="1.0840154684174808"/>
        <n v="1.0643551221598493"/>
        <n v="1.084834925686712"/>
        <n v="1.0820117924394879"/>
        <n v="1.2718959718580907"/>
        <n v="1.3220205369067697"/>
        <n v="1.3308792906887501"/>
        <n v="1.3302700539809929"/>
        <n v="1.3148252140561694"/>
        <n v="1.3482469178730425"/>
        <n v="1.373358450552997"/>
        <n v="1.3894307337917124"/>
        <n v="1.3924744189312026"/>
        <n v="1.367121421476978"/>
        <n v="1.3728723174279212"/>
        <n v="1.3895497701846806"/>
        <n v="1.3877697566047245"/>
        <n v="1.3896945773772309"/>
        <n v="1.3890735967742129"/>
        <n v="1.3979155106311592"/>
        <n v="1.391994165916137"/>
        <n v="1.4184259173056208"/>
        <n v="1.3380789206313008"/>
        <n v="1.3495376208618488"/>
        <n v="1.3501233842935625"/>
        <n v="1.3663734190573147"/>
        <n v="1.3384824824345471"/>
        <n v="1.3335865275450862"/>
        <n v="1.3360441971727837"/>
        <n v="1.3086023285726462"/>
        <n v="1.2875001010843226"/>
        <n v="1.2897711178891051"/>
        <n v="1.3007202597842014"/>
        <n v="1.2753239100525395"/>
        <n v="1.2026531344156186"/>
        <n v="1.2118701596077888"/>
        <n v="1.26385615952774"/>
        <n v="1.2717027753459229"/>
        <n v="1.2465502393896486"/>
        <n v="1.2017889525547387"/>
        <n v="1.1706205808668668"/>
        <n v="1.1708025849441261"/>
        <n v="1.1816853558168745"/>
        <n v="1.2837895153883654"/>
        <n v="1.2767493330511537"/>
        <n v="1.3333842378148881"/>
        <n v="1.3269180684944741"/>
        <n v="1.3375206193376752"/>
        <n v="1.319220769384299"/>
        <n v="1.4005050146615561"/>
        <n v="1.4027769249378561"/>
        <n v="1.3642178681741581"/>
        <n v="1.3892608329114975"/>
        <n v="1.3795298409857171"/>
        <n v="1.3192425731567092"/>
        <n v="1.3308697145210944"/>
        <n v="1.4448318887035589"/>
        <n v="1.445461318006048"/>
        <n v="1.4450940398074565"/>
        <n v="1.4537495834763232"/>
        <n v="1.4690654392150464"/>
        <n v="1.4962779076522161"/>
        <n v="1.4885721292922685"/>
        <n v="1.4807031706862481"/>
        <n v="1.3992762911532937"/>
        <n v="1.3598093082897338"/>
        <n v="1.3054177491355525"/>
        <n v="1.2984434892051351"/>
        <n v="1.2887861350913656"/>
        <n v="1.2903698237859784"/>
        <n v="1.3054569298792653"/>
        <n v="1.2951609037179499"/>
        <n v="1.2754334192881243"/>
        <n v="1.1454429071952621"/>
        <n v="1.205364326501555"/>
        <n v="1.1435538770991955"/>
        <n v="1.1709310297008226"/>
        <n v="1.2948257847759574"/>
        <n v="1.4409259518297326"/>
        <n v="1.360325814831598"/>
        <n v="1.3644267555906995"/>
        <n v="1.3710667058476094"/>
        <n v="1.3539164786970381"/>
        <n v="1.3474019485318365"/>
        <n v="1.3474431625293763"/>
        <n v="1.3263646270034057"/>
        <n v="1.2338371108472517"/>
        <n v="1.2346872032439773"/>
        <n v="1.2878631311052968"/>
        <n v="1.2919602118014066"/>
        <n v="1.2901110072656454"/>
        <n v="1.2571957277534234"/>
        <n v="1.2225330037290512"/>
        <n v="1.2720124523842795"/>
        <n v="1.2726593202304026"/>
        <n v="1.2697373756601162"/>
        <n v="1.4294734625620789"/>
        <n v="1.5425560412399402"/>
        <n v="1.5656006508739881"/>
        <n v="1.5663828577387082"/>
        <n v="1.6429773794152736"/>
        <n v="1.6627894448872127"/>
        <n v="1.6628565684683767"/>
        <n v="1.7304252540067158"/>
        <n v="1.6762210998841318"/>
        <n v="1.6673413983037413"/>
        <n v="1.6614363965699548"/>
        <n v="1.5907026398091249"/>
        <n v="1.4821819629811326"/>
        <n v="1.7371034100747216"/>
        <n v="1.7707938978071995"/>
        <n v="1.7693269577615411"/>
        <n v="1.7605018424588172"/>
        <n v="1.7475478914271358"/>
        <n v="1.7596695967524341"/>
        <n v="1.7808816088693298"/>
        <n v="1.7634194130175924"/>
        <n v="1.8197455898845436"/>
        <n v="1.9395496378368946"/>
        <n v="1.9446782561488531"/>
        <n v="1.9302779424584038"/>
        <n v="1.9773012747679368"/>
        <n v="1.9738514572091166"/>
        <n v="1.950794091550706"/>
        <n v="1.9701170605757123"/>
        <n v="1.9665055589132057"/>
        <n v="1.8522080178192668"/>
        <n v="1.7123231227389666"/>
        <n v="1.7069374688674224"/>
        <n v="1.7289337472223336"/>
        <n v="1.6918166632926757"/>
        <n v="1.6759789335665831"/>
        <n v="1.6737148089708369"/>
        <n v="1.6210008138666043"/>
        <n v="1.6109054988802896"/>
        <n v="1.6165276459434048"/>
        <n v="1.6255413040576603"/>
        <n v="1.6257986843485079"/>
        <n v="1.6235733999227098"/>
        <n v="1.3461689139210677"/>
        <n v="1.29236745167678"/>
        <n v="1.2963896746878927"/>
        <n v="1.2968626263053913"/>
        <n v="1.2946070680747312"/>
        <n v="1.2901778069169569"/>
        <n v="1.2742102280675613"/>
        <n v="1.2745426204744332"/>
        <n v="1.268034652550315"/>
        <n v="1.0141719821055484"/>
        <n v="0.97834911223703602"/>
        <n v="0.99675281783927416"/>
        <n v="0.93287232222546979"/>
        <n v="0.96028185425586532"/>
        <n v="0.95632975323996139"/>
        <n v="0.9748751452148301"/>
        <n v="0.98744347083916517"/>
        <n v="0.94240105338038427"/>
        <n v="0.92693326209617388"/>
        <n v="0.93387851177387227"/>
        <n v="0.91446242547868684"/>
        <n v="0.93924215461190219"/>
        <n v="0.94135781828792553"/>
        <n v="0.99011178951125711"/>
        <n v="0.99747152555928542"/>
        <n v="0.98756964676692938"/>
        <n v="0.96614172220596994"/>
        <n v="0.94933561367719366"/>
        <n v="0.94954477759753975"/>
        <n v="1.1212858543289614"/>
        <n v="1.1316993610402406"/>
        <n v="1.134538129128976"/>
        <n v="1.1634916779941809"/>
        <n v="1.1599153089520702"/>
        <n v="1.151222306476535"/>
        <n v="1.2190908834515914"/>
        <n v="1.2220680758175726"/>
        <n v="1.2461338442552747"/>
        <n v="1.1641618989038596"/>
        <n v="1.1893668874862133"/>
        <n v="1.2119179993745821"/>
        <n v="1.1888984429657219"/>
        <n v="1.1224511930674588"/>
        <n v="1.1061656926189976"/>
        <n v="1.1404255723774162"/>
        <n v="1.0686315100750978"/>
        <n v="1.0708114695118325"/>
        <n v="1.069930826957721"/>
        <n v="1.0684308973228447"/>
        <n v="1.1892328415610731"/>
        <n v="1.1900875247682536"/>
        <n v="1.1924452638918868"/>
        <n v="1.2036132939334048"/>
        <n v="1.1837287704454285"/>
        <n v="1.223874381009213"/>
        <n v="1.2235125497626531"/>
        <n v="1.2687099056947537"/>
        <n v="1.2670972346328637"/>
        <n v="1.2852920747820353"/>
        <n v="1.1606979538268096"/>
        <n v="1.1569212962024837"/>
        <n v="1.16734619413928"/>
        <n v="1.1372473557156735"/>
        <n v="1.1285172482135533"/>
        <n v="1.1273718507516737"/>
        <n v="1.0575561869415426"/>
        <n v="1.0669219580989058"/>
        <n v="1.0351576466053545"/>
        <n v="1.034403727385047"/>
        <n v="1.0252965295216738"/>
        <n v="0.98926385938509331"/>
        <n v="0.99551832271460416"/>
        <n v="1.0200790648874689"/>
        <n v="0.97599695277730125"/>
        <n v="0.95055290399680947"/>
        <n v="0.9580554145663428"/>
        <n v="0.96016378802213453"/>
        <n v="0.9613271290577623"/>
        <n v="0.96197077717526203"/>
        <n v="0.80614147776977108"/>
        <n v="0.80456873335108092"/>
        <n v="0.8052139203657569"/>
        <n v="0.79697870478277488"/>
        <n v="0.82421890668506603"/>
        <n v="0.76019261713315289"/>
        <n v="0.7619927655565506"/>
        <n v="0.66239721697982834"/>
        <n v="0.66015148393175416"/>
        <n v="0.63966680049748281"/>
        <n v="0.70967871272519911"/>
        <n v="0.71793344323406594"/>
        <n v="0.93240249509949436"/>
        <n v="0.93429711060593068"/>
        <n v="0.96447695279225309"/>
        <n v="0.96425447110105533"/>
        <n v="1.034215180304515"/>
        <n v="1.0278782216487365"/>
        <n v="1.0422288205411245"/>
        <n v="1.0678455604800656"/>
        <n v="1.0580857725777417"/>
        <n v="1.0592788925991152"/>
        <n v="1.0657848505593019"/>
        <n v="1.064024417224178"/>
        <n v="1.095811744749968"/>
        <n v="1.0920837990289693"/>
        <n v="1.0749839383517377"/>
        <n v="1.0881048316478721"/>
        <n v="1.0830585395423693"/>
        <n v="1.0680128934614421"/>
        <n v="1.070560846213394"/>
        <n v="1.0628800939346867"/>
        <n v="1.0612587998175784"/>
        <n v="1.1015871159876882"/>
        <n v="1.0629464126162345"/>
        <n v="1.0796905194152859"/>
        <n v="1.0798072003583694"/>
        <n v="1.1053132025442987"/>
        <n v="1.114474755385416"/>
        <n v="1.1101794246253025"/>
        <n v="1.0863304631417106"/>
        <n v="1.1116295671937055"/>
        <n v="0.93718550100061504"/>
        <n v="0.93835239700416828"/>
        <n v="0.90554440644710876"/>
        <n v="0.90559504363051913"/>
        <n v="0.84115517853125965"/>
        <n v="0.8440054196067649"/>
        <n v="0.82448203511859131"/>
        <n v="0.80388182002998843"/>
        <n v="0.80265665941013264"/>
        <n v="0.82401977148502414"/>
        <n v="0.80584813778858766"/>
        <n v="0.76147456037123262"/>
        <n v="0.75147639622773987"/>
        <n v="0.74893556236435599"/>
        <n v="0.753994252470367"/>
        <n v="0.74749673436152808"/>
        <n v="0.74704784689599646"/>
        <n v="0.76340942456112559"/>
        <n v="0.76738306693611091"/>
        <n v="0.845042968355042"/>
        <n v="0.84548098323783971"/>
        <n v="0.79013510931104802"/>
        <n v="0.80931971342194908"/>
        <n v="1.1526621023813182"/>
        <n v="1.1516105289423757"/>
        <n v="1.1509832497341574"/>
        <n v="1.1543111128442152"/>
        <n v="1.1590429639461561"/>
        <n v="1.2081184278233772"/>
        <n v="1.1979866791676077"/>
        <n v="1.1970976763398176"/>
        <n v="1.1972388567621153"/>
        <n v="1.3025404372076759"/>
        <n v="1.3152026374580357"/>
        <n v="1.3255612644109624"/>
        <n v="1.3179515166366917"/>
        <n v="1.3178108395682226"/>
        <n v="1.3014255015375997"/>
        <n v="1.3310516862546322"/>
        <n v="1.3271802658256151"/>
        <n v="1.3297905253126194"/>
        <n v="1.3283425053219378"/>
        <n v="1.4609315660150972"/>
        <n v="1.4822448863708604"/>
        <n v="1.4872804349579203"/>
        <n v="1.4905287788393482"/>
        <n v="1.5002525655651353"/>
        <n v="1.4949493827078728"/>
        <n v="1.5030182858395151"/>
        <n v="1.4625588186944489"/>
        <n v="1.4926928975090665"/>
        <n v="1.4985878867048887"/>
        <n v="1.4998303732426674"/>
        <n v="1.3086344691922147"/>
        <n v="1.3619064202634967"/>
        <n v="1.3160020769576626"/>
        <n v="1.320253213258791"/>
        <n v="1.3149729804721484"/>
        <n v="1.3157967678686273"/>
        <n v="1.3187203998953587"/>
        <n v="1.3266263311923576"/>
        <n v="1.3987399149895294"/>
        <n v="1.3027932119733636"/>
        <n v="1.4256239838568303"/>
        <n v="1.4334289511161635"/>
        <n v="1.4541779079102293"/>
        <n v="1.45132052059182"/>
        <n v="1.4710235220244718"/>
        <n v="1.4554444332044654"/>
        <n v="1.4614674833682693"/>
        <n v="1.4731137694896139"/>
        <n v="1.4717510078614169"/>
        <n v="1.3392792164124172"/>
        <n v="1.3417897207524003"/>
        <n v="1.3970635692900422"/>
        <n v="1.3947036984512482"/>
        <n v="1.3877126266586164"/>
        <n v="1.3880232610192453"/>
        <n v="1.6037335170085476"/>
        <n v="1.5908790154093451"/>
        <n v="1.5995920160494328"/>
        <n v="1.5948363645947998"/>
        <n v="1.6934814200985726"/>
        <n v="1.6686520466031691"/>
        <n v="1.7551868986798851"/>
        <n v="1.7607940428268678"/>
        <n v="1.7829786309005724"/>
        <n v="1.8367357861373992"/>
        <n v="1.8571708510835254"/>
        <n v="1.8523961438174079"/>
        <n v="1.8732193205472485"/>
        <n v="1.811840932385373"/>
        <n v="1.8080976780563891"/>
        <n v="1.7048755878573272"/>
        <n v="1.7068272538055242"/>
        <n v="1.6924886500345924"/>
        <n v="1.7746099991709432"/>
        <n v="1.7876294415872538"/>
        <n v="1.8503604721358855"/>
        <n v="1.8427355473278202"/>
        <n v="1.8348441003961544"/>
        <n v="1.8766700798829787"/>
        <n v="1.8735736460559289"/>
        <n v="1.8770165375232328"/>
        <n v="1.8391472691644788"/>
        <n v="1.8365986364930562"/>
        <n v="1.935291363832043"/>
        <n v="1.9598911611937238"/>
        <n v="1.7677618524293206"/>
        <n v="1.76676765735184"/>
        <n v="1.7658930043795849"/>
        <n v="1.7487418904404957"/>
        <n v="1.6407585529548314"/>
        <n v="1.7150858625473895"/>
        <n v="1.6143392178578788"/>
        <n v="1.5953860251636365"/>
        <n v="1.5804047739954328"/>
        <n v="1.5084095995595099"/>
        <n v="1.4582969956517005"/>
        <n v="1.4582170034244941"/>
        <n v="1.4797241379639148"/>
        <n v="1.4797161622375323"/>
        <n v="1.4760847320929744"/>
        <n v="1.4695176768981002"/>
        <n v="1.4550050246036574"/>
        <n v="1.4433453216772358"/>
        <n v="1.3810078803816099"/>
        <n v="1.3395846200565651"/>
        <n v="1.2248355525687518"/>
        <n v="1.2238834898604114"/>
        <n v="1.322964719659617"/>
        <n v="1.2601472915778908"/>
        <n v="1.3116772225249764"/>
        <n v="1.2862438560952352"/>
        <n v="1.2862336941914452"/>
        <n v="1.3030968697108589"/>
        <n v="1.204623462323603"/>
        <n v="1.1860968047921114"/>
        <n v="1.1874696521977057"/>
        <n v="1.1887781267082933"/>
        <n v="1.1403324335382909"/>
        <n v="1.1637905785216012"/>
        <n v="1.1544733803629645"/>
        <n v="1.0461873325385929"/>
        <n v="1.0403671118952922"/>
        <n v="1.0371191151164725"/>
        <n v="4.4142446728099145"/>
        <n v="4.4206338892163446"/>
        <n v="4.4626713841676988"/>
        <n v="4.397321731813788"/>
        <n v="4.4028738213152154"/>
        <n v="4.2549516169737629"/>
        <n v="4.3079667990755963"/>
        <n v="4.3214334553989184"/>
        <n v="4.3113892583463373"/>
        <n v="4.2894833033425215"/>
        <n v="4.2892469626006964"/>
        <n v="4.3076379387927171"/>
        <n v="4.1895759742505456"/>
        <n v="4.2642725951741367"/>
        <n v="3.7117652402825803"/>
        <n v="4.0222352901322243"/>
        <n v="4.0520888297395103"/>
        <n v="4.0078407375594995"/>
        <n v="3.9354771588423159"/>
        <n v="3.8612395501101524"/>
        <n v="3.6548852893719075"/>
        <n v="3.5722374916057218"/>
        <n v="3.4655204450765296"/>
        <n v="3.4678417951263487"/>
        <n v="3.5599542158402264"/>
        <n v="3.564760326774997"/>
        <n v="3.648700901461027"/>
        <n v="3.6309077575009523"/>
        <n v="3.5382716435677595"/>
        <n v="3.4808573173024948"/>
        <n v="3.3386857528844187"/>
        <n v="3.338755389482897"/>
        <n v="3.3287698965130681"/>
        <n v="3.4025122074418803"/>
        <n v="3.47081103574211"/>
        <n v="3.3415868670508817"/>
        <n v="3.3455187375391309"/>
        <n v="3.2821329949325273"/>
        <n v="3.2715575984210972"/>
        <n v="3.2578216943519807"/>
        <n v="3.676829254334252"/>
        <n v="3.6163860689015173"/>
        <n v="3.6007076199534245"/>
        <n v="3.5239069759561832"/>
        <n v="3.4046572056637139"/>
        <n v="3.0162991838731235"/>
        <n v="2.9862360843265692"/>
        <n v="2.86366565530794"/>
        <n v="2.8782780562688268"/>
        <n v="4.9575358429787189"/>
        <n v="4.9581461756116108"/>
        <n v="4.9431944333301585"/>
        <n v="4.9533532327772969"/>
        <n v="4.95679257255685"/>
        <n v="4.8233320428153323"/>
        <n v="4.8013433992039269"/>
        <n v="4.7421700771993072"/>
        <n v="4.7765939268669486"/>
        <n v="5.4775711443976896"/>
        <n v="5.4856473146495386"/>
        <n v="5.6480454459965923"/>
        <n v="5.8380737836253296"/>
        <n v="5.9719596771172689"/>
        <n v="5.9133234313006415"/>
        <n v="5.9920188905107725"/>
        <n v="5.9798870431353075"/>
        <n v="5.9697145158063183"/>
        <n v="5.9715705582639425"/>
        <n v="5.9675978809113897"/>
        <n v="5.9645127055556504"/>
        <n v="5.6628293712108144"/>
        <n v="5.7557511552032627"/>
        <n v="5.7584985888848284"/>
        <n v="5.764182492726035"/>
        <n v="5.7549698950474326"/>
        <n v="5.7545247829112913"/>
        <n v="5.7678307607717727"/>
        <n v="5.7536255135712224"/>
        <n v="5.7135580980444454"/>
        <n v="4.3611100716515523"/>
        <n v="4.3595284333928559"/>
        <n v="4.365323679794705"/>
        <n v="4.4079313085907517"/>
        <n v="4.426282222005395"/>
        <n v="4.3590810084181761"/>
        <n v="4.4012005893593757"/>
        <n v="4.3339441533967324"/>
        <n v="4.5204543298667925"/>
        <n v="3.8489446323395433"/>
        <n v="3.9409443365379975"/>
        <n v="3.7235496004578774"/>
        <n v="3.4135278783582801"/>
        <n v="3.2594960502135568"/>
        <n v="3.4429355397963652"/>
        <n v="3.3032437047851673"/>
        <n v="3.3700634510443597"/>
        <n v="3.4717467829452509"/>
        <n v="3.7412874308946207"/>
        <n v="3.7274164985496738"/>
        <n v="3.8197177172935635"/>
        <n v="3.7709669782039317"/>
        <n v="3.6797553269577414"/>
        <n v="3.6886372533663927"/>
        <n v="3.7125073377636393"/>
        <n v="3.9469557710322221"/>
        <n v="3.9846287738416302"/>
        <n v="3.9883344342846798"/>
        <n v="3.9892109687757373"/>
        <n v="3.9889985625992517"/>
        <n v="3.8851890087230516"/>
        <n v="3.8971476817146122"/>
        <n v="3.8902288417259268"/>
        <n v="3.7284771866724937"/>
        <n v="3.7396152721296279"/>
        <n v="3.687970588088358"/>
        <n v="3.4977135637870753"/>
        <n v="3.6036094385297561"/>
        <n v="3.5401581062286076"/>
        <n v="3.5886763691160701"/>
        <n v="3.5444756667406532"/>
        <n v="3.5520519039902352"/>
        <n v="3.5792946797965222"/>
        <n v="3.5357863341523714"/>
        <n v="3.509468376346816"/>
        <n v="3.6709668160532853"/>
        <n v="3.6335976402653793"/>
        <n v="3.4695629155556662"/>
        <n v="3.1148573320665713"/>
        <n v="3.1223439010041592"/>
        <n v="3.1491959852486384"/>
        <n v="3.16168762176315"/>
        <n v="3.4685196553817685"/>
        <n v="3.466816550629241"/>
        <n v="3.4843031348279938"/>
        <n v="3.1805679022589408"/>
        <n v="3.1698250467989224"/>
        <n v="3.1178488198942529"/>
        <n v="3.2007603134597766"/>
        <n v="3.2923316633160868"/>
        <n v="3.2959964872299721"/>
        <n v="4.1693907878110874"/>
        <n v="4.2960179277157895"/>
        <n v="4.609125710749832"/>
        <n v="4.6154060599328899"/>
        <n v="4.6510492256701754"/>
        <n v="4.6644349232939604"/>
        <n v="4.6688415131667371"/>
        <n v="4.75988805030335"/>
        <n v="4.7544583226182082"/>
        <n v="4.9098756934851995"/>
        <n v="5.4455594655350064"/>
        <n v="5.4808827104266822"/>
        <n v="5.4547636787763363"/>
        <n v="5.4297572364323603"/>
        <n v="5.3204338906002366"/>
        <n v="5.3200318847307724"/>
        <n v="5.3829227918567009"/>
        <n v="5.4784467401540153"/>
        <n v="5.5460481682987863"/>
        <n v="5.7790702053293304"/>
        <n v="5.7824522929532716"/>
        <n v="5.6623060552252991"/>
        <n v="7.0754692119808054"/>
        <n v="7.179917578653443"/>
        <n v="7.1394172750824163"/>
        <n v="7.1227774272816742"/>
        <n v="7.0782222082239432"/>
        <n v="7.1169181304203555"/>
        <n v="7.0444278000959653"/>
        <n v="7.1206395069803206"/>
        <n v="6.5649476115274847"/>
        <n v="6.5989228525857682"/>
        <n v="6.4880975774904828"/>
        <n v="6.6791204421679282"/>
        <n v="6.6537871042739409"/>
        <n v="6.5783358731318744"/>
        <n v="6.524037665936711"/>
        <n v="6.4908469636317729"/>
        <n v="6.4963452816935678"/>
        <n v="6.4674524522739949"/>
        <n v="6.112697054667839"/>
        <n v="6.0797511387220347"/>
        <n v="6.0099946088177285"/>
        <n v="6.0635140045864047"/>
        <n v="6.1207510814871577"/>
        <n v="6.1473462762898414"/>
        <n v="6.154965449769465"/>
        <n v="6.1157834407531091"/>
        <n v="6.0023788586538247"/>
        <n v="5.6375563621792004"/>
        <n v="5.5919186926509052"/>
        <n v="5.5192243398612488"/>
        <n v="3.8094760020175991"/>
        <n v="3.5011880081394811"/>
        <n v="3.6548705728995343"/>
        <n v="3.6873044003649689"/>
        <n v="3.6889609537629044"/>
        <n v="3.6073489508855694"/>
        <n v="3.6250921982863549"/>
        <n v="3.3817032137233296"/>
        <n v="3.4461102732399227"/>
        <n v="4.3633828560680099"/>
        <n v="4.3674780808080396"/>
        <n v="4.0785030837906255"/>
        <n v="4.1927505571567423"/>
        <n v="4.1820558608357992"/>
        <n v="4.151094958425694"/>
        <n v="4.154064263894468"/>
        <n v="4.1418013948871097"/>
        <n v="4.1862431768204855"/>
        <n v="4.1660300069622664"/>
        <n v="4.172323526504055"/>
        <n v="4.3781727268855182"/>
        <n v="4.3486492587174652"/>
        <n v="4.2544221622161738"/>
        <n v="4.1602898424670665"/>
        <n v="4.0897105537510292"/>
        <n v="4.0952019217391342"/>
        <n v="4.1774988508965505"/>
        <n v="4.2749888084179153"/>
        <n v="4.2730870578394473"/>
        <n v="4.4188788217232382"/>
        <n v="4.4096532246338267"/>
        <n v="4.4099065260934172"/>
        <n v="4.3008124718561795"/>
        <n v="4.3041607133403925"/>
        <n v="4.3098186475850753"/>
        <n v="4.2833487306219844"/>
        <n v="4.3348513503718964"/>
        <n v="4.334706885881241"/>
        <n v="4.3277882572657731"/>
        <n v="3.3813047955350202"/>
        <n v="3.3313863247399418"/>
        <n v="3.2400047973511339"/>
        <n v="3.430790817253726"/>
        <n v="3.496151492117042"/>
        <n v="3.5140951952853574"/>
        <n v="3.5068201834708832"/>
        <n v="3.5020181597335007"/>
        <n v="3.4840243634867338"/>
        <n v="3.4670139353771892"/>
        <n v="3.0916364576417572"/>
        <n v="3.1506500594974103"/>
        <n v="3.0781139758791598"/>
        <n v="3.1044839082926821"/>
        <n v="3.1411611832743529"/>
        <n v="3.1176075056048713"/>
        <n v="2.9360836784447857"/>
        <n v="2.8209083715255381"/>
        <n v="2.8382478831306814"/>
        <n v="2.5189230927832984"/>
        <n v="2.5453161083731257"/>
        <n v="2.5654026462366422"/>
        <n v="2.4399997565933282"/>
        <n v="2.6761063387164117"/>
        <n v="2.6892097940717998"/>
        <n v="2.6618657466774565"/>
        <n v="2.6040589770757205"/>
        <n v="2.6092311429137536"/>
        <n v="2.6387829390070183"/>
        <n v="2.6506498968562555"/>
        <n v="2.6559489978933093"/>
        <n v="2.666126877815107"/>
        <n v="2.2382045712922092"/>
        <n v="2.1843659118006258"/>
        <n v="2.1246610455829842"/>
        <n v="2.1035649899478059"/>
        <n v="2.3418759838654246"/>
        <n v="2.5391235851284395"/>
        <n v="2.7352032723763258"/>
        <n v="2.7250982851030137"/>
        <n v="2.7441291930933831"/>
        <n v="2.7539014527258767"/>
        <n v="2.7484989518069964"/>
        <n v="2.7734422836962365"/>
        <n v="2.8327288413041471"/>
        <n v="2.9851558322089087"/>
        <n v="3.0194435792272585"/>
        <n v="2.9846876790486987"/>
        <n v="2.9863981665939829"/>
        <n v="2.9694433151262012"/>
        <n v="3.1442605018223371"/>
        <n v="3.1505188731411558"/>
        <n v="3.10981938072652"/>
        <n v="3.2590096037537069"/>
        <n v="3.2579594570516375"/>
        <n v="3.2599336962060455"/>
        <n v="3.4166830008243014"/>
        <n v="3.430981824999138"/>
        <n v="3.4352242053730637"/>
        <n v="3.4349480701735975"/>
        <n v="3.461980970364734"/>
        <n v="3.4359246286340408"/>
        <n v="3.4180830555986321"/>
        <n v="3.4349777378597444"/>
        <n v="3.4471060403290492"/>
        <n v="3.3170723997658955"/>
        <n v="3.151110037543662"/>
        <n v="3.2317862149522156"/>
        <n v="3.0397872256335234"/>
        <n v="3.0372468159511317"/>
        <n v="3.1400283086216216"/>
        <n v="3.1853766098331406"/>
        <n v="3.1996751272159876"/>
        <n v="3.3285247709354699"/>
        <n v="3.3297437331999307"/>
        <n v="3.2915325531628321"/>
        <n v="3.2855815951223404"/>
        <n v="3.3523565089367104"/>
        <n v="3.3606219650214579"/>
        <n v="3.3216042407796529"/>
        <n v="3.4112086406840731"/>
        <n v="3.4064789425584032"/>
        <n v="3.2494869494954215"/>
        <n v="3.1689619090036509"/>
        <n v="3.160961375534078"/>
        <n v="3.1797858410618316"/>
        <n v="3.0532613099030814"/>
        <n v="3.1506894770425622"/>
        <n v="3.1400077846666554"/>
        <n v="3.145774182784097"/>
        <n v="3.1372768601237389"/>
        <n v="3.1042423948411675"/>
        <n v="3.0841221596013382"/>
        <n v="3.1697013552957158"/>
        <n v="3.1652061980335957"/>
        <n v="3.1559587983390216"/>
        <n v="3.1555853022625695"/>
        <n v="3.0628978073470154"/>
        <n v="3.0558502202110782"/>
        <n v="3.0607864981628778"/>
        <n v="2.974426588577582"/>
        <n v="2.9672685293127663"/>
        <n v="2.9819231000609943"/>
        <n v="2.9505870718936622"/>
        <n v="2.9273642995294469"/>
        <n v="2.8466886770329682"/>
        <n v="2.7540120067782912"/>
        <n v="2.693602439230157"/>
        <n v="2.6779815375883858"/>
        <n v="2.6796052423315104"/>
        <n v="2.4350802724238307"/>
        <n v="2.4525771191642427"/>
        <n v="2.4627861383116043"/>
        <n v="2.4883531975279061"/>
        <n v="2.5391976325619225"/>
        <n v="2.6320246505568949"/>
        <n v="2.6225051613088284"/>
        <n v="2.3265679561845753"/>
        <n v="2.3533879333040115"/>
        <n v="2.3367762226900171"/>
        <n v="2.334169949034905"/>
        <n v="2.3609763309056246"/>
        <n v="2.3607130597984525"/>
        <n v="2.2382602360037915"/>
        <n v="2.3615240176663996"/>
        <n v="2.4005419502437135"/>
        <n v="2.4440957717102161"/>
        <n v="2.4342104033486565"/>
        <n v="2.4859401761736994"/>
        <n v="2.485663020023563"/>
        <n v="2.4297626147255627"/>
        <n v="2.3948030648668985"/>
        <n v="2.4082228602392717"/>
        <n v="2.2949512707880526"/>
        <n v="2.1839014532863015"/>
        <n v="2.2680198113894958"/>
        <n v="2.2508901116725295"/>
        <n v="2.3758179793228296"/>
        <n v="2.4034153101456797"/>
        <n v="2.420634138757574"/>
        <n v="2.3629940892008192"/>
        <n v="2.3982197831676912"/>
        <n v="2.3944161229607759"/>
        <n v="2.3679326671303667"/>
        <n v="2.2864163820097523"/>
        <n v="2.1677804725452758"/>
        <n v="2.1676141341021098"/>
        <n v="2.2139598989438265"/>
        <n v="2.2246882007954674"/>
        <n v="2.2608546750609584"/>
        <n v="2.257528564474327"/>
        <n v="2.322957427417792"/>
        <n v="2.3244273434806444"/>
        <n v="2.3669732272979953"/>
        <n v="2.3495291837331109"/>
        <n v="2.2807850706564183"/>
        <n v="2.1552711601816892"/>
        <n v="2.1605786299904208"/>
        <n v="2.1003313107597226"/>
        <n v="2.140832018191515"/>
        <n v="2.2077487963185427"/>
        <n v="2.1293775822710819"/>
        <n v="2.0400330964710709"/>
        <n v="2.0241825790231043"/>
        <n v="2.0412091681431273"/>
        <n v="2.0076403455356022"/>
        <n v="2.053197612189956"/>
        <n v="2.053429423506226"/>
        <n v="2.0329860953352732"/>
        <n v="2.0019249849839156"/>
        <n v="2.078940784805078"/>
        <n v="2.0844120631790615"/>
        <n v="2.0836822022485166"/>
        <n v="2.1503942826040854"/>
        <n v="2.2120546958896781"/>
        <n v="2.4050679645787407"/>
        <n v="2.4242238904557945"/>
        <n v="2.3931976968428605"/>
        <n v="2.3338771474415196"/>
        <n v="2.2978942059577467"/>
        <n v="2.31327040961737"/>
        <n v="2.2586861149151791"/>
        <n v="2.3589360004333679"/>
        <n v="2.7230648435844627"/>
        <n v="2.6487686232697465"/>
        <n v="2.709451325375277"/>
        <n v="2.705498137491777"/>
        <n v="2.7183199776594558"/>
        <n v="2.7188184573698271"/>
        <n v="2.7580430739942616"/>
        <n v="2.7080053827076753"/>
        <n v="2.7066346394918979"/>
        <n v="2.6994394653299518"/>
        <n v="2.6947494776750132"/>
        <n v="2.7201104597319721"/>
        <n v="2.6904014357960135"/>
        <n v="2.6142330169962924"/>
        <n v="2.5466702762362141"/>
        <n v="2.5799985054289043"/>
        <n v="2.6401274319415835"/>
        <n v="2.6243071085440315"/>
        <n v="2.6197665577692844"/>
        <n v="2.6865397404222646"/>
        <n v="2.6861450217211575"/>
        <n v="2.6679814370940371"/>
        <n v="2.6186716025346852"/>
        <n v="2.6487300468739212"/>
        <n v="2.6399835365722515"/>
        <n v="2.6686014173431709"/>
        <n v="2.6704593433351911"/>
        <n v="2.6803157511730564"/>
        <n v="2.6870933814939364"/>
        <n v="2.6467016264450365"/>
        <n v="2.2981661050459019"/>
        <n v="2.3129190579554009"/>
        <n v="2.4294942960312249"/>
        <n v="2.4134839750998891"/>
        <n v="2.3894139507203591"/>
        <n v="2.4066580134348605"/>
        <n v="2.6244498319737009"/>
        <n v="2.744255539368639"/>
        <n v="2.8091391153720484"/>
        <n v="2.898915936264685"/>
        <n v="3.0067487991833155"/>
        <n v="2.99527420459418"/>
        <n v="2.972918528727591"/>
        <n v="2.9904008136823692"/>
        <n v="3.0125557843552708"/>
        <n v="2.9867914518168974"/>
        <n v="2.9324046644138693"/>
        <n v="3.0127455680098381"/>
        <n v="2.9120629802178306"/>
        <n v="2.8863056140102228"/>
        <n v="2.8421397865914595"/>
        <n v="3.2786852816725638"/>
        <n v="3.1882288978761748"/>
        <n v="3.144689072526107"/>
        <n v="3.4323276172422124"/>
      </sharedItems>
    </cacheField>
    <cacheField name="VolumeSpike" numFmtId="0">
      <sharedItems containsSemiMixedTypes="0" containsString="0" containsNumber="1" containsInteger="1" minValue="0" maxValue="1"/>
    </cacheField>
    <cacheField name="Company" numFmtId="0">
      <sharedItems/>
    </cacheField>
    <cacheField name="Sector" numFmtId="0">
      <sharedItems/>
    </cacheField>
    <cacheField name="Months (Date)" numFmtId="0" databaseField="0">
      <fieldGroup base="0">
        <rangePr groupBy="months" startDate="2024-07-03T00:00:00" endDate="2026-07-04T00:00:00"/>
        <groupItems count="14">
          <s v="&lt;03-07-2024"/>
          <s v="Jan"/>
          <s v="Feb"/>
          <s v="Mar"/>
          <s v="Apr"/>
          <s v="May"/>
          <s v="Jun"/>
          <s v="Jul"/>
          <s v="Aug"/>
          <s v="Sep"/>
          <s v="Oct"/>
          <s v="Nov"/>
          <s v="Dec"/>
          <s v="&gt;04-07-2026"/>
        </groupItems>
      </fieldGroup>
    </cacheField>
    <cacheField name="Quarters (Date)" numFmtId="0" databaseField="0">
      <fieldGroup base="0">
        <rangePr groupBy="quarters" startDate="2024-07-03T00:00:00" endDate="2026-07-04T00:00:00"/>
        <groupItems count="6">
          <s v="&lt;03-07-2024"/>
          <s v="Qtr1"/>
          <s v="Qtr2"/>
          <s v="Qtr3"/>
          <s v="Qtr4"/>
          <s v="&gt;04-07-2026"/>
        </groupItems>
      </fieldGroup>
    </cacheField>
    <cacheField name="Years (Date)" numFmtId="0" databaseField="0">
      <fieldGroup base="0">
        <rangePr groupBy="years" startDate="2024-07-03T00:00:00" endDate="2026-07-04T00:00:00"/>
        <groupItems count="5">
          <s v="&lt;03-07-2024"/>
          <s v="2024"/>
          <s v="2025"/>
          <s v="2026"/>
          <s v="&gt;04-07-2026"/>
        </groupItems>
      </fieldGroup>
    </cacheField>
  </cacheFields>
  <extLst>
    <ext xmlns:x14="http://schemas.microsoft.com/office/spreadsheetml/2009/9/main" uri="{725AE2AE-9491-48be-B2B4-4EB974FC3084}">
      <x14:pivotCacheDefinition pivotCacheId="1269482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3">
  <r>
    <x v="0"/>
    <n v="219.64730834960929"/>
    <n v="219.64730834960929"/>
    <n v="217.14894613859079"/>
    <n v="218.11061688690268"/>
    <n v="37369800"/>
    <x v="0"/>
    <m/>
    <n v="100"/>
    <m/>
    <x v="0"/>
    <n v="0"/>
    <s v="Apple Inc."/>
    <s v="Technology"/>
  </r>
  <r>
    <x v="1"/>
    <n v="224.39614868164065"/>
    <n v="224.50520458742349"/>
    <n v="219.74642480522968"/>
    <n v="219.74642480522968"/>
    <n v="60412400"/>
    <x v="0"/>
    <n v="2.1620298321492371"/>
    <n v="102.16202983214924"/>
    <m/>
    <x v="0"/>
    <n v="0"/>
    <s v="Apple Inc."/>
    <s v="Technology"/>
  </r>
  <r>
    <x v="2"/>
    <n v="225.86347961425781"/>
    <n v="225.89322076278884"/>
    <n v="221.33271970324731"/>
    <n v="225.13973799267995"/>
    <n v="59085900"/>
    <x v="0"/>
    <n v="0.65390201268513692"/>
    <n v="102.83006940142162"/>
    <m/>
    <x v="0"/>
    <n v="0"/>
    <s v="Apple Inc."/>
    <s v="Technology"/>
  </r>
  <r>
    <x v="3"/>
    <n v="226.71609497070313"/>
    <n v="227.42991284004063"/>
    <n v="224.4259356098064"/>
    <n v="225.9725359507888"/>
    <n v="48076100"/>
    <x v="0"/>
    <n v="0.37749146426924174"/>
    <n v="103.21824413611414"/>
    <m/>
    <x v="0"/>
    <n v="0"/>
    <s v="Apple Inc."/>
    <s v="Technology"/>
  </r>
  <r>
    <x v="4"/>
    <n v="230.97914123535159"/>
    <n v="231.07828847688279"/>
    <n v="227.28117906796425"/>
    <n v="227.3307526887298"/>
    <n v="62627700"/>
    <x v="0"/>
    <n v="1.8803456654453043"/>
    <n v="105.15910391567631"/>
    <m/>
    <x v="0"/>
    <n v="0"/>
    <s v="Apple Inc."/>
    <s v="Technology"/>
  </r>
  <r>
    <x v="5"/>
    <n v="225.6156311035156"/>
    <n v="230.39422897123265"/>
    <n v="223.83108651749723"/>
    <n v="229.40281699319425"/>
    <n v="64710600"/>
    <x v="0"/>
    <n v="-2.3220755359770529"/>
    <n v="102.7172300897977"/>
    <m/>
    <x v="0"/>
    <n v="0"/>
    <s v="Apple Inc."/>
    <s v="Technology"/>
  </r>
  <r>
    <x v="6"/>
    <n v="228.56010437011719"/>
    <n v="230.64207551688347"/>
    <n v="226.71607753741577"/>
    <n v="226.9540218514806"/>
    <n v="53046500"/>
    <x v="0"/>
    <n v="1.3050838952069821"/>
    <n v="104.05777611730235"/>
    <m/>
    <x v="0"/>
    <n v="0"/>
    <s v="Apple Inc."/>
    <s v="Technology"/>
  </r>
  <r>
    <x v="7"/>
    <n v="232.38694763183599"/>
    <n v="235.19264517635779"/>
    <n v="231.08820043911544"/>
    <n v="234.44908623752588"/>
    <n v="62631300"/>
    <x v="0"/>
    <n v="1.6743268788160126"/>
    <n v="105.80004343233253"/>
    <m/>
    <x v="0"/>
    <n v="0"/>
    <s v="Apple Inc."/>
    <s v="Technology"/>
  </r>
  <r>
    <x v="8"/>
    <n v="232.80332946777344"/>
    <n v="234.24087357279009"/>
    <n v="230.33470860446999"/>
    <n v="232.98177633300929"/>
    <n v="43234300"/>
    <x v="0"/>
    <n v="0.17917608548183583"/>
    <n v="105.98961180859267"/>
    <m/>
    <x v="0"/>
    <n v="0"/>
    <s v="Apple Inc."/>
    <s v="Technology"/>
  </r>
  <r>
    <x v="9"/>
    <n v="226.91436767578125"/>
    <n v="229.47221227385296"/>
    <n v="224.69359950369105"/>
    <n v="227.479464610192"/>
    <n v="57345900"/>
    <x v="0"/>
    <n v="-2.5295865851469257"/>
    <n v="103.3085128066332"/>
    <m/>
    <x v="0"/>
    <n v="0"/>
    <s v="Apple Inc."/>
    <s v="Technology"/>
  </r>
  <r>
    <x v="10"/>
    <n v="222.25473022460929"/>
    <n v="228.46097889584823"/>
    <n v="220.36114484151929"/>
    <n v="228.3023493485251"/>
    <n v="66034600"/>
    <x v="0"/>
    <n v="-2.0534783667069179"/>
    <n v="101.18709484518236"/>
    <m/>
    <x v="0"/>
    <n v="0"/>
    <s v="Apple Inc."/>
    <s v="Technology"/>
  </r>
  <r>
    <x v="11"/>
    <n v="222.38360595703125"/>
    <n v="224.85222709050521"/>
    <n v="221.36245288688531"/>
    <n v="222.88923571935769"/>
    <n v="49151500"/>
    <x v="0"/>
    <n v="5.7985597108189957E-2"/>
    <n v="101.24576878632476"/>
    <m/>
    <x v="0"/>
    <n v="0"/>
    <s v="Apple Inc."/>
    <s v="Technology"/>
  </r>
  <r>
    <x v="12"/>
    <n v="222.03663635253903"/>
    <n v="225.82382229500527"/>
    <n v="221.17409763275569"/>
    <n v="225.06043082550624"/>
    <n v="48201800"/>
    <x v="0"/>
    <n v="-0.15602301392633189"/>
    <n v="101.08780208639145"/>
    <m/>
    <x v="0"/>
    <n v="0"/>
    <s v="Apple Inc."/>
    <s v="Technology"/>
  </r>
  <r>
    <x v="13"/>
    <n v="223.07759094238281"/>
    <n v="224.99102381671921"/>
    <n v="220.76759935066607"/>
    <n v="222.44308791792704"/>
    <n v="39960300"/>
    <x v="0"/>
    <n v="0.46882109499757352"/>
    <n v="101.56172302704188"/>
    <m/>
    <x v="0"/>
    <n v="0"/>
    <s v="Apple Inc."/>
    <s v="Technology"/>
  </r>
  <r>
    <x v="14"/>
    <n v="216.66314697265625"/>
    <n v="222.86939506256107"/>
    <n v="215.2652677100796"/>
    <n v="222.0762625279836"/>
    <n v="61777600"/>
    <x v="0"/>
    <n v="-2.8754317915255401"/>
    <n v="98.641384955101202"/>
    <m/>
    <x v="0"/>
    <n v="0"/>
    <s v="Apple Inc."/>
    <s v="Technology"/>
  </r>
  <r>
    <x v="15"/>
    <n v="215.6221923828125"/>
    <n v="218.95333716975929"/>
    <n v="212.77682977395943"/>
    <n v="217.04981289629319"/>
    <n v="51391200"/>
    <x v="0"/>
    <n v="-0.48044838468773721"/>
    <n v="98.167464014450815"/>
    <m/>
    <x v="0"/>
    <n v="0"/>
    <s v="Apple Inc."/>
    <s v="Technology"/>
  </r>
  <r>
    <x v="16"/>
    <n v="216.08816528320313"/>
    <n v="217.60502442671483"/>
    <n v="214.15489978899527"/>
    <n v="216.82180047841348"/>
    <n v="41601300"/>
    <x v="0"/>
    <n v="0.21610618797684999"/>
    <n v="98.379609978765998"/>
    <m/>
    <x v="0"/>
    <n v="0"/>
    <s v="Apple Inc."/>
    <s v="Technology"/>
  </r>
  <r>
    <x v="17"/>
    <n v="216.36575317382807"/>
    <n v="217.41664743865044"/>
    <n v="213.8971319294418"/>
    <n v="215.096747065996"/>
    <n v="36311800"/>
    <x v="0"/>
    <n v="0.1284604782779919"/>
    <n v="98.50598889627274"/>
    <m/>
    <x v="0"/>
    <n v="0"/>
    <s v="Apple Inc."/>
    <s v="Technology"/>
  </r>
  <r>
    <x v="18"/>
    <n v="216.92094421386719"/>
    <n v="218.43780333279801"/>
    <n v="214.26395224147609"/>
    <n v="217.30759428089371"/>
    <n v="46108400"/>
    <x v="0"/>
    <n v="0.25659839040843568"/>
    <n v="98.758753678236474"/>
    <m/>
    <x v="0"/>
    <n v="0"/>
    <s v="Apple Inc."/>
    <s v="Technology"/>
  </r>
  <r>
    <x v="19"/>
    <n v="220.17277526855469"/>
    <n v="221.89783756706771"/>
    <n v="218.73523091700039"/>
    <n v="219.53827220377053"/>
    <n v="50036300"/>
    <x v="0"/>
    <n v="1.4990857920484935"/>
    <n v="100.23923212303107"/>
    <m/>
    <x v="0"/>
    <n v="0"/>
    <s v="Apple Inc."/>
    <s v="Technology"/>
  </r>
  <r>
    <x v="20"/>
    <n v="216.48471069335929"/>
    <n v="222.55214689360599"/>
    <n v="215.15622233135369"/>
    <n v="222.44309097566543"/>
    <n v="62501000"/>
    <x v="0"/>
    <n v="-1.6750774798096169"/>
    <n v="98.560147319804102"/>
    <m/>
    <x v="0"/>
    <n v="0"/>
    <s v="Apple Inc."/>
    <s v="Technology"/>
  </r>
  <r>
    <x v="21"/>
    <n v="217.97183227539065"/>
    <n v="223.66254232334131"/>
    <n v="215.84030263063204"/>
    <n v="217.2679231335739"/>
    <n v="105568600"/>
    <x v="0"/>
    <n v="0.68694069769101862"/>
    <n v="99.237197083448066"/>
    <m/>
    <x v="0"/>
    <n v="0"/>
    <s v="Apple Inc."/>
    <s v="Technology"/>
  </r>
  <r>
    <x v="22"/>
    <n v="207.4727783203125"/>
    <n v="211.66644653820467"/>
    <n v="194.31673780556491"/>
    <n v="197.38019703112641"/>
    <n v="119548600"/>
    <x v="0"/>
    <n v="-4.816702160769748"/>
    <n v="94.457236867242287"/>
    <m/>
    <x v="0"/>
    <n v="0"/>
    <s v="Apple Inc."/>
    <s v="Technology"/>
  </r>
  <r>
    <x v="23"/>
    <n v="205.45030212402344"/>
    <n v="208.18660889381388"/>
    <n v="199.34321577245791"/>
    <n v="203.53688424769564"/>
    <n v="69660500"/>
    <x v="0"/>
    <n v="-0.97481520836752988"/>
    <n v="93.536453356856669"/>
    <m/>
    <x v="0"/>
    <n v="0"/>
    <s v="Apple Inc."/>
    <s v="Technology"/>
  </r>
  <r>
    <x v="24"/>
    <n v="208.01806640625"/>
    <n v="211.80525225793107"/>
    <n v="204.61751548926864"/>
    <n v="205.12313014700663"/>
    <n v="63516400"/>
    <x v="0"/>
    <n v="1.2498225875941849"/>
    <n v="94.705493078545175"/>
    <m/>
    <x v="0"/>
    <n v="0"/>
    <s v="Apple Inc."/>
    <s v="Technology"/>
  </r>
  <r>
    <x v="25"/>
    <n v="211.47810363769531"/>
    <n v="212.36045976406425"/>
    <n v="207.03658185433545"/>
    <n v="211.27982425167653"/>
    <n v="47161100"/>
    <x v="0"/>
    <n v="1.6633349647083184"/>
    <n v="96.280762658420031"/>
    <m/>
    <x v="0"/>
    <n v="0"/>
    <s v="Apple Inc."/>
    <s v="Technology"/>
  </r>
  <r>
    <x v="26"/>
    <n v="214.38291931152344"/>
    <n v="214.91827509282649"/>
    <n v="210.14958617173221"/>
    <n v="210.27847456238189"/>
    <n v="42201600"/>
    <x v="0"/>
    <n v="1.3735775117430959"/>
    <n v="97.603253562430822"/>
    <m/>
    <x v="0"/>
    <n v="0"/>
    <s v="Apple Inc."/>
    <s v="Technology"/>
  </r>
  <r>
    <x v="27"/>
    <n v="215.91146850585929"/>
    <n v="217.87673209050189"/>
    <n v="213.9958359256548"/>
    <n v="214.4623401059105"/>
    <n v="38028100"/>
    <x v="0"/>
    <n v="0.71299952405008415"/>
    <n v="98.299164295788358"/>
    <m/>
    <x v="0"/>
    <n v="0"/>
    <s v="Apple Inc."/>
    <s v="Technology"/>
  </r>
  <r>
    <x v="28"/>
    <n v="219.62364196777344"/>
    <n v="220.23902400333969"/>
    <n v="217.38044783379533"/>
    <n v="217.38044783379533"/>
    <n v="44155300"/>
    <x v="0"/>
    <n v="1.7193035125012024"/>
    <n v="99.989225280285169"/>
    <m/>
    <x v="0"/>
    <n v="0"/>
    <s v="Apple Inc."/>
    <s v="Technology"/>
  </r>
  <r>
    <x v="29"/>
    <n v="220.07029724121091"/>
    <n v="221.37054778476929"/>
    <n v="218.06532277692483"/>
    <n v="218.92885985517657"/>
    <n v="41960600"/>
    <x v="0"/>
    <n v="0.20337303827382414"/>
    <n v="100.19257640568414"/>
    <m/>
    <x v="0"/>
    <n v="0"/>
    <s v="Apple Inc."/>
    <s v="Technology"/>
  </r>
  <r>
    <x v="30"/>
    <n v="223.0479736328125"/>
    <n v="223.67329096872729"/>
    <n v="221.10255033510867"/>
    <n v="222.92887133845011"/>
    <n v="46414000"/>
    <x v="0"/>
    <n v="1.3530569226877009"/>
    <n v="101.5482389967604"/>
    <m/>
    <x v="1"/>
    <n v="0"/>
    <s v="Apple Inc."/>
    <s v="Technology"/>
  </r>
  <r>
    <x v="31"/>
    <n v="224.3680725097656"/>
    <n v="225.14226768918681"/>
    <n v="221.98592068094567"/>
    <n v="222.25391598005481"/>
    <n v="44340200"/>
    <x v="0"/>
    <n v="0.59184526783744307"/>
    <n v="102.14924744383498"/>
    <m/>
    <x v="2"/>
    <n v="0"/>
    <s v="Apple Inc."/>
    <s v="Technology"/>
  </r>
  <r>
    <x v="32"/>
    <n v="224.20924377441409"/>
    <n v="224.30850577318623"/>
    <n v="221.38044340720759"/>
    <n v="224.04051049270504"/>
    <n v="40687800"/>
    <x v="0"/>
    <n v="-7.0789365694889916E-2"/>
    <n v="102.07693663950738"/>
    <m/>
    <x v="3"/>
    <n v="0"/>
    <s v="Apple Inc."/>
    <s v="Technology"/>
  </r>
  <r>
    <x v="33"/>
    <n v="224.82463073730469"/>
    <n v="225.47972359509259"/>
    <n v="223.77252016614801"/>
    <n v="224.09014645304697"/>
    <n v="30299000"/>
    <x v="0"/>
    <n v="0.27446993376853968"/>
    <n v="102.35710713989481"/>
    <m/>
    <x v="4"/>
    <n v="0"/>
    <s v="Apple Inc."/>
    <s v="Technology"/>
  </r>
  <r>
    <x v="34"/>
    <n v="224.71546936035159"/>
    <n v="226.28371522001359"/>
    <n v="223.37552309496601"/>
    <n v="224.83458680157381"/>
    <n v="34765500"/>
    <x v="0"/>
    <n v="-4.8554011451107382E-2"/>
    <n v="102.30740865837309"/>
    <m/>
    <x v="5"/>
    <n v="0"/>
    <s v="Apple Inc."/>
    <s v="Technology"/>
  </r>
  <r>
    <x v="35"/>
    <n v="222.85939025878903"/>
    <n v="226.64103964823343"/>
    <n v="222.23407290784721"/>
    <n v="226.09512887719345"/>
    <n v="43695300"/>
    <x v="0"/>
    <n v="-0.82596854895919947"/>
    <n v="101.46238163959976"/>
    <m/>
    <x v="6"/>
    <n v="0"/>
    <s v="Apple Inc."/>
    <s v="Technology"/>
  </r>
  <r>
    <x v="36"/>
    <n v="225.15219116210929"/>
    <n v="226.52192810531065"/>
    <n v="222.66087229355688"/>
    <n v="223.98097823318813"/>
    <n v="38677300"/>
    <x v="0"/>
    <n v="1.0288105431221828"/>
    <n v="102.50623731921083"/>
    <m/>
    <x v="7"/>
    <n v="0"/>
    <s v="Apple Inc."/>
    <s v="Technology"/>
  </r>
  <r>
    <x v="37"/>
    <n v="225.4896545410156"/>
    <n v="225.58891654674125"/>
    <n v="222.22414052811973"/>
    <n v="225.0727813784282"/>
    <n v="30602200"/>
    <x v="0"/>
    <n v="0.14988234276758217"/>
    <n v="102.65987606918776"/>
    <m/>
    <x v="8"/>
    <n v="0"/>
    <s v="Apple Inc."/>
    <s v="Technology"/>
  </r>
  <r>
    <x v="38"/>
    <n v="226.33331298828125"/>
    <n v="227.14721894521071"/>
    <n v="223.21667715771159"/>
    <n v="224.31841866937577"/>
    <n v="35934600"/>
    <x v="0"/>
    <n v="0.37414507950837006"/>
    <n v="103.04397294413003"/>
    <m/>
    <x v="9"/>
    <n v="0"/>
    <s v="Apple Inc."/>
    <s v="Technology"/>
  </r>
  <r>
    <x v="39"/>
    <n v="224.80479431152344"/>
    <n v="228.14971479709001"/>
    <n v="224.00080843848261"/>
    <n v="226.22414704916849"/>
    <n v="38052200"/>
    <x v="0"/>
    <n v="-0.67533968224861018"/>
    <n v="102.3480761046728"/>
    <m/>
    <x v="10"/>
    <n v="0"/>
    <s v="Apple Inc."/>
    <s v="Technology"/>
  </r>
  <r>
    <x v="40"/>
    <n v="228.08024597167969"/>
    <n v="231.18696212304619"/>
    <n v="227.17702831675669"/>
    <n v="228.38795214561651"/>
    <n v="51906300"/>
    <x v="0"/>
    <n v="1.4570203763614176"/>
    <n v="103.83930842833176"/>
    <m/>
    <x v="11"/>
    <n v="0"/>
    <s v="Apple Inc."/>
    <s v="Technology"/>
  </r>
  <r>
    <x v="41"/>
    <n v="227.29612731933599"/>
    <n v="228.68570457235603"/>
    <n v="225.78743262658827"/>
    <n v="228.47727555703111"/>
    <n v="52990800"/>
    <x v="0"/>
    <n v="-0.34379069042264065"/>
    <n v="103.48231855295592"/>
    <m/>
    <x v="12"/>
    <n v="0"/>
    <s v="Apple Inc."/>
    <s v="Technology"/>
  </r>
  <r>
    <x v="42"/>
    <n v="221.11247253417969"/>
    <n v="227.29611365629745"/>
    <n v="219.52437135882835"/>
    <n v="226.84946493362216"/>
    <n v="50190600"/>
    <x v="0"/>
    <n v="-2.7205279993480436"/>
    <n v="100.66705310234821"/>
    <m/>
    <x v="13"/>
    <n v="0"/>
    <s v="Apple Inc."/>
    <s v="Technology"/>
  </r>
  <r>
    <x v="43"/>
    <n v="219.20677185058599"/>
    <n v="220.12984491677884"/>
    <n v="215.8618360334932"/>
    <n v="220.01074262314265"/>
    <n v="43840200"/>
    <x v="0"/>
    <n v="-0.86186937432899402"/>
    <n v="99.799434601619566"/>
    <m/>
    <x v="14"/>
    <n v="0"/>
    <s v="Apple Inc."/>
    <s v="Technology"/>
  </r>
  <r>
    <x v="44"/>
    <n v="220.72537231445313"/>
    <n v="223.80229748015881"/>
    <n v="219.87177059333371"/>
    <n v="219.98095273714861"/>
    <n v="36615400"/>
    <x v="0"/>
    <n v="0.69277078032161654"/>
    <n v="100.49081592346576"/>
    <m/>
    <x v="15"/>
    <n v="0"/>
    <s v="Apple Inc."/>
    <s v="Technology"/>
  </r>
  <r>
    <x v="45"/>
    <n v="219.17698669433599"/>
    <n v="223.56409767944487"/>
    <n v="218.13479623481729"/>
    <n v="222.28368749781319"/>
    <n v="48423000"/>
    <x v="0"/>
    <n v="-0.70149870125091329"/>
    <n v="99.785874154886216"/>
    <m/>
    <x v="16"/>
    <n v="0"/>
    <s v="Apple Inc."/>
    <s v="Technology"/>
  </r>
  <r>
    <x v="46"/>
    <n v="219.26632690429688"/>
    <n v="219.6236489368284"/>
    <n v="215.09757995493325"/>
    <n v="219.17700018247805"/>
    <n v="67180000"/>
    <x v="0"/>
    <n v="4.0761674529932179E-2"/>
    <n v="99.826548548136088"/>
    <m/>
    <x v="17"/>
    <n v="0"/>
    <s v="Apple Inc."/>
    <s v="Technology"/>
  </r>
  <r>
    <x v="47"/>
    <n v="218.47227478027344"/>
    <n v="219.83207646515768"/>
    <n v="215.11741878341351"/>
    <n v="217.29112653781647"/>
    <n v="51591000"/>
    <x v="0"/>
    <n v="-0.36214047785367853"/>
    <n v="99.465036208199024"/>
    <m/>
    <x v="18"/>
    <n v="0"/>
    <s v="Apple Inc."/>
    <s v="Technology"/>
  </r>
  <r>
    <x v="48"/>
    <n v="221.00331115722656"/>
    <n v="221.43010449037149"/>
    <n v="216.2687979033432"/>
    <n v="219.81224273641337"/>
    <n v="44587100"/>
    <x v="0"/>
    <n v="1.1585160540387607"/>
    <n v="100.61735462082646"/>
    <m/>
    <x v="19"/>
    <n v="0"/>
    <s v="Apple Inc."/>
    <s v="Technology"/>
  </r>
  <r>
    <x v="49"/>
    <n v="221.11247253417969"/>
    <n v="221.88666769221828"/>
    <n v="218.18442519080247"/>
    <n v="220.84447724247241"/>
    <n v="37455600"/>
    <x v="0"/>
    <n v="4.9393548169729407E-2"/>
    <n v="100.66705310234821"/>
    <n v="221.27178619384765"/>
    <x v="20"/>
    <n v="0"/>
    <s v="Apple Inc."/>
    <s v="Technology"/>
  </r>
  <r>
    <x v="50"/>
    <n v="220.84446716308599"/>
    <n v="222.37300197976339"/>
    <n v="220.2588607501888"/>
    <n v="221.91643313573508"/>
    <n v="36766600"/>
    <x v="0"/>
    <n v="-0.12120771298971267"/>
    <n v="100.5450368695487"/>
    <n v="221.29572937011719"/>
    <x v="21"/>
    <n v="0"/>
    <s v="Apple Inc."/>
    <s v="Technology"/>
  </r>
  <r>
    <x v="51"/>
    <n v="214.71047973632807"/>
    <n v="215.60377723416104"/>
    <n v="212.32832783334672"/>
    <n v="214.92882889414329"/>
    <n v="59357400"/>
    <x v="0"/>
    <n v="-2.7775146489081748"/>
    <n v="97.752383741746868"/>
    <n v="221.10201599121095"/>
    <x v="22"/>
    <n v="0"/>
    <s v="Apple Inc."/>
    <s v="Technology"/>
  </r>
  <r>
    <x v="52"/>
    <n v="215.17697143554688"/>
    <n v="215.28615358843467"/>
    <n v="212.904016801209"/>
    <n v="214.14471619981745"/>
    <n v="45519300"/>
    <x v="0"/>
    <n v="0.2172654542953234"/>
    <n v="97.964765902367873"/>
    <n v="220.88828582763671"/>
    <x v="23"/>
    <n v="0"/>
    <s v="Apple Inc."/>
    <s v="Technology"/>
  </r>
  <r>
    <x v="53"/>
    <n v="219.04795837402344"/>
    <n v="221.05293280374121"/>
    <n v="215.92138686335736"/>
    <n v="215.93132215131649"/>
    <n v="59894900"/>
    <x v="0"/>
    <n v="1.7989782608479832"/>
    <n v="99.727130744242103"/>
    <n v="220.73492309570312"/>
    <x v="24"/>
    <n v="0"/>
    <s v="Apple Inc."/>
    <s v="Technology"/>
  </r>
  <r>
    <x v="54"/>
    <n v="227.1670837402344"/>
    <n v="228.11002736409569"/>
    <n v="222.95864123060409"/>
    <n v="223.31596324984213"/>
    <n v="66781300"/>
    <x v="0"/>
    <n v="3.7065514905861852"/>
    <n v="103.42356819536163"/>
    <n v="220.65868194580079"/>
    <x v="25"/>
    <n v="0"/>
    <s v="Apple Inc."/>
    <s v="Technology"/>
  </r>
  <r>
    <x v="55"/>
    <n v="226.5020751953125"/>
    <n v="231.35569055145291"/>
    <n v="225.92638886705737"/>
    <n v="228.25890975350009"/>
    <n v="318679900"/>
    <x v="0"/>
    <n v="-0.29273983447458685"/>
    <n v="103.12080621301882"/>
    <n v="220.67641082763672"/>
    <x v="26"/>
    <n v="1"/>
    <s v="Apple Inc."/>
    <s v="Technology"/>
  </r>
  <r>
    <x v="56"/>
    <n v="224.78495788574219"/>
    <n v="227.74278104335207"/>
    <n v="224.12986496132828"/>
    <n v="225.64847983003369"/>
    <n v="54146000"/>
    <x v="0"/>
    <n v="-0.75810224170778095"/>
    <n v="102.33904506945078"/>
    <n v="220.60090789794921"/>
    <x v="27"/>
    <n v="0"/>
    <s v="Apple Inc."/>
    <s v="Technology"/>
  </r>
  <r>
    <x v="57"/>
    <n v="225.67823791503903"/>
    <n v="227.64351653597865"/>
    <n v="224.05044101841321"/>
    <n v="226.94871280288089"/>
    <n v="43556100"/>
    <x v="0"/>
    <n v="0.39739315197011571"/>
    <n v="102.74573342634838"/>
    <n v="220.46673370361327"/>
    <x v="28"/>
    <n v="0"/>
    <s v="Apple Inc."/>
    <s v="Technology"/>
  </r>
  <r>
    <x v="58"/>
    <n v="224.68568420410159"/>
    <n v="225.59883710649481"/>
    <n v="222.35317851779169"/>
    <n v="223.25639613244061"/>
    <n v="42308700"/>
    <x v="0"/>
    <n v="-0.43980922578414905"/>
    <n v="102.29384821163971"/>
    <n v="220.30438079833985"/>
    <x v="29"/>
    <n v="0"/>
    <s v="Apple Inc."/>
    <s v="Technology"/>
  </r>
  <r>
    <x v="59"/>
    <n v="225.82711791992188"/>
    <n v="226.79982188690559"/>
    <n v="223.73281698946681"/>
    <n v="225.60875364127691"/>
    <n v="36636700"/>
    <x v="0"/>
    <n v="0.50801354784286712"/>
    <n v="102.81351481916468"/>
    <n v="220.28263580322266"/>
    <x v="30"/>
    <n v="0"/>
    <s v="Apple Inc."/>
    <s v="Technology"/>
  </r>
  <r>
    <x v="60"/>
    <n v="226.0951232910156"/>
    <n v="227.81226214161185"/>
    <n v="225.60877882586061"/>
    <n v="226.76015148810569"/>
    <n v="34026000"/>
    <x v="0"/>
    <n v="0.11867723130964958"/>
    <n v="102.93553105196418"/>
    <n v="220.35944366455078"/>
    <x v="31"/>
    <n v="0"/>
    <s v="Apple Inc."/>
    <s v="Technology"/>
  </r>
  <r>
    <x v="61"/>
    <n v="231.26637268066409"/>
    <n v="231.26637268066409"/>
    <n v="227.94129216556479"/>
    <n v="228.32838978012128"/>
    <n v="54541900"/>
    <x v="0"/>
    <n v="2.2872007650480697"/>
    <n v="105.28987330569102"/>
    <n v="220.53709899902344"/>
    <x v="32"/>
    <n v="0"/>
    <s v="Apple Inc."/>
    <s v="Technology"/>
  </r>
  <r>
    <x v="62"/>
    <n v="224.52688598632807"/>
    <n v="227.94127786565329"/>
    <n v="222.07526286618744"/>
    <n v="227.81225543239967"/>
    <n v="63285000"/>
    <x v="0"/>
    <n v="-2.914166299327059"/>
    <n v="102.2215513012124"/>
    <n v="220.58690399169922"/>
    <x v="33"/>
    <n v="0"/>
    <s v="Apple Inc."/>
    <s v="Technology"/>
  </r>
  <r>
    <x v="63"/>
    <n v="225.09263610839844"/>
    <n v="225.67824256269321"/>
    <n v="221.36061794166201"/>
    <n v="224.20925878310885"/>
    <n v="32880600"/>
    <x v="0"/>
    <n v="0.25197433242130085"/>
    <n v="102.47912337269433"/>
    <n v="220.62720489501953"/>
    <x v="34"/>
    <n v="0"/>
    <s v="Apple Inc."/>
    <s v="Technology"/>
  </r>
  <r>
    <x v="64"/>
    <n v="223.99087524414065"/>
    <n v="225.12239234050705"/>
    <n v="221.65836976978889"/>
    <n v="223.46481998018768"/>
    <n v="34044200"/>
    <x v="0"/>
    <n v="-0.4894699725881746"/>
    <n v="101.9775188356134"/>
    <n v="220.77375946044921"/>
    <x v="35"/>
    <n v="0"/>
    <s v="Apple Inc."/>
    <s v="Technology"/>
  </r>
  <r>
    <x v="65"/>
    <n v="225.11250305175781"/>
    <n v="226.30357145139808"/>
    <n v="222.46237094034984"/>
    <n v="226.20430944090447"/>
    <n v="37245100"/>
    <x v="0"/>
    <n v="0.50074709802112594"/>
    <n v="102.48816830181669"/>
    <n v="220.96356567382813"/>
    <x v="36"/>
    <n v="0"/>
    <s v="Apple Inc."/>
    <s v="Technology"/>
  </r>
  <r>
    <x v="66"/>
    <n v="220.04049682617188"/>
    <n v="224.01073444452047"/>
    <n v="219.68317483471031"/>
    <n v="222.8295863298211"/>
    <n v="39505400"/>
    <x v="0"/>
    <n v="-2.2530984093850126"/>
    <n v="100.17900901200061"/>
    <n v="221.04261230468751"/>
    <x v="37"/>
    <n v="0"/>
    <s v="Apple Inc."/>
    <s v="Technology"/>
  </r>
  <r>
    <x v="67"/>
    <n v="224.09016418457031"/>
    <n v="224.29859319974199"/>
    <n v="221.58890998571715"/>
    <n v="222.63110049734399"/>
    <n v="31855700"/>
    <x v="0"/>
    <n v="1.8404191123044145"/>
    <n v="102.02272264037464"/>
    <n v="221.19710052490234"/>
    <x v="38"/>
    <n v="0"/>
    <s v="Apple Inc."/>
    <s v="Technology"/>
  </r>
  <r>
    <x v="68"/>
    <n v="227.83209228515625"/>
    <n v="228.0405364361267"/>
    <n v="223.157145699626"/>
    <n v="223.55416342639623"/>
    <n v="33591100"/>
    <x v="0"/>
    <n v="1.6698314779687973"/>
    <n v="103.72633017770441"/>
    <n v="221.41532348632813"/>
    <x v="39"/>
    <n v="0"/>
    <s v="Apple Inc."/>
    <s v="Technology"/>
  </r>
  <r>
    <x v="69"/>
    <n v="227.3358154296875"/>
    <n v="227.7923994519787"/>
    <n v="225.47973405841245"/>
    <n v="226.08519594381181"/>
    <n v="28183500"/>
    <x v="0"/>
    <n v="-0.217825702468466"/>
    <n v="103.50038757035007"/>
    <n v="221.55858428955079"/>
    <x v="40"/>
    <n v="0"/>
    <s v="Apple Inc."/>
    <s v="Technology"/>
  </r>
  <r>
    <x v="70"/>
    <n v="225.85691833496091"/>
    <n v="227.70307961960657"/>
    <n v="225.64847417505069"/>
    <n v="227.59389746827381"/>
    <n v="31759200"/>
    <x v="0"/>
    <n v="-0.65053414127964615"/>
    <n v="102.8270822128482"/>
    <n v="221.74602844238282"/>
    <x v="41"/>
    <n v="0"/>
    <s v="Apple Inc."/>
    <s v="Technology"/>
  </r>
  <r>
    <x v="71"/>
    <n v="229.57902526855469"/>
    <n v="230.00581860221664"/>
    <n v="226.89911753216435"/>
    <n v="226.99836439928595"/>
    <n v="39882100"/>
    <x v="0"/>
    <n v="1.6479933229557542"/>
    <n v="104.52166566190616"/>
    <n v="221.97817230224609"/>
    <x v="42"/>
    <n v="0"/>
    <s v="Apple Inc."/>
    <s v="Technology"/>
  </r>
  <r>
    <x v="72"/>
    <n v="232.11004638671875"/>
    <n v="235.72296238042171"/>
    <n v="230.64104741420039"/>
    <n v="231.87182665313995"/>
    <n v="64751400"/>
    <x v="0"/>
    <n v="1.1024618277751363"/>
    <n v="105.67397712758341"/>
    <n v="222.47091766357423"/>
    <x v="43"/>
    <n v="0"/>
    <s v="Apple Inc."/>
    <s v="Technology"/>
  </r>
  <r>
    <x v="73"/>
    <n v="230.05540466308599"/>
    <n v="230.39287120683147"/>
    <n v="228.12983710309089"/>
    <n v="229.87675125001607"/>
    <n v="34082200"/>
    <x v="0"/>
    <n v="-0.88520154798018558"/>
    <n v="104.73854944623784"/>
    <n v="222.96301971435548"/>
    <x v="44"/>
    <n v="0"/>
    <s v="Apple Inc."/>
    <s v="Technology"/>
  </r>
  <r>
    <x v="74"/>
    <n v="230.42268371582031"/>
    <n v="232.11004699556463"/>
    <n v="228.8048220166126"/>
    <n v="231.69315867439417"/>
    <n v="32993800"/>
    <x v="0"/>
    <n v="0.15964808706503408"/>
    <n v="104.9057625368484"/>
    <n v="223.41111206054688"/>
    <x v="45"/>
    <n v="0"/>
    <s v="Apple Inc."/>
    <s v="Technology"/>
  </r>
  <r>
    <x v="75"/>
    <n v="233.25148010253903"/>
    <n v="234.42269303077791"/>
    <n v="232.26884075534687"/>
    <n v="234.42269303077791"/>
    <n v="46431500"/>
    <x v="0"/>
    <n v="1.2276553423913095"/>
    <n v="106.19364373510838"/>
    <n v="223.84657958984374"/>
    <x v="46"/>
    <n v="0"/>
    <s v="Apple Inc."/>
    <s v="Technology"/>
  </r>
  <r>
    <x v="76"/>
    <n v="234.72047424316409"/>
    <n v="235.08773156933623"/>
    <n v="232.7055796017645"/>
    <n v="232.7055796017645"/>
    <n v="36254500"/>
    <x v="0"/>
    <n v="0.62978984741244304"/>
    <n v="106.86244052194942"/>
    <n v="224.25333068847655"/>
    <x v="47"/>
    <n v="0"/>
    <s v="Apple Inc."/>
    <s v="Technology"/>
  </r>
  <r>
    <x v="77"/>
    <n v="234.10508728027344"/>
    <n v="234.4624093106695"/>
    <n v="230.86934872103879"/>
    <n v="232.14974382855843"/>
    <n v="38846600"/>
    <x v="0"/>
    <n v="-0.26217864669663138"/>
    <n v="106.58227002156198"/>
    <n v="224.61720306396484"/>
    <x v="48"/>
    <n v="0"/>
    <s v="Apple Inc."/>
    <s v="Technology"/>
  </r>
  <r>
    <x v="78"/>
    <n v="229.04302978515625"/>
    <n v="233.39044533687328"/>
    <n v="226.06535121992681"/>
    <n v="232.33833466706656"/>
    <n v="52287000"/>
    <x v="0"/>
    <n v="-2.162301363855812"/>
    <n v="104.27764014325727"/>
    <n v="224.80559082031249"/>
    <x v="49"/>
    <n v="0"/>
    <s v="Apple Inc."/>
    <s v="Technology"/>
  </r>
  <r>
    <x v="79"/>
    <n v="228.85446166992188"/>
    <n v="229.10260155629064"/>
    <n v="226.71052941683399"/>
    <n v="228.26884002769643"/>
    <n v="31109500"/>
    <x v="0"/>
    <n v="-8.2328685317889505E-2"/>
    <n v="104.19178973304682"/>
    <n v="224.98127410888671"/>
    <x v="50"/>
    <n v="0"/>
    <s v="Apple Inc."/>
    <s v="Technology"/>
  </r>
  <r>
    <x v="80"/>
    <n v="229.68821716308599"/>
    <n v="231.48474758840828"/>
    <n v="227.86191116183889"/>
    <n v="228.03064447383119"/>
    <n v="38802300"/>
    <x v="0"/>
    <n v="0.36431690563527575"/>
    <n v="104.57137803732826"/>
    <n v="225.11407897949218"/>
    <x v="51"/>
    <n v="0"/>
    <s v="Apple Inc."/>
    <s v="Technology"/>
  </r>
  <r>
    <x v="81"/>
    <n v="231.66336059570313"/>
    <n v="232.98346643048399"/>
    <n v="230.81969418304561"/>
    <n v="231.58396917060392"/>
    <n v="36087100"/>
    <x v="0"/>
    <n v="0.85992370745544555"/>
    <n v="105.4706121082841"/>
    <n v="225.25998474121093"/>
    <x v="52"/>
    <n v="0"/>
    <s v="Apple Inc."/>
    <s v="Technology"/>
  </r>
  <r>
    <x v="82"/>
    <n v="231.93136596679688"/>
    <n v="232.58645884177281"/>
    <n v="230.59141979007919"/>
    <n v="231.36561495313973"/>
    <n v="35417200"/>
    <x v="0"/>
    <n v="0.11568742264835841"/>
    <n v="105.59262834108362"/>
    <n v="225.4144271850586"/>
    <x v="53"/>
    <n v="0"/>
    <s v="Apple Inc."/>
    <s v="Technology"/>
  </r>
  <r>
    <x v="83"/>
    <n v="228.38792419433599"/>
    <n v="231.73284452872849"/>
    <n v="227.842013494816"/>
    <n v="230.87924283818489"/>
    <n v="47070900"/>
    <x v="0"/>
    <n v="-1.5277975696345258"/>
    <n v="103.97938673157535"/>
    <n v="225.48569305419923"/>
    <x v="54"/>
    <n v="0"/>
    <s v="Apple Inc."/>
    <s v="Technology"/>
  </r>
  <r>
    <x v="84"/>
    <n v="224.2291259765625"/>
    <n v="228.11995749798112"/>
    <n v="223.69313535160188"/>
    <n v="227.63359787833264"/>
    <n v="64370100"/>
    <x v="0"/>
    <n v="-1.8209361254296286"/>
    <n v="102.08598851557991"/>
    <n v="225.47596618652344"/>
    <x v="55"/>
    <n v="0"/>
    <s v="Apple Inc."/>
    <s v="Technology"/>
  </r>
  <r>
    <x v="85"/>
    <n v="221.25143432617188"/>
    <n v="223.67328184782377"/>
    <n v="218.63107794025871"/>
    <n v="219.32586653780089"/>
    <n v="65276700"/>
    <x v="0"/>
    <n v="-1.3279682723741582"/>
    <n v="100.73031897755347"/>
    <n v="225.44380706787109"/>
    <x v="56"/>
    <n v="0"/>
    <s v="Apple Inc."/>
    <s v="Technology"/>
  </r>
  <r>
    <x v="86"/>
    <n v="220.35812377929688"/>
    <n v="221.13231895883283"/>
    <n v="218.07524910106579"/>
    <n v="219.34572401852256"/>
    <n v="44944500"/>
    <x v="0"/>
    <n v="-0.40375356191276746"/>
    <n v="100.32361672675552"/>
    <n v="225.34792572021485"/>
    <x v="57"/>
    <n v="0"/>
    <s v="Apple Inc."/>
    <s v="Technology"/>
  </r>
  <r>
    <x v="87"/>
    <n v="221.78739929199219"/>
    <n v="222.28367900181769"/>
    <n v="219.49458945583885"/>
    <n v="220.14968230766976"/>
    <n v="28111300"/>
    <x v="0"/>
    <n v="0.64861484940161862"/>
    <n v="100.974330602302"/>
    <n v="225.27388061523436"/>
    <x v="58"/>
    <n v="0"/>
    <s v="Apple Inc."/>
    <s v="Technology"/>
  </r>
  <r>
    <x v="88"/>
    <n v="221.06283569335929"/>
    <n v="224.38791581537041"/>
    <n v="219.54422098922427"/>
    <n v="220.95365355112239"/>
    <n v="54561100"/>
    <x v="0"/>
    <n v="-0.32669286034550105"/>
    <n v="100.64445467344262"/>
    <n v="225.16847106933594"/>
    <x v="59"/>
    <n v="0"/>
    <s v="Apple Inc."/>
    <s v="Technology"/>
  </r>
  <r>
    <x v="89"/>
    <n v="225.78744506835929"/>
    <n v="226.18447798056903"/>
    <n v="222.89910825147632"/>
    <n v="222.95865940199351"/>
    <n v="42137700"/>
    <x v="0"/>
    <n v="2.1372246312598708"/>
    <n v="102.79545274872062"/>
    <n v="225.18812408447266"/>
    <x v="60"/>
    <n v="0"/>
    <s v="Apple Inc."/>
    <s v="Technology"/>
  </r>
  <r>
    <x v="90"/>
    <n v="225.51914978027344"/>
    <n v="227.2083542879204"/>
    <n v="224.97263842611511"/>
    <n v="225.72780810336752"/>
    <n v="38328800"/>
    <x v="0"/>
    <n v="-0.11882648656776906"/>
    <n v="102.6733045238679"/>
    <n v="225.13690216064452"/>
    <x v="61"/>
    <n v="0"/>
    <s v="Apple Inc."/>
    <s v="Technology"/>
  </r>
  <r>
    <x v="91"/>
    <n v="222.80645751953125"/>
    <n v="224.26712634517853"/>
    <n v="220.0937933412938"/>
    <n v="223.57157337151739"/>
    <n v="42005600"/>
    <x v="0"/>
    <n v="-1.2028655940682698"/>
    <n v="101.43828266945734"/>
    <n v="225.04710876464844"/>
    <x v="62"/>
    <n v="0"/>
    <s v="Apple Inc."/>
    <s v="Technology"/>
  </r>
  <r>
    <x v="92"/>
    <n v="222.80645751953125"/>
    <n v="224.15782408060912"/>
    <n v="221.94198562097503"/>
    <n v="223.1244332571579"/>
    <n v="40398300"/>
    <x v="0"/>
    <n v="0"/>
    <n v="101.43828266945734"/>
    <n v="225.08098846435547"/>
    <x v="63"/>
    <n v="0"/>
    <s v="Apple Inc."/>
    <s v="Technology"/>
  </r>
  <r>
    <x v="93"/>
    <n v="223.6908264160156"/>
    <n v="225.21111203603911"/>
    <n v="221.34580821096"/>
    <n v="222.58787261698691"/>
    <n v="48566200"/>
    <x v="0"/>
    <n v="0.3969224708879171"/>
    <n v="101.84091400745521"/>
    <n v="225.17066955566406"/>
    <x v="64"/>
    <n v="0"/>
    <s v="Apple Inc."/>
    <s v="Technology"/>
  </r>
  <r>
    <x v="94"/>
    <n v="226.77114868164065"/>
    <n v="227.41701609796439"/>
    <n v="223.571589608512"/>
    <n v="223.59146688403663"/>
    <n v="44923900"/>
    <x v="0"/>
    <n v="1.3770445194280612"/>
    <n v="103.24330873233032"/>
    <n v="225.29158508300782"/>
    <x v="65"/>
    <n v="0"/>
    <s v="Apple Inc."/>
    <s v="Technology"/>
  </r>
  <r>
    <x v="95"/>
    <n v="223.57157897949219"/>
    <n v="225.47938796735369"/>
    <n v="222.8462176574736"/>
    <n v="224.96268496170848"/>
    <n v="47923700"/>
    <x v="0"/>
    <n v="-1.4109245028521178"/>
    <n v="101.78662359187061"/>
    <n v="225.37947692871094"/>
    <x v="66"/>
    <n v="0"/>
    <s v="Apple Inc."/>
    <s v="Technology"/>
  </r>
  <r>
    <x v="96"/>
    <n v="226.57241821289065"/>
    <n v="228.28149999782983"/>
    <n v="223.74050538640265"/>
    <n v="223.81999932546009"/>
    <n v="44633700"/>
    <x v="0"/>
    <n v="1.3422275081188761"/>
    <n v="103.15283165330611"/>
    <n v="225.52559875488282"/>
    <x v="67"/>
    <n v="0"/>
    <s v="Apple Inc."/>
    <s v="Technology"/>
  </r>
  <r>
    <x v="97"/>
    <n v="226.83078002929688"/>
    <n v="228.69884983965085"/>
    <n v="225.22106933173129"/>
    <n v="225.53902995111423"/>
    <n v="36211800"/>
    <x v="0"/>
    <n v="0.11403056843550807"/>
    <n v="103.27045741359771"/>
    <n v="225.69276885986329"/>
    <x v="68"/>
    <n v="0"/>
    <s v="Apple Inc."/>
    <s v="Technology"/>
  </r>
  <r>
    <x v="98"/>
    <n v="227.54618835449219"/>
    <n v="228.47027695087479"/>
    <n v="224.45593165289552"/>
    <n v="226.61215353970653"/>
    <n v="35169600"/>
    <x v="0"/>
    <n v="0.31539296611460266"/>
    <n v="103.59616517235457"/>
    <n v="225.82362640380859"/>
    <x v="69"/>
    <n v="0"/>
    <s v="Apple Inc."/>
    <s v="Technology"/>
  </r>
  <r>
    <x v="99"/>
    <n v="227.06922912597656"/>
    <n v="228.69881686539628"/>
    <n v="224.27707103239013"/>
    <n v="227.42694424740611"/>
    <n v="42108300"/>
    <x v="0"/>
    <n v="-0.20960985194468096"/>
    <n v="103.37901740391642"/>
    <n v="225.94276153564454"/>
    <x v="70"/>
    <n v="0"/>
    <s v="Apple Inc."/>
    <s v="Technology"/>
  </r>
  <r>
    <x v="100"/>
    <n v="228.41067504882807"/>
    <n v="229.25528492407807"/>
    <n v="226.61216818417896"/>
    <n v="226.61216818417896"/>
    <n v="38168300"/>
    <x v="0"/>
    <n v="0.59076517237273141"/>
    <n v="103.9897446342799"/>
    <n v="226.09408569335938"/>
    <x v="71"/>
    <n v="0"/>
    <s v="Apple Inc."/>
    <s v="Technology"/>
  </r>
  <r>
    <x v="101"/>
    <n v="231.39161682128903"/>
    <n v="231.7692092379923"/>
    <n v="228.28149797848931"/>
    <n v="229.99057974831032"/>
    <n v="90152800"/>
    <x v="0"/>
    <n v="1.3050798837767719"/>
    <n v="105.34689387269272"/>
    <n v="226.42770843505861"/>
    <x v="72"/>
    <n v="1"/>
    <s v="Apple Inc."/>
    <s v="Technology"/>
  </r>
  <r>
    <x v="102"/>
    <n v="233.56771850585929"/>
    <n v="234.07449047305911"/>
    <n v="231.84870566104107"/>
    <n v="231.84870566104107"/>
    <n v="45986200"/>
    <x v="0"/>
    <n v="0.94044102135770746"/>
    <n v="106.33761927739769"/>
    <n v="226.79552337646484"/>
    <x v="73"/>
    <n v="0"/>
    <s v="Apple Inc."/>
    <s v="Technology"/>
  </r>
  <r>
    <x v="103"/>
    <n v="233.43853759765625"/>
    <n v="234.19372243475061"/>
    <n v="232.32565277909848"/>
    <n v="232.98146640228509"/>
    <n v="33498400"/>
    <x v="0"/>
    <n v="-5.5307689362815715E-2"/>
    <n v="106.27880639725194"/>
    <n v="227.08333496093749"/>
    <x v="74"/>
    <n v="0"/>
    <s v="Apple Inc."/>
    <s v="Technology"/>
  </r>
  <r>
    <x v="104"/>
    <n v="235.8233337402344"/>
    <n v="236.30028225823045"/>
    <n v="232.48466379042171"/>
    <n v="233.31932748739487"/>
    <n v="28481400"/>
    <x v="0"/>
    <n v="1.0215948776583161"/>
    <n v="107.36454523944268"/>
    <n v="227.25645996093749"/>
    <x v="75"/>
    <n v="0"/>
    <s v="Apple Inc."/>
    <s v="Technology"/>
  </r>
  <r>
    <x v="105"/>
    <n v="238.0689697265625"/>
    <n v="239.26134854667043"/>
    <n v="235.65440375298792"/>
    <n v="235.76370602927639"/>
    <n v="48137100"/>
    <x v="0"/>
    <n v="0.952253515677004"/>
    <n v="108.38692789607589"/>
    <n v="227.4877978515625"/>
    <x v="76"/>
    <n v="0"/>
    <s v="Apple Inc."/>
    <s v="Technology"/>
  </r>
  <r>
    <x v="106"/>
    <n v="241.10954284667969"/>
    <n v="241.21884512379424"/>
    <n v="237.38334952948239"/>
    <n v="238.2875760799829"/>
    <n v="38861000"/>
    <x v="0"/>
    <n v="1.2771816182552076"/>
    <n v="109.7712258157561"/>
    <n v="227.81428955078124"/>
    <x v="77"/>
    <n v="0"/>
    <s v="Apple Inc."/>
    <s v="Technology"/>
  </r>
  <r>
    <x v="107"/>
    <n v="241.46725463867188"/>
    <n v="242.56027739454964"/>
    <n v="239.71843339118669"/>
    <n v="241.32814402991647"/>
    <n v="44383900"/>
    <x v="0"/>
    <n v="0.14836069438348698"/>
    <n v="109.93408316860962"/>
    <n v="228.1300698852539"/>
    <x v="78"/>
    <n v="0"/>
    <s v="Apple Inc."/>
    <s v="Technology"/>
  </r>
  <r>
    <x v="108"/>
    <n v="241.4970703125"/>
    <n v="242.98754766386449"/>
    <n v="240.59285890906449"/>
    <n v="242.44105143123323"/>
    <n v="40033900"/>
    <x v="0"/>
    <n v="1.2347708956528258E-2"/>
    <n v="109.94765750924331"/>
    <n v="228.46629760742186"/>
    <x v="79"/>
    <n v="0"/>
    <s v="Apple Inc."/>
    <s v="Technology"/>
  </r>
  <r>
    <x v="109"/>
    <n v="241.29832458496091"/>
    <n v="243.0769692456264"/>
    <n v="240.54315490962409"/>
    <n v="241.36788746709487"/>
    <n v="36870600"/>
    <x v="0"/>
    <n v="-8.2297365877737061E-2"/>
    <n v="109.85717348326894"/>
    <n v="228.77572174072264"/>
    <x v="80"/>
    <n v="0"/>
    <s v="Apple Inc."/>
    <s v="Technology"/>
  </r>
  <r>
    <x v="110"/>
    <n v="245.1835021972656"/>
    <n v="245.67039687977771"/>
    <n v="240.21524480725009"/>
    <n v="240.29473874492049"/>
    <n v="44649200"/>
    <x v="0"/>
    <n v="1.6101137954386058"/>
    <n v="111.62599898880197"/>
    <n v="229.15748931884767"/>
    <x v="81"/>
    <n v="0"/>
    <s v="Apple Inc."/>
    <s v="Technology"/>
  </r>
  <r>
    <x v="111"/>
    <n v="246.19703674316409"/>
    <n v="246.63424582967983"/>
    <n v="243.7824557106041"/>
    <n v="245.32261857013248"/>
    <n v="36914800"/>
    <x v="0"/>
    <n v="0.41337795439557734"/>
    <n v="112.08743625999551"/>
    <n v="229.45610260009767"/>
    <x v="82"/>
    <n v="0"/>
    <s v="Apple Inc."/>
    <s v="Technology"/>
  </r>
  <r>
    <x v="112"/>
    <n v="244.9251708984375"/>
    <n v="249.20780656351599"/>
    <n v="244.69662013013263"/>
    <n v="246.3858398593606"/>
    <n v="45205800"/>
    <x v="0"/>
    <n v="-0.51660485501838771"/>
    <n v="111.50838712241074"/>
    <n v="229.86406829833984"/>
    <x v="83"/>
    <n v="0"/>
    <s v="Apple Inc."/>
    <s v="Technology"/>
  </r>
  <r>
    <x v="113"/>
    <n v="246.38584899902344"/>
    <n v="247.16089600762041"/>
    <n v="244.12030947937123"/>
    <n v="245.32263454558529"/>
    <n v="32777500"/>
    <x v="0"/>
    <n v="0.59637729157353547"/>
    <n v="112.17339782140867"/>
    <n v="230.28993255615234"/>
    <x v="84"/>
    <n v="0"/>
    <s v="Apple Inc."/>
    <s v="Technology"/>
  </r>
  <r>
    <x v="114"/>
    <n v="246.55474853515625"/>
    <n v="247.70737273801879"/>
    <n v="244.67674782957272"/>
    <n v="246.24671899982584"/>
    <n v="33155300"/>
    <x v="0"/>
    <n v="6.8550826607527426E-2"/>
    <n v="112.25029361284902"/>
    <n v="230.74121002197265"/>
    <x v="85"/>
    <n v="0"/>
    <s v="Apple Inc."/>
    <s v="Technology"/>
  </r>
  <r>
    <x v="115"/>
    <n v="249.44627380371091"/>
    <n v="249.7841268474892"/>
    <n v="246.07779571830559"/>
    <n v="246.4156487620838"/>
    <n v="51694800"/>
    <x v="0"/>
    <n v="1.1727720864164848"/>
    <n v="113.56673372326105"/>
    <n v="231.22788543701171"/>
    <x v="86"/>
    <n v="0"/>
    <s v="Apple Inc."/>
    <s v="Technology"/>
  </r>
  <r>
    <x v="116"/>
    <n v="251.87077331542969"/>
    <n v="252.21855739876369"/>
    <n v="248.19426586582333"/>
    <n v="248.49236434269267"/>
    <n v="51356400"/>
    <x v="0"/>
    <n v="0.97195258712368116"/>
    <n v="114.67054852979615"/>
    <n v="231.86449096679686"/>
    <x v="87"/>
    <n v="0"/>
    <s v="Apple Inc."/>
    <s v="Technology"/>
  </r>
  <r>
    <x v="117"/>
    <n v="246.47526550292969"/>
    <n v="252.66571030089611"/>
    <n v="246.16723595396931"/>
    <n v="250.55917390522964"/>
    <n v="56774100"/>
    <x v="0"/>
    <n v="-2.1421730443265674"/>
    <n v="112.21410694940943"/>
    <n v="232.31219299316408"/>
    <x v="88"/>
    <n v="0"/>
    <s v="Apple Inc."/>
    <s v="Technology"/>
  </r>
  <r>
    <x v="118"/>
    <n v="248.2041931152344"/>
    <n v="250.40016952717301"/>
    <n v="245.52133718839829"/>
    <n v="245.92873792847348"/>
    <n v="60882300"/>
    <x v="0"/>
    <n v="0.70146089863292183"/>
    <n v="113.00124503240967"/>
    <n v="232.71963500976563"/>
    <x v="89"/>
    <n v="0"/>
    <s v="Apple Inc."/>
    <s v="Technology"/>
  </r>
  <r>
    <x v="119"/>
    <n v="252.8743896484375"/>
    <n v="253.3811464831127"/>
    <n v="244.13025293349912"/>
    <n v="246.4653249902114"/>
    <n v="147495300"/>
    <x v="0"/>
    <n v="1.8815945349621277"/>
    <n v="115.12747028337864"/>
    <n v="233.23040649414062"/>
    <x v="90"/>
    <n v="1"/>
    <s v="Apple Inc."/>
    <s v="Technology"/>
  </r>
  <r>
    <x v="120"/>
    <n v="253.64942932128903"/>
    <n v="254.02700659111463"/>
    <n v="251.84097626600601"/>
    <n v="253.15260355822247"/>
    <n v="40858800"/>
    <x v="0"/>
    <n v="0.30649195987344502"/>
    <n v="115.4803267234029"/>
    <n v="233.78625671386717"/>
    <x v="91"/>
    <n v="0"/>
    <s v="Apple Inc."/>
    <s v="Technology"/>
  </r>
  <r>
    <x v="121"/>
    <n v="256.56085205078125"/>
    <n v="256.57076794644621"/>
    <n v="253.66930713005149"/>
    <n v="253.86804957710976"/>
    <n v="23234700"/>
    <x v="0"/>
    <n v="1.1478136328879396"/>
    <n v="116.80582565683765"/>
    <n v="234.32589324951172"/>
    <x v="92"/>
    <n v="0"/>
    <s v="Apple Inc."/>
    <s v="Technology"/>
  </r>
  <r>
    <x v="122"/>
    <n v="257.37557983398438"/>
    <n v="258.44874034869082"/>
    <n v="255.99442012888889"/>
    <n v="256.55086249805703"/>
    <n v="27237100"/>
    <x v="0"/>
    <n v="0.31755732672802406"/>
    <n v="117.17675111425612"/>
    <n v="234.83120391845702"/>
    <x v="93"/>
    <n v="0"/>
    <s v="Apple Inc."/>
    <s v="Technology"/>
  </r>
  <r>
    <x v="123"/>
    <n v="253.96739196777344"/>
    <n v="257.05766400729362"/>
    <n v="251.45345479939439"/>
    <n v="256.19316170058187"/>
    <n v="42355300"/>
    <x v="0"/>
    <n v="-1.3242079409434782"/>
    <n v="115.62508727106156"/>
    <n v="235.30944366455077"/>
    <x v="94"/>
    <n v="0"/>
    <s v="Apple Inc."/>
    <s v="Technology"/>
  </r>
  <r>
    <x v="124"/>
    <n v="250.59892272949219"/>
    <n v="251.89067280188581"/>
    <n v="249.15813098648081"/>
    <n v="250.62873106361576"/>
    <n v="35557500"/>
    <x v="0"/>
    <n v="-1.3263392643370064"/>
    <n v="114.09150633916154"/>
    <n v="235.71296844482421"/>
    <x v="95"/>
    <n v="0"/>
    <s v="Apple Inc."/>
    <s v="Technology"/>
  </r>
  <r>
    <x v="125"/>
    <n v="248.8302001953125"/>
    <n v="251.67204401623761"/>
    <n v="247.84647977817443"/>
    <n v="250.83738041728799"/>
    <n v="39480700"/>
    <x v="0"/>
    <n v="-0.70579813947920789"/>
    <n v="113.28625061011594"/>
    <n v="236.02454284667968"/>
    <x v="96"/>
    <n v="0"/>
    <s v="Apple Inc."/>
    <s v="Technology"/>
  </r>
  <r>
    <x v="126"/>
    <n v="242.30192565917969"/>
    <n v="247.51859606258611"/>
    <n v="240.28481431614929"/>
    <n v="247.34966196417784"/>
    <n v="55740700"/>
    <x v="0"/>
    <n v="-2.6235860964660351"/>
    <n v="110.31408828990128"/>
    <n v="236.17617187499999"/>
    <x v="97"/>
    <n v="0"/>
    <s v="Apple Inc."/>
    <s v="Technology"/>
  </r>
  <r>
    <x v="127"/>
    <n v="241.8150329589844"/>
    <n v="242.62981931594803"/>
    <n v="240.35436402102189"/>
    <n v="241.8150329589844"/>
    <n v="40244100"/>
    <x v="0"/>
    <n v="-0.20094462677946456"/>
    <n v="110.09241805690198"/>
    <n v="236.33037078857421"/>
    <x v="98"/>
    <n v="0"/>
    <s v="Apple Inc."/>
    <s v="Technology"/>
  </r>
  <r>
    <x v="128"/>
    <n v="243.44461059570313"/>
    <n v="245.75982034447205"/>
    <n v="241.65603491404491"/>
    <n v="242.75898865424097"/>
    <n v="45045600"/>
    <x v="0"/>
    <n v="0.67389426404897979"/>
    <n v="110.83432454734023"/>
    <n v="236.61840240478514"/>
    <x v="99"/>
    <n v="0"/>
    <s v="Apple Inc."/>
    <s v="Technology"/>
  </r>
  <r>
    <x v="129"/>
    <n v="240.67233276367188"/>
    <n v="243.99112508347835"/>
    <n v="239.81779188041267"/>
    <n v="241.43743349025635"/>
    <n v="40856000"/>
    <x v="0"/>
    <n v="-1.1387714951863415"/>
    <n v="109.57217485251283"/>
    <n v="236.85475982666014"/>
    <x v="100"/>
    <n v="0"/>
    <s v="Apple Inc."/>
    <s v="Technology"/>
  </r>
  <r>
    <x v="130"/>
    <n v="241.15922546386719"/>
    <n v="242.16282322180621"/>
    <n v="238.52605495049289"/>
    <n v="240.38417847646195"/>
    <n v="37628900"/>
    <x v="0"/>
    <n v="0.20230522329021117"/>
    <n v="109.79384508551213"/>
    <n v="237.08417999267581"/>
    <x v="101"/>
    <n v="0"/>
    <s v="Apple Inc."/>
    <s v="Technology"/>
  </r>
  <r>
    <x v="131"/>
    <n v="235.34635925292969"/>
    <n v="238.63534322792128"/>
    <n v="231.52079498772144"/>
    <n v="238.4862864086752"/>
    <n v="61710900"/>
    <x v="0"/>
    <n v="-2.4103851717704461"/>
    <n v="107.14739052405436"/>
    <n v="237.1578399658203"/>
    <x v="102"/>
    <n v="0"/>
    <s v="Apple Inc."/>
    <s v="Technology"/>
  </r>
  <r>
    <x v="132"/>
    <n v="232.91189575195313"/>
    <n v="233.18018589102101"/>
    <n v="228.26161420500543"/>
    <n v="232.04742383507849"/>
    <n v="49630700"/>
    <x v="0"/>
    <n v="-1.0344173195219075"/>
    <n v="106.03903935905774"/>
    <n v="237.17745056152344"/>
    <x v="103"/>
    <n v="0"/>
    <s v="Apple Inc."/>
    <s v="Technology"/>
  </r>
  <r>
    <x v="133"/>
    <n v="231.79904174804688"/>
    <n v="234.62100862534365"/>
    <n v="230.99418638589503"/>
    <n v="233.25971079858908"/>
    <n v="39435300"/>
    <x v="0"/>
    <n v="-0.47780041475057322"/>
    <n v="105.53238438920265"/>
    <n v="237.24567291259766"/>
    <x v="104"/>
    <n v="0"/>
    <s v="Apple Inc."/>
    <s v="Technology"/>
  </r>
  <r>
    <x v="134"/>
    <n v="236.35986328125"/>
    <n v="237.44295487436693"/>
    <n v="232.9416999002932"/>
    <n v="233.15037337402552"/>
    <n v="39832000"/>
    <x v="0"/>
    <n v="1.9675756633025676"/>
    <n v="107.60881390134752"/>
    <n v="237.48828765869141"/>
    <x v="105"/>
    <n v="0"/>
    <s v="Apple Inc."/>
    <s v="Technology"/>
  </r>
  <r>
    <x v="135"/>
    <n v="226.81089782714844"/>
    <n v="236.49900046025559"/>
    <n v="226.58236221549976"/>
    <n v="235.84320195891939"/>
    <n v="71759100"/>
    <x v="0"/>
    <n v="-4.0400114137564174"/>
    <n v="103.26140553752516"/>
    <n v="237.59947692871094"/>
    <x v="106"/>
    <n v="0"/>
    <s v="Apple Inc."/>
    <s v="Technology"/>
  </r>
  <r>
    <x v="136"/>
    <n v="228.51995849609369"/>
    <n v="230.81529094249188"/>
    <n v="227.02948130628531"/>
    <n v="230.64637201374376"/>
    <n v="68488300"/>
    <x v="0"/>
    <n v="0.75351788001285502"/>
    <n v="104.03949869140301"/>
    <n v="237.76271362304686"/>
    <x v="107"/>
    <n v="0"/>
    <s v="Apple Inc."/>
    <s v="Technology"/>
  </r>
  <r>
    <x v="137"/>
    <n v="221.2265625"/>
    <n v="222.99526090225285"/>
    <n v="217.98726416864309"/>
    <n v="222.57792910461188"/>
    <n v="98070400"/>
    <x v="0"/>
    <n v="-3.1915794331891401"/>
    <n v="100.71899544877509"/>
    <n v="237.75149688720703"/>
    <x v="108"/>
    <n v="0"/>
    <s v="Apple Inc."/>
    <s v="Technology"/>
  </r>
  <r>
    <x v="138"/>
    <n v="222.40902709960929"/>
    <n v="222.69717937636671"/>
    <n v="218.39466636780543"/>
    <n v="218.39466636780543"/>
    <n v="64126500"/>
    <x v="0"/>
    <n v="0.53450389783518126"/>
    <n v="101.25734240530926"/>
    <n v="237.77842071533203"/>
    <x v="109"/>
    <n v="0"/>
    <s v="Apple Inc."/>
    <s v="Technology"/>
  </r>
  <r>
    <x v="139"/>
    <n v="222.24009704589844"/>
    <n v="225.58869773276689"/>
    <n v="220.88873040600683"/>
    <n v="223.31324248009929"/>
    <n v="60234800"/>
    <x v="0"/>
    <n v="-7.5954675003009342E-2"/>
    <n v="101.18043271996862"/>
    <n v="237.70747375488281"/>
    <x v="110"/>
    <n v="0"/>
    <s v="Apple Inc."/>
    <s v="Technology"/>
  </r>
  <r>
    <x v="140"/>
    <n v="221.36566162109369"/>
    <n v="224.19757422629087"/>
    <n v="220.00436403066544"/>
    <n v="223.35296445648331"/>
    <n v="54697900"/>
    <x v="0"/>
    <n v="-0.39346429219032641"/>
    <n v="100.78232384653188"/>
    <n v="237.62440399169921"/>
    <x v="111"/>
    <n v="0"/>
    <s v="Apple Inc."/>
    <s v="Technology"/>
  </r>
  <r>
    <x v="141"/>
    <n v="228.40072631835929"/>
    <n v="230.67618150163648"/>
    <n v="222.5580508531902"/>
    <n v="222.59780540245859"/>
    <n v="94863400"/>
    <x v="0"/>
    <n v="3.1780288983154659"/>
    <n v="103.98521522276856"/>
    <n v="237.73628936767579"/>
    <x v="112"/>
    <n v="0"/>
    <s v="Apple Inc."/>
    <s v="Technology"/>
  </r>
  <r>
    <x v="142"/>
    <n v="236.74742126464844"/>
    <n v="238.66517670855168"/>
    <n v="229.34471998625472"/>
    <n v="229.38447454034343"/>
    <n v="75707600"/>
    <x v="0"/>
    <n v="3.6544082327719885"/>
    <n v="107.78525948873508"/>
    <n v="238.01510864257813"/>
    <x v="113"/>
    <n v="0"/>
    <s v="Apple Inc."/>
    <s v="Technology"/>
  </r>
  <r>
    <x v="143"/>
    <n v="237.8404235839844"/>
    <n v="238.33724933385383"/>
    <n v="232.52438199561368"/>
    <n v="232.63368426706171"/>
    <n v="45486100"/>
    <x v="0"/>
    <n v="0.46167443493043692"/>
    <n v="108.28287647641801"/>
    <n v="238.2981005859375"/>
    <x v="114"/>
    <n v="0"/>
    <s v="Apple Inc."/>
    <s v="Technology"/>
  </r>
  <r>
    <x v="144"/>
    <n v="236.08164978027344"/>
    <n v="239.26133146080369"/>
    <n v="235.70407253071929"/>
    <n v="237.15479519031209"/>
    <n v="55658300"/>
    <x v="0"/>
    <n v="-0.7394764006926402"/>
    <n v="107.48215015888374"/>
    <n v="238.48431060791015"/>
    <x v="115"/>
    <n v="0"/>
    <s v="Apple Inc."/>
    <s v="Technology"/>
  </r>
  <r>
    <x v="145"/>
    <n v="234.50175476074219"/>
    <n v="245.62071750772"/>
    <n v="231.95800933839703"/>
    <n v="245.62071750772"/>
    <n v="100959800"/>
    <x v="0"/>
    <n v="-0.66921551124439205"/>
    <n v="106.76286293820149"/>
    <n v="238.70291412353515"/>
    <x v="116"/>
    <n v="0"/>
    <s v="Apple Inc."/>
    <s v="Technology"/>
  </r>
  <r>
    <x v="146"/>
    <n v="226.56248474121091"/>
    <n v="230.35824094469035"/>
    <n v="224.2671520837408"/>
    <n v="228.52992572925919"/>
    <n v="73063300"/>
    <x v="0"/>
    <n v="-3.3855908786830091"/>
    <n v="103.14830918874492"/>
    <n v="238.70271545410156"/>
    <x v="117"/>
    <n v="0"/>
    <s v="Apple Inc."/>
    <s v="Technology"/>
  </r>
  <r>
    <x v="147"/>
    <n v="231.32208251953125"/>
    <n v="231.64998934854387"/>
    <n v="225.21111642561868"/>
    <n v="225.80731341689969"/>
    <n v="45067300"/>
    <x v="0"/>
    <n v="2.1007881264000661"/>
    <n v="105.31523662076449"/>
    <n v="238.79254150390625"/>
    <x v="118"/>
    <n v="0"/>
    <s v="Apple Inc."/>
    <s v="Technology"/>
  </r>
  <r>
    <x v="148"/>
    <n v="230.99417114257807"/>
    <n v="231.19289841511937"/>
    <n v="226.82083777153599"/>
    <n v="227.07918170964771"/>
    <n v="39620300"/>
    <x v="0"/>
    <n v="-0.14175532806103286"/>
    <n v="105.16594666159449"/>
    <n v="238.86150115966797"/>
    <x v="119"/>
    <n v="0"/>
    <s v="Apple Inc."/>
    <s v="Technology"/>
  </r>
  <r>
    <x v="149"/>
    <n v="231.73941040039065"/>
    <n v="232.31573010563136"/>
    <n v="228.96711414866223"/>
    <n v="229.82165506858209"/>
    <n v="29925300"/>
    <x v="0"/>
    <n v="0.32262253810404484"/>
    <n v="105.50523570793527"/>
    <n v="238.95490478515626"/>
    <x v="120"/>
    <n v="0"/>
    <s v="Apple Inc."/>
    <s v="Technology"/>
  </r>
  <r>
    <x v="150"/>
    <n v="226.18490600585929"/>
    <n v="232.5144614947352"/>
    <n v="225.81724462416"/>
    <n v="231.12335539671392"/>
    <n v="39707200"/>
    <x v="0"/>
    <n v="-2.3968751732536542"/>
    <n v="102.97640690676901"/>
    <n v="238.91038940429686"/>
    <x v="121"/>
    <n v="0"/>
    <s v="Apple Inc."/>
    <s v="Technology"/>
  </r>
  <r>
    <x v="151"/>
    <n v="226.45347595214844"/>
    <n v="229.37802587533881"/>
    <n v="226.00584416726187"/>
    <n v="228.36339787721977"/>
    <n v="33115600"/>
    <x v="0"/>
    <n v="0.11873911085922284"/>
    <n v="103.0986801767249"/>
    <n v="238.81162658691406"/>
    <x v="122"/>
    <n v="0"/>
    <s v="Apple Inc."/>
    <s v="Technology"/>
  </r>
  <r>
    <x v="152"/>
    <n v="231.39732360839844"/>
    <n v="233.99360582200345"/>
    <n v="226.93093316445223"/>
    <n v="227.00055734532324"/>
    <n v="53718400"/>
    <x v="0"/>
    <n v="2.1831626277596605"/>
    <n v="105.34949203205662"/>
    <n v="238.76821868896485"/>
    <x v="123"/>
    <n v="0"/>
    <s v="Apple Inc."/>
    <s v="Technology"/>
  </r>
  <r>
    <x v="153"/>
    <n v="235.62503051757807"/>
    <n v="235.71456902246177"/>
    <n v="229.46756209934875"/>
    <n v="229.98483328224921"/>
    <n v="45243300"/>
    <x v="0"/>
    <n v="1.8270336247857122"/>
    <n v="107.27426267502322"/>
    <n v="238.81194854736327"/>
    <x v="124"/>
    <n v="0"/>
    <s v="Apple Inc."/>
    <s v="Technology"/>
  </r>
  <r>
    <x v="154"/>
    <n v="240.26052856445313"/>
    <n v="241.06626881430705"/>
    <n v="234.33186254170715"/>
    <n v="235.6648159224184"/>
    <n v="53614100"/>
    <x v="0"/>
    <n v="1.9673198711922302"/>
    <n v="109.38469056130388"/>
    <n v="238.90069244384765"/>
    <x v="125"/>
    <n v="0"/>
    <s v="Apple Inc."/>
    <s v="Technology"/>
  </r>
  <r>
    <x v="155"/>
    <n v="243.31437683105469"/>
    <n v="244.25938055012708"/>
    <n v="239.72335055570909"/>
    <n v="239.98197851904411"/>
    <n v="40896200"/>
    <x v="0"/>
    <n v="1.2710570000191712"/>
    <n v="110.77503232763266"/>
    <n v="239.00560058593749"/>
    <x v="126"/>
    <n v="0"/>
    <s v="Apple Inc."/>
    <s v="Technology"/>
  </r>
  <r>
    <x v="156"/>
    <n v="243.18505859375"/>
    <n v="243.89131830963376"/>
    <n v="240.56887710589865"/>
    <n v="242.86673323889264"/>
    <n v="48822500"/>
    <x v="0"/>
    <n v="-5.3148621544252261E-2"/>
    <n v="110.71615692493533"/>
    <n v="239.04711090087892"/>
    <x v="127"/>
    <n v="0"/>
    <s v="Apple Inc."/>
    <s v="Technology"/>
  </r>
  <r>
    <x v="157"/>
    <n v="243.58296203613281"/>
    <n v="244.71696960581099"/>
    <n v="241.88195827091008"/>
    <n v="243.37407429304395"/>
    <n v="32204200"/>
    <x v="0"/>
    <n v="0.16362166519758858"/>
    <n v="110.89731254453868"/>
    <n v="239.08942504882813"/>
    <x v="128"/>
    <n v="0"/>
    <s v="Apple Inc."/>
    <s v="Technology"/>
  </r>
  <r>
    <x v="158"/>
    <n v="244.53791809082031"/>
    <n v="245.48292185026961"/>
    <n v="243.00600383864503"/>
    <n v="243.65259654249155"/>
    <n v="32316900"/>
    <x v="0"/>
    <n v="0.39204550544296168"/>
    <n v="111.33208047402658"/>
    <n v="239.15024200439453"/>
    <x v="129"/>
    <n v="0"/>
    <s v="Apple Inc."/>
    <s v="Technology"/>
  </r>
  <r>
    <x v="159"/>
    <n v="244.53791809082031"/>
    <n v="247.38287960480025"/>
    <n v="243.93111682470231"/>
    <n v="244.65727567067509"/>
    <n v="53197400"/>
    <x v="0"/>
    <n v="0"/>
    <n v="111.33208047402658"/>
    <n v="239.21503387451173"/>
    <x v="130"/>
    <n v="0"/>
    <s v="Apple Inc."/>
    <s v="Technology"/>
  </r>
  <r>
    <x v="160"/>
    <n v="245.80123901367188"/>
    <n v="247.55198292201601"/>
    <n v="243.13531730338309"/>
    <n v="243.64263125957103"/>
    <n v="51326400"/>
    <x v="0"/>
    <n v="0.51661555504958212"/>
    <n v="111.90723931951571"/>
    <n v="239.22738861083985"/>
    <x v="131"/>
    <n v="0"/>
    <s v="Apple Inc."/>
    <s v="Technology"/>
  </r>
  <r>
    <x v="161"/>
    <n v="245.74154663085929"/>
    <n v="248.68599549611235"/>
    <n v="243.62275227067275"/>
    <n v="246.69650753214344"/>
    <n v="48013300"/>
    <x v="0"/>
    <n v="-2.428481770559987E-2"/>
    <n v="111.88006285044759"/>
    <n v="239.21827880859371"/>
    <x v="132"/>
    <n v="0"/>
    <s v="Apple Inc."/>
    <s v="Technology"/>
  </r>
  <r>
    <x v="162"/>
    <n v="239.09666442871091"/>
    <n v="243.69237677432361"/>
    <n v="237.87313357927937"/>
    <n v="243.04579925662603"/>
    <n v="44433600"/>
    <x v="0"/>
    <n v="-2.7040125258631975"/>
    <n v="108.85481193702786"/>
    <n v="239.10170867919919"/>
    <x v="133"/>
    <n v="0"/>
    <s v="Apple Inc."/>
    <s v="Technology"/>
  </r>
  <r>
    <x v="163"/>
    <n v="236.05278015136719"/>
    <n v="241.18566339775504"/>
    <n v="235.81403610086409"/>
    <n v="238.15169082894491"/>
    <n v="41153600"/>
    <x v="0"/>
    <n v="-1.2730768472310805"/>
    <n v="107.46900652916062"/>
    <n v="238.89504730224607"/>
    <x v="134"/>
    <n v="0"/>
    <s v="Apple Inc."/>
    <s v="Technology"/>
  </r>
  <r>
    <x v="164"/>
    <n v="240.56889343261719"/>
    <n v="240.8175794410065"/>
    <n v="228.9900734891547"/>
    <n v="235.70459571566599"/>
    <n v="56833400"/>
    <x v="0"/>
    <n v="1.9131794501018318"/>
    <n v="109.52508147730514"/>
    <n v="238.77533020019527"/>
    <x v="135"/>
    <n v="0"/>
    <s v="Apple Inc."/>
    <s v="Technology"/>
  </r>
  <r>
    <x v="165"/>
    <n v="236.77891540527344"/>
    <n v="242.74737946323825"/>
    <n v="234.86900872815539"/>
    <n v="240.51914741730599"/>
    <n v="47184000"/>
    <x v="0"/>
    <n v="-1.5754231452227652"/>
    <n v="107.79959799388756"/>
    <n v="238.52198303222653"/>
    <x v="136"/>
    <n v="0"/>
    <s v="Apple Inc."/>
    <s v="Technology"/>
  </r>
  <r>
    <x v="166"/>
    <n v="234.68994140625"/>
    <n v="238.80819608105105"/>
    <n v="233.44651142335263"/>
    <n v="236.46059966619731"/>
    <n v="53798100"/>
    <x v="0"/>
    <n v="-0.88224662886385863"/>
    <n v="106.84853967465769"/>
    <n v="238.17836639404294"/>
    <x v="137"/>
    <n v="0"/>
    <s v="Apple Inc."/>
    <s v="Technology"/>
  </r>
  <r>
    <x v="167"/>
    <n v="234.50096130371091"/>
    <n v="235.30670153327668"/>
    <n v="228.02516800362179"/>
    <n v="234.18263593082168"/>
    <n v="47227600"/>
    <x v="0"/>
    <n v="-8.0523307222601925E-2"/>
    <n v="106.7625016967926"/>
    <n v="237.93888031005855"/>
    <x v="138"/>
    <n v="0"/>
    <s v="Apple Inc."/>
    <s v="Technology"/>
  </r>
  <r>
    <x v="168"/>
    <n v="234.09309387207031"/>
    <n v="236.60979483297604"/>
    <n v="231.9345013377031"/>
    <n v="233.20777237015392"/>
    <n v="45170400"/>
    <x v="0"/>
    <n v="-0.17392996146926576"/>
    <n v="106.57680971872776"/>
    <n v="237.65665832519528"/>
    <x v="139"/>
    <n v="0"/>
    <s v="Apple Inc."/>
    <s v="Technology"/>
  </r>
  <r>
    <x v="169"/>
    <n v="237.81344604492188"/>
    <n v="240.10134501237945"/>
    <n v="233.5260868229449"/>
    <n v="233.87425328073451"/>
    <n v="46273600"/>
    <x v="0"/>
    <n v="1.5892618237104861"/>
    <n v="108.27059426851606"/>
    <n v="237.35543945312497"/>
    <x v="140"/>
    <n v="0"/>
    <s v="Apple Inc."/>
    <s v="Technology"/>
  </r>
  <r>
    <x v="170"/>
    <n v="226.28436279296875"/>
    <n v="234.91874867921032"/>
    <n v="223.0415027897028"/>
    <n v="234.30199707252871"/>
    <n v="72071200"/>
    <x v="0"/>
    <n v="-4.8479526467882454"/>
    <n v="103.02168712798216"/>
    <n v="236.80813812255855"/>
    <x v="141"/>
    <n v="0"/>
    <s v="Apple Inc."/>
    <s v="Technology"/>
  </r>
  <r>
    <x v="171"/>
    <n v="219.67926025390625"/>
    <n v="224.65298022983384"/>
    <n v="216.30707871737093"/>
    <n v="222.63365113389432"/>
    <n v="76137400"/>
    <x v="0"/>
    <n v="-2.9189390099861323"/>
    <n v="100.01454691365765"/>
    <n v="236.07050628662105"/>
    <x v="142"/>
    <n v="0"/>
    <s v="Apple Inc."/>
    <s v="Technology"/>
  </r>
  <r>
    <x v="172"/>
    <n v="215.83956909179688"/>
    <n v="220.58450266635003"/>
    <n v="213.78045671174684"/>
    <n v="218.98296406915983"/>
    <n v="62547500"/>
    <x v="0"/>
    <n v="-1.7478623870416543"/>
    <n v="98.266430266583697"/>
    <n v="235.2397860717773"/>
    <x v="143"/>
    <n v="0"/>
    <s v="Apple Inc."/>
    <s v="Technology"/>
  </r>
  <r>
    <x v="173"/>
    <n v="208.57791137695313"/>
    <n v="215.70028194858563"/>
    <n v="207.32453942081881"/>
    <n v="214.8149604095552"/>
    <n v="61368300"/>
    <x v="0"/>
    <n v="-3.3643774148545247"/>
    <n v="94.960376680310972"/>
    <n v="234.33199645996089"/>
    <x v="144"/>
    <n v="0"/>
    <s v="Apple Inc."/>
    <s v="Technology"/>
  </r>
  <r>
    <x v="174"/>
    <n v="212.36788940429688"/>
    <n v="212.82546311709569"/>
    <n v="208.47843695256688"/>
    <n v="210.13965751241795"/>
    <n v="60107600"/>
    <x v="0"/>
    <n v="1.8170562751941066"/>
    <n v="96.685860163728549"/>
    <n v="233.56737579345699"/>
    <x v="145"/>
    <n v="0"/>
    <s v="Apple Inc."/>
    <s v="Technology"/>
  </r>
  <r>
    <x v="175"/>
    <n v="212.87521362304688"/>
    <n v="214.08880250378311"/>
    <n v="208.86639656209621"/>
    <n v="212.18883784213668"/>
    <n v="48073400"/>
    <x v="0"/>
    <n v="0.23888932558169262"/>
    <n v="96.916832363006534"/>
    <n v="232.84827606201168"/>
    <x v="146"/>
    <n v="0"/>
    <s v="Apple Inc."/>
    <s v="Technology"/>
  </r>
  <r>
    <x v="176"/>
    <n v="211.57209777832031"/>
    <n v="214.01915944879545"/>
    <n v="210.378408047948"/>
    <n v="213.03437263106773"/>
    <n v="42432400"/>
    <x v="0"/>
    <n v="-0.61215010547638338"/>
    <n v="96.32355587147201"/>
    <n v="232.2336795043945"/>
    <x v="147"/>
    <n v="0"/>
    <s v="Apple Inc."/>
    <s v="Technology"/>
  </r>
  <r>
    <x v="177"/>
    <n v="214.10871887207031"/>
    <n v="217.6102070663037"/>
    <n v="212.62654474499411"/>
    <n v="213.09407567170305"/>
    <n v="54385400"/>
    <x v="0"/>
    <n v="1.1989393310302132"/>
    <n v="97.478416867861966"/>
    <n v="231.67955322265621"/>
    <x v="148"/>
    <n v="0"/>
    <s v="Apple Inc."/>
    <s v="Technology"/>
  </r>
  <r>
    <x v="178"/>
    <n v="212.9747009277344"/>
    <n v="216.3468825511506"/>
    <n v="211.10457731145533"/>
    <n v="212.86527847830129"/>
    <n v="48862900"/>
    <x v="0"/>
    <n v="-0.52964585015964349"/>
    <n v="96.962126478119998"/>
    <n v="231.07015502929684"/>
    <x v="149"/>
    <n v="0"/>
    <s v="Apple Inc."/>
    <s v="Technology"/>
  </r>
  <r>
    <x v="179"/>
    <n v="217.12277221679688"/>
    <n v="217.68976839110027"/>
    <n v="210.16950634984832"/>
    <n v="210.4480334492585"/>
    <n v="94127800"/>
    <x v="0"/>
    <n v="1.947682645400195"/>
    <n v="98.850640988145344"/>
    <n v="230.59916381835933"/>
    <x v="150"/>
    <n v="0"/>
    <s v="Apple Inc."/>
    <s v="Technology"/>
  </r>
  <r>
    <x v="180"/>
    <n v="219.56985473632807"/>
    <n v="220.31591279023905"/>
    <n v="217.4311610532196"/>
    <n v="219.83843988574125"/>
    <n v="44299500"/>
    <x v="0"/>
    <n v="1.1270501451997816"/>
    <n v="99.96473728093315"/>
    <n v="230.16737640380856"/>
    <x v="151"/>
    <n v="0"/>
    <s v="Apple Inc."/>
    <s v="Technology"/>
  </r>
  <r>
    <x v="181"/>
    <n v="222.57395935058599"/>
    <n v="222.9221258053629"/>
    <n v="218.92325086669069"/>
    <n v="219.60962662242409"/>
    <n v="34493600"/>
    <x v="0"/>
    <n v="1.3681771652422015"/>
    <n v="101.33243198970526"/>
    <n v="229.91192840576167"/>
    <x v="152"/>
    <n v="0"/>
    <s v="Apple Inc."/>
    <s v="Technology"/>
  </r>
  <r>
    <x v="182"/>
    <n v="220.3656311035156"/>
    <n v="223.83729303324839"/>
    <n v="219.31120492080973"/>
    <n v="222.33521991986419"/>
    <n v="34466100"/>
    <x v="0"/>
    <n v="-0.99217727604511419"/>
    <n v="100.32703462623951"/>
    <n v="229.66100311279294"/>
    <x v="153"/>
    <n v="0"/>
    <s v="Apple Inc."/>
    <s v="Technology"/>
  </r>
  <r>
    <x v="183"/>
    <n v="222.67344665527344"/>
    <n v="223.80745418869529"/>
    <n v="219.40073045135125"/>
    <n v="220.22636977863209"/>
    <n v="37094800"/>
    <x v="0"/>
    <n v="1.0472665543175275"/>
    <n v="101.37772610481868"/>
    <n v="229.47849121093748"/>
    <x v="154"/>
    <n v="0"/>
    <s v="Apple Inc."/>
    <s v="Technology"/>
  </r>
  <r>
    <x v="184"/>
    <n v="216.75473022460929"/>
    <n v="222.63367141455515"/>
    <n v="216.53588531144595"/>
    <n v="220.50491967808449"/>
    <n v="39818600"/>
    <x v="0"/>
    <n v="-2.6580252470906673"/>
    <n v="98.683080550026176"/>
    <n v="229.08638854980464"/>
    <x v="155"/>
    <n v="0"/>
    <s v="Apple Inc."/>
    <s v="Technology"/>
  </r>
  <r>
    <x v="185"/>
    <n v="220.9624938964844"/>
    <n v="224.43414081005065"/>
    <n v="215.09349507460487"/>
    <n v="215.86939419548489"/>
    <n v="65299300"/>
    <x v="0"/>
    <n v="1.9412557536875319"/>
    <n v="100.59877152911965"/>
    <n v="228.96942047119137"/>
    <x v="156"/>
    <n v="0"/>
    <s v="Apple Inc."/>
    <s v="Technology"/>
  </r>
  <r>
    <x v="186"/>
    <n v="222.01690673828125"/>
    <n v="222.5043215641154"/>
    <n v="217.74944665223009"/>
    <n v="218.65466729819107"/>
    <n v="36412700"/>
    <x v="0"/>
    <n v="0.4771908676459935"/>
    <n v="101.07881967982067"/>
    <n v="228.83935943603512"/>
    <x v="157"/>
    <n v="0"/>
    <s v="Apple Inc."/>
    <s v="Technology"/>
  </r>
  <r>
    <x v="187"/>
    <n v="222.71322631835929"/>
    <n v="224.00639651207049"/>
    <n v="219.85831598824521"/>
    <n v="220.15674221426903"/>
    <n v="35905900"/>
    <x v="0"/>
    <n v="0.31363358327429758"/>
    <n v="101.39583680391387"/>
    <n v="228.86909271240231"/>
    <x v="158"/>
    <n v="0"/>
    <s v="Apple Inc."/>
    <s v="Technology"/>
  </r>
  <r>
    <x v="188"/>
    <n v="202.12203979492188"/>
    <n v="206.39944211542388"/>
    <n v="200.19223396809613"/>
    <n v="204.45967913410391"/>
    <n v="103419000"/>
    <x v="0"/>
    <n v="-9.2456055995539188"/>
    <n v="92.021177638656653"/>
    <n v="228.46335296630855"/>
    <x v="159"/>
    <n v="0"/>
    <s v="Apple Inc."/>
    <s v="Technology"/>
  </r>
  <r>
    <x v="189"/>
    <n v="187.389892578125"/>
    <n v="198.82944937179329"/>
    <n v="186.35535024633944"/>
    <n v="192.87092693410324"/>
    <n v="125910900"/>
    <x v="0"/>
    <n v="-7.2887386411420003"/>
    <n v="85.313994506073968"/>
    <n v="227.76634887695309"/>
    <x v="160"/>
    <n v="1"/>
    <s v="Apple Inc."/>
    <s v="Technology"/>
  </r>
  <r>
    <x v="190"/>
    <n v="180.50624084472656"/>
    <n v="193.12952861035487"/>
    <n v="173.70218080411468"/>
    <n v="176.26862197387908"/>
    <n v="160466300"/>
    <x v="0"/>
    <n v="-3.673438112745897"/>
    <n v="82.180037716381904"/>
    <n v="226.94916046142575"/>
    <x v="161"/>
    <n v="1"/>
    <s v="Apple Inc."/>
    <s v="Technology"/>
  </r>
  <r>
    <x v="191"/>
    <n v="171.51376342773438"/>
    <n v="189.33957458197369"/>
    <n v="168.32064359895526"/>
    <n v="185.71870692843439"/>
    <n v="120859500"/>
    <x v="0"/>
    <n v="-4.981809700822259"/>
    <n v="78.085984625287779"/>
    <n v="225.81142120361324"/>
    <x v="162"/>
    <n v="0"/>
    <s v="Apple Inc."/>
    <s v="Technology"/>
  </r>
  <r>
    <x v="192"/>
    <n v="197.80484008789065"/>
    <n v="199.55558397169528"/>
    <n v="170.9865365771085"/>
    <n v="171.04621878540135"/>
    <n v="184395900"/>
    <x v="0"/>
    <n v="15.328843665210435"/>
    <n v="90.055663132938406"/>
    <n v="225.03256958007807"/>
    <x v="163"/>
    <n v="1"/>
    <s v="Apple Inc."/>
    <s v="Technology"/>
  </r>
  <r>
    <x v="193"/>
    <n v="189.41914367675781"/>
    <n v="193.75622796404051"/>
    <n v="182.03814529024515"/>
    <n v="188.07624843340889"/>
    <n v="121880000"/>
    <x v="0"/>
    <n v="-4.2393787772871612"/>
    <n v="86.2378624623354"/>
    <n v="224.06414398193357"/>
    <x v="164"/>
    <n v="0"/>
    <s v="Apple Inc."/>
    <s v="Technology"/>
  </r>
  <r>
    <x v="194"/>
    <n v="197.1085205078125"/>
    <n v="198.49121408156799"/>
    <n v="185.08206900889689"/>
    <n v="185.12186726950819"/>
    <n v="87435900"/>
    <x v="0"/>
    <n v="4.0594507407216263"/>
    <n v="89.738646008845166"/>
    <n v="223.28468139648433"/>
    <x v="165"/>
    <n v="0"/>
    <s v="Apple Inc."/>
    <s v="Technology"/>
  </r>
  <r>
    <x v="195"/>
    <n v="201.45553588867188"/>
    <n v="211.8207653514352"/>
    <n v="200.10268359760289"/>
    <n v="210.32864952357619"/>
    <n v="101352900"/>
    <x v="0"/>
    <n v="2.2053919179445547"/>
    <n v="91.717734855197108"/>
    <n v="222.62375701904293"/>
    <x v="166"/>
    <n v="0"/>
    <s v="Apple Inc."/>
    <s v="Technology"/>
  </r>
  <r>
    <x v="196"/>
    <n v="201.0775451660156"/>
    <n v="202.44033954558063"/>
    <n v="198.74984792281177"/>
    <n v="200.79901806914961"/>
    <n v="51343900"/>
    <x v="0"/>
    <n v="-0.18762985141552724"/>
    <n v="91.545645005566612"/>
    <n v="222.11405822753903"/>
    <x v="167"/>
    <n v="0"/>
    <s v="Apple Inc."/>
    <s v="Technology"/>
  </r>
  <r>
    <x v="197"/>
    <n v="193.2489318847656"/>
    <n v="199.64512887500649"/>
    <n v="191.35890907242805"/>
    <n v="197.31743142832599"/>
    <n v="59732400"/>
    <x v="0"/>
    <n v="-3.8933304436288285"/>
    <n v="87.981470538748511"/>
    <n v="221.35259521484372"/>
    <x v="168"/>
    <n v="0"/>
    <s v="Apple Inc."/>
    <s v="Technology"/>
  </r>
  <r>
    <x v="198"/>
    <n v="195.94467163085929"/>
    <n v="197.78495412822451"/>
    <n v="193.3981293835528"/>
    <n v="196.16351652822999"/>
    <n v="52164700"/>
    <x v="0"/>
    <n v="1.394957125921481"/>
    <n v="89.208774331519294"/>
    <n v="220.65160522460934"/>
    <x v="169"/>
    <n v="0"/>
    <s v="Apple Inc."/>
    <s v="Technology"/>
  </r>
  <r>
    <x v="199"/>
    <n v="192.14476013183599"/>
    <n v="192.78139570274649"/>
    <n v="188.8123615658979"/>
    <n v="192.25418258208256"/>
    <n v="46742500"/>
    <x v="0"/>
    <n v="-1.9392777907132674"/>
    <n v="87.478768383540626"/>
    <n v="219.85971221923825"/>
    <x v="170"/>
    <n v="0"/>
    <s v="Apple Inc."/>
    <s v="Technology"/>
  </r>
  <r>
    <x v="200"/>
    <n v="198.690185546875"/>
    <n v="200.53045296496776"/>
    <n v="194.93999616163731"/>
    <n v="195.08920170035651"/>
    <n v="52976400"/>
    <x v="0"/>
    <n v="3.4065073700412229"/>
    <n v="90.458739075747218"/>
    <n v="219.30981781005855"/>
    <x v="171"/>
    <n v="0"/>
    <s v="Apple Inc."/>
    <s v="Technology"/>
  </r>
  <r>
    <x v="201"/>
    <n v="203.52462768554688"/>
    <n v="206.90675120105161"/>
    <n v="201.73408545674309"/>
    <n v="204.9172632087338"/>
    <n v="52929200"/>
    <x v="0"/>
    <n v="2.4331559837067696"/>
    <n v="92.659741298354461"/>
    <n v="218.85124084472653"/>
    <x v="172"/>
    <n v="0"/>
    <s v="Apple Inc."/>
    <s v="Technology"/>
  </r>
  <r>
    <x v="202"/>
    <n v="207.27479553222656"/>
    <n v="207.73238443559359"/>
    <n v="201.87334307751465"/>
    <n v="203.81309077731203"/>
    <n v="47311000"/>
    <x v="0"/>
    <n v="1.8426113288234847"/>
    <n v="94.367100188776462"/>
    <n v="218.36879028320308"/>
    <x v="173"/>
    <n v="0"/>
    <s v="Apple Inc."/>
    <s v="Technology"/>
  </r>
  <r>
    <x v="203"/>
    <n v="208.18002319335929"/>
    <n v="208.6475540878433"/>
    <n v="205.1162098506388"/>
    <n v="205.28531450927929"/>
    <n v="38222300"/>
    <x v="0"/>
    <n v="0.43672828565979316"/>
    <n v="94.77922800765775"/>
    <n v="217.81989013671873"/>
    <x v="174"/>
    <n v="0"/>
    <s v="Apple Inc."/>
    <s v="Technology"/>
  </r>
  <r>
    <x v="204"/>
    <n v="209.0355224609375"/>
    <n v="210.38837503045187"/>
    <n v="206.36961558551849"/>
    <n v="208.89625889548407"/>
    <n v="38743100"/>
    <x v="0"/>
    <n v="0.41094205604137457"/>
    <n v="95.168715715932578"/>
    <n v="217.19539001464841"/>
    <x v="175"/>
    <n v="0"/>
    <s v="Apple Inc."/>
    <s v="Technology"/>
  </r>
  <r>
    <x v="205"/>
    <n v="210.09986877441409"/>
    <n v="211.1244537916441"/>
    <n v="207.27478452266001"/>
    <n v="207.59310986089216"/>
    <n v="36827600"/>
    <x v="0"/>
    <n v="0.50917006877406745"/>
    <n v="95.653286331194792"/>
    <n v="216.5310998535156"/>
    <x v="176"/>
    <n v="0"/>
    <s v="Apple Inc."/>
    <s v="Technology"/>
  </r>
  <r>
    <x v="206"/>
    <n v="211.38311767578125"/>
    <n v="212.45744310704663"/>
    <n v="205.58375784941009"/>
    <n v="208.19993964532279"/>
    <n v="52286500"/>
    <x v="0"/>
    <n v="0.61078043925149039"/>
    <n v="96.237517893606935"/>
    <n v="215.8950610351562"/>
    <x v="177"/>
    <n v="0"/>
    <s v="Apple Inc."/>
    <s v="Technology"/>
  </r>
  <r>
    <x v="207"/>
    <n v="212.19880676269531"/>
    <n v="213.43227966302129"/>
    <n v="207.80202473083079"/>
    <n v="207.98108655162656"/>
    <n v="57365700"/>
    <x v="0"/>
    <n v="0.38588185087002902"/>
    <n v="96.608881008886158"/>
    <n v="215.26737792968746"/>
    <x v="178"/>
    <n v="0"/>
    <s v="Apple Inc."/>
    <s v="Technology"/>
  </r>
  <r>
    <x v="208"/>
    <n v="204.27069091796875"/>
    <n v="205.9020705063368"/>
    <n v="201.09745506031999"/>
    <n v="205.00679177969519"/>
    <n v="101010600"/>
    <x v="0"/>
    <n v="-3.7361736221225184"/>
    <n v="92.999405480004413"/>
    <n v="214.46203338623044"/>
    <x v="179"/>
    <n v="0"/>
    <s v="Apple Inc."/>
    <s v="Technology"/>
  </r>
  <r>
    <x v="209"/>
    <n v="197.84465026855469"/>
    <n v="203.02727362500849"/>
    <n v="197.16823157712739"/>
    <n v="202.03252954096359"/>
    <n v="69018500"/>
    <x v="0"/>
    <n v="-3.1458456524213974"/>
    <n v="90.073787725933968"/>
    <n v="213.52816802978512"/>
    <x v="180"/>
    <n v="0"/>
    <s v="Apple Inc."/>
    <s v="Technology"/>
  </r>
  <r>
    <x v="210"/>
    <n v="197.46662902832031"/>
    <n v="199.59538061408489"/>
    <n v="195.98447015970467"/>
    <n v="197.16821796657831"/>
    <n v="51216500"/>
    <x v="0"/>
    <n v="-0.1910697305796516"/>
    <n v="89.901683982403142"/>
    <n v="212.56147583007808"/>
    <x v="181"/>
    <n v="0"/>
    <s v="Apple Inc."/>
    <s v="Technology"/>
  </r>
  <r>
    <x v="211"/>
    <n v="195.21853637695313"/>
    <n v="198.39177259427919"/>
    <n v="192.23430397373849"/>
    <n v="198.12318742798439"/>
    <n v="68536700"/>
    <x v="0"/>
    <n v="-1.1384671234979993"/>
    <n v="88.8781828667924"/>
    <n v="211.55101562499999"/>
    <x v="182"/>
    <n v="0"/>
    <s v="Apple Inc."/>
    <s v="Technology"/>
  </r>
  <r>
    <x v="212"/>
    <n v="195.21853637695313"/>
    <n v="198.99853803284543"/>
    <n v="193.65675249053749"/>
    <n v="196.68078271707188"/>
    <n v="50478900"/>
    <x v="0"/>
    <n v="0"/>
    <n v="88.8781828667924"/>
    <n v="210.67345306396484"/>
    <x v="183"/>
    <n v="0"/>
    <s v="Apple Inc."/>
    <s v="Technology"/>
  </r>
  <r>
    <x v="213"/>
    <n v="197.48652648925781"/>
    <n v="199.48595647897329"/>
    <n v="196.50172445806649"/>
    <n v="197.95405738682032"/>
    <n v="36453900"/>
    <x v="0"/>
    <n v="1.1617698577174762"/>
    <n v="89.910742805425826"/>
    <n v="209.90212799072265"/>
    <x v="184"/>
    <n v="0"/>
    <s v="Apple Inc."/>
    <s v="Technology"/>
  </r>
  <r>
    <x v="214"/>
    <n v="209.95704650878903"/>
    <n v="210.43516070866201"/>
    <n v="205.9330174500644"/>
    <n v="210.13634313336479"/>
    <n v="63775800"/>
    <x v="0"/>
    <n v="6.3146181368527676"/>
    <n v="95.588262877596293"/>
    <n v="209.28989105224611"/>
    <x v="185"/>
    <n v="0"/>
    <s v="Apple Inc."/>
    <s v="Technology"/>
  </r>
  <r>
    <x v="215"/>
    <n v="212.08860778808599"/>
    <n v="212.55675181657611"/>
    <n v="208.17414433110849"/>
    <n v="209.5984864444124"/>
    <n v="51909300"/>
    <x v="0"/>
    <n v="1.0152368376013188"/>
    <n v="96.558710134752829"/>
    <n v="208.79608489990235"/>
    <x v="186"/>
    <n v="0"/>
    <s v="Apple Inc."/>
    <s v="Technology"/>
  </r>
  <r>
    <x v="216"/>
    <n v="211.490966796875"/>
    <n v="213.09460539099959"/>
    <n v="209.74788202928281"/>
    <n v="211.5905625216416"/>
    <n v="49325800"/>
    <x v="0"/>
    <n v="-0.28178835131406066"/>
    <n v="96.286618937413991"/>
    <n v="208.33210540771483"/>
    <x v="187"/>
    <n v="0"/>
    <s v="Apple Inc."/>
    <s v="Technology"/>
  </r>
  <r>
    <x v="217"/>
    <n v="210.61444091796875"/>
    <n v="212.11848379882832"/>
    <n v="208.71198473800999"/>
    <n v="210.11641669484823"/>
    <n v="45029500"/>
    <x v="0"/>
    <n v="-0.41445074093784395"/>
    <n v="95.887558331803874"/>
    <n v="207.854375"/>
    <x v="188"/>
    <n v="0"/>
    <s v="Apple Inc."/>
    <s v="Technology"/>
  </r>
  <r>
    <x v="218"/>
    <n v="210.4252014160156"/>
    <n v="211.73003772257164"/>
    <n v="208.94109887256835"/>
    <n v="211.52086084946143"/>
    <n v="54737900"/>
    <x v="0"/>
    <n v="-8.9851152242148569E-2"/>
    <n v="95.801402255785888"/>
    <n v="207.3810171508789"/>
    <x v="189"/>
    <n v="0"/>
    <s v="Apple Inc."/>
    <s v="Technology"/>
  </r>
  <r>
    <x v="219"/>
    <n v="210.4252014160156"/>
    <n v="208.65224804197359"/>
    <n v="203.45287334417097"/>
    <n v="207.08845970637489"/>
    <n v="46140500"/>
    <x v="0"/>
    <n v="0"/>
    <n v="95.801402255785888"/>
    <n v="206.83325225830077"/>
    <x v="190"/>
    <n v="0"/>
    <s v="Apple Inc."/>
    <s v="Technology"/>
  </r>
  <r>
    <x v="220"/>
    <n v="206.04258728027344"/>
    <n v="207.64622592622169"/>
    <n v="204.2198167548668"/>
    <n v="206.84938410987283"/>
    <n v="42496600"/>
    <x v="0"/>
    <n v="-2.0827420414713638"/>
    <n v="93.806106174685539"/>
    <n v="206.42841674804689"/>
    <x v="191"/>
    <n v="0"/>
    <s v="Apple Inc."/>
    <s v="Technology"/>
  </r>
  <r>
    <x v="221"/>
    <n v="201.29142761230469"/>
    <n v="206.22186440009239"/>
    <n v="199.91689108628387"/>
    <n v="204.35925866211539"/>
    <n v="59211800"/>
    <x v="0"/>
    <n v="-2.305911477177236"/>
    <n v="91.643020406110409"/>
    <n v="206.06066009521484"/>
    <x v="192"/>
    <n v="0"/>
    <s v="Apple Inc."/>
    <s v="Technology"/>
  </r>
  <r>
    <x v="222"/>
    <n v="200.56431579589844"/>
    <n v="201.94882252859867"/>
    <n v="198.91087172706409"/>
    <n v="199.9168903850684"/>
    <n v="46742400"/>
    <x v="0"/>
    <n v="-0.36122343858909778"/>
    <n v="91.31198433657255"/>
    <n v="205.75515502929687"/>
    <x v="193"/>
    <n v="0"/>
    <s v="Apple Inc."/>
    <s v="Technology"/>
  </r>
  <r>
    <x v="223"/>
    <n v="194.49838256835929"/>
    <n v="196.91877297523905"/>
    <n v="192.6955373289648"/>
    <n v="192.90469898960001"/>
    <n v="78432900"/>
    <x v="0"/>
    <n v="-3.0244329373686152"/>
    <n v="88.550314606532382"/>
    <n v="205.47356445312499"/>
    <x v="194"/>
    <n v="0"/>
    <s v="Apple Inc."/>
    <s v="Technology"/>
  </r>
  <r>
    <x v="224"/>
    <n v="199.41886901855469"/>
    <n v="199.94677348688447"/>
    <n v="196.64984031499387"/>
    <n v="197.51641281084125"/>
    <n v="56288500"/>
    <x v="0"/>
    <n v="2.5298341226390519"/>
    <n v="90.790490681152676"/>
    <n v="205.21458404541016"/>
    <x v="195"/>
    <n v="0"/>
    <s v="Apple Inc."/>
    <s v="Technology"/>
  </r>
  <r>
    <x v="225"/>
    <n v="199.62803649902344"/>
    <n v="201.92890607866931"/>
    <n v="199.11008702875665"/>
    <n v="199.79736291846771"/>
    <n v="45339700"/>
    <x v="0"/>
    <n v="0.10488851004830657"/>
    <n v="90.885719474093676"/>
    <n v="204.9496405029297"/>
    <x v="196"/>
    <n v="0"/>
    <s v="Apple Inc."/>
    <s v="Technology"/>
  </r>
  <r>
    <x v="226"/>
    <n v="199.15988159179688"/>
    <n v="203.00462915986449"/>
    <n v="197.72556941325453"/>
    <n v="202.77554227533128"/>
    <n v="51396800"/>
    <x v="0"/>
    <n v="-0.23451360612307681"/>
    <n v="90.672580095904081"/>
    <n v="204.70139617919921"/>
    <x v="197"/>
    <n v="0"/>
    <s v="Apple Inc."/>
    <s v="Technology"/>
  </r>
  <r>
    <x v="227"/>
    <n v="200.05633544921875"/>
    <n v="201.16194982664069"/>
    <n v="196.002410999174"/>
    <n v="198.5821728136608"/>
    <n v="70819900"/>
    <x v="0"/>
    <n v="0.45011768949494435"/>
    <n v="91.080713418437213"/>
    <n v="204.4203485107422"/>
    <x v="198"/>
    <n v="0"/>
    <s v="Apple Inc."/>
    <s v="Technology"/>
  </r>
  <r>
    <x v="228"/>
    <n v="200.90298461914065"/>
    <n v="201.33129338846231"/>
    <n v="199.3292261245183"/>
    <n v="199.48859753628889"/>
    <n v="35423300"/>
    <x v="0"/>
    <n v="0.42320537763564925"/>
    <n v="91.466171895612959"/>
    <n v="204.17891418457032"/>
    <x v="199"/>
    <n v="0"/>
    <s v="Apple Inc."/>
    <s v="Technology"/>
  </r>
  <r>
    <x v="229"/>
    <n v="200.90298461914065"/>
    <n v="202.96480586317463"/>
    <n v="200.16591202699755"/>
    <n v="200.55437033168948"/>
    <n v="46381600"/>
    <x v="0"/>
    <n v="0"/>
    <n v="91.466171895612959"/>
    <n v="203.8545184326172"/>
    <x v="200"/>
    <n v="0"/>
    <s v="Apple Inc."/>
    <s v="Technology"/>
  </r>
  <r>
    <x v="230"/>
    <n v="202.0185546875"/>
    <n v="205.42503857555045"/>
    <n v="201.3013985849112"/>
    <n v="202.10819540070028"/>
    <n v="43604000"/>
    <x v="0"/>
    <n v="0.55527799672772105"/>
    <n v="91.974063422598434"/>
    <n v="203.50349243164064"/>
    <x v="201"/>
    <n v="0"/>
    <s v="Apple Inc."/>
    <s v="Technology"/>
  </r>
  <r>
    <x v="231"/>
    <n v="199.83720397949219"/>
    <n v="203.94091870107039"/>
    <n v="199.35908978394465"/>
    <n v="202.69585814733983"/>
    <n v="55126100"/>
    <x v="0"/>
    <n v="-1.0797774052893838"/>
    <n v="90.980948267034691"/>
    <n v="203.04875732421874"/>
    <x v="202"/>
    <n v="0"/>
    <s v="Apple Inc."/>
    <s v="Technology"/>
  </r>
  <r>
    <x v="232"/>
    <n v="199.83720397949219"/>
    <n v="204.88716179091739"/>
    <n v="201.25159105149231"/>
    <n v="202.19783403313104"/>
    <n v="46607700"/>
    <x v="0"/>
    <n v="0"/>
    <n v="90.980948267034691"/>
    <n v="202.63818878173828"/>
    <x v="203"/>
    <n v="0"/>
    <s v="Apple Inc."/>
    <s v="Technology"/>
  </r>
  <r>
    <x v="233"/>
    <n v="200.65396118164065"/>
    <n v="205.18598475848049"/>
    <n v="199.22961916524449"/>
    <n v="203.58234611432161"/>
    <n v="72862600"/>
    <x v="0"/>
    <n v="0.40871128392703238"/>
    <n v="91.352797668825872"/>
    <n v="202.19779907226564"/>
    <x v="204"/>
    <n v="0"/>
    <s v="Apple Inc."/>
    <s v="Technology"/>
  </r>
  <r>
    <x v="234"/>
    <n v="201.86912536621091"/>
    <n v="203.54249456453348"/>
    <n v="199.77743286642308"/>
    <n v="199.80731310224203"/>
    <n v="54672600"/>
    <x v="0"/>
    <n v="0.60560189164182709"/>
    <n v="91.90603193957601"/>
    <n v="201.90008697509765"/>
    <x v="205"/>
    <n v="0"/>
    <s v="Apple Inc."/>
    <s v="Technology"/>
  </r>
  <r>
    <x v="235"/>
    <n v="197.99452209472656"/>
    <n v="203.69192080198684"/>
    <n v="197.62598900862736"/>
    <n v="202.69587228950769"/>
    <n v="60989900"/>
    <x v="0"/>
    <n v="-1.9193639762670078"/>
    <n v="90.142020670511329"/>
    <n v="201.44072753906249"/>
    <x v="206"/>
    <n v="0"/>
    <s v="Apple Inc."/>
    <s v="Technology"/>
  </r>
  <r>
    <x v="236"/>
    <n v="198.41285705566409"/>
    <n v="198.89095607742399"/>
    <n v="196.58013147350607"/>
    <n v="198.29333609984755"/>
    <n v="43904600"/>
    <x v="0"/>
    <n v="0.21128612878360542"/>
    <n v="90.332478256393358"/>
    <n v="200.96864654541017"/>
    <x v="207"/>
    <n v="0"/>
    <s v="Apple Inc."/>
    <s v="Technology"/>
  </r>
  <r>
    <x v="237"/>
    <n v="195.67372131347656"/>
    <n v="199.57822954037988"/>
    <n v="194.9266849517312"/>
    <n v="198.94075911963023"/>
    <n v="51447300"/>
    <x v="0"/>
    <n v="-1.3805233102505365"/>
    <n v="89.08541733733685"/>
    <n v="200.4278564453125"/>
    <x v="208"/>
    <n v="0"/>
    <s v="Apple Inc."/>
    <s v="Technology"/>
  </r>
  <r>
    <x v="238"/>
    <n v="197.63594055175781"/>
    <n v="197.90487790098291"/>
    <n v="195.78328974313985"/>
    <n v="196.52037110088887"/>
    <n v="43020700"/>
    <x v="0"/>
    <n v="1.0028016154186137"/>
    <n v="89.97876734149807"/>
    <n v="200.33813446044923"/>
    <x v="209"/>
    <n v="0"/>
    <s v="Apple Inc."/>
    <s v="Technology"/>
  </r>
  <r>
    <x v="239"/>
    <n v="194.86692810058599"/>
    <n v="197.6060614779548"/>
    <n v="194.43863454049264"/>
    <n v="196.42076133017071"/>
    <n v="38856200"/>
    <x v="0"/>
    <n v="-1.4010672570187954"/>
    <n v="88.718104294007219"/>
    <n v="200.48767517089843"/>
    <x v="210"/>
    <n v="0"/>
    <s v="Apple Inc."/>
    <s v="Technology"/>
  </r>
  <r>
    <x v="240"/>
    <n v="195.80320739746091"/>
    <n v="196.78930084082771"/>
    <n v="194.29917969964291"/>
    <n v="195.16573699325733"/>
    <n v="45394700"/>
    <x v="0"/>
    <n v="0.48047111226161565"/>
    <n v="89.14436915648605"/>
    <n v="200.79361450195313"/>
    <x v="211"/>
    <n v="0"/>
    <s v="Apple Inc."/>
    <s v="Technology"/>
  </r>
  <r>
    <x v="241"/>
    <n v="200.20574951171875"/>
    <n v="200.90298042554329"/>
    <n v="196.08210930882009"/>
    <n v="197.4566611092844"/>
    <n v="46108400"/>
    <x v="0"/>
    <n v="2.2484525012509637"/>
    <n v="91.148737954509457"/>
    <n v="201.36745422363282"/>
    <x v="212"/>
    <n v="0"/>
    <s v="Apple Inc."/>
    <s v="Technology"/>
  </r>
  <r>
    <x v="242"/>
    <n v="200.70376586914065"/>
    <n v="201.50060768152079"/>
    <n v="198.17380945321409"/>
    <n v="200.83325703321927"/>
    <n v="55814300"/>
    <x v="0"/>
    <n v="0.24875227541492073"/>
    <n v="91.375472514183286"/>
    <n v="201.42543273925781"/>
    <x v="213"/>
    <n v="0"/>
    <s v="Apple Inc."/>
    <s v="Technology"/>
  </r>
  <r>
    <x v="243"/>
    <n v="199.50849914550781"/>
    <n v="202.63609053842799"/>
    <n v="199.40888822531903"/>
    <n v="201.78944331230144"/>
    <n v="54064000"/>
    <x v="0"/>
    <n v="-0.5955377660487704"/>
    <n v="90.831297066455804"/>
    <n v="201.62721984863282"/>
    <x v="214"/>
    <n v="0"/>
    <s v="Apple Inc."/>
    <s v="Technology"/>
  </r>
  <r>
    <x v="244"/>
    <n v="200.76351928710929"/>
    <n v="202.86518208410851"/>
    <n v="199.82723133036671"/>
    <n v="200.653953351778"/>
    <n v="39525700"/>
    <x v="0"/>
    <n v="0.62905597855564821"/>
    <n v="91.402676771052001"/>
    <n v="201.70031982421875"/>
    <x v="215"/>
    <n v="0"/>
    <s v="Apple Inc."/>
    <s v="Technology"/>
  </r>
  <r>
    <x v="245"/>
    <n v="200.20574951171875"/>
    <n v="201.83926845203379"/>
    <n v="198.67184150130464"/>
    <n v="200.63404307360599"/>
    <n v="50799100"/>
    <x v="0"/>
    <n v="-0.27782426676475902"/>
    <n v="91.148737954509457"/>
    <n v="201.67532409667967"/>
    <x v="216"/>
    <n v="0"/>
    <s v="Apple Inc."/>
    <s v="Technology"/>
  </r>
  <r>
    <x v="246"/>
    <n v="200.28543090820313"/>
    <n v="202.41697405518968"/>
    <n v="199.20969672208463"/>
    <n v="201.09222774816857"/>
    <n v="73188600"/>
    <x v="0"/>
    <n v="3.9799754342073612E-2"/>
    <n v="91.185014928301257"/>
    <n v="201.65948181152345"/>
    <x v="217"/>
    <n v="0"/>
    <s v="Apple Inc."/>
    <s v="Technology"/>
  </r>
  <r>
    <x v="247"/>
    <n v="204.35926818847656"/>
    <n v="206.570497066428"/>
    <n v="198.47261792694383"/>
    <n v="201.21175129212304"/>
    <n v="91912800"/>
    <x v="0"/>
    <n v="2.0340157852722696"/>
    <n v="93.039732525745777"/>
    <n v="201.88168853759765"/>
    <x v="218"/>
    <n v="0"/>
    <s v="Apple Inc."/>
    <s v="Technology"/>
  </r>
  <r>
    <x v="248"/>
    <n v="206.99879455566409"/>
    <n v="209.35942450018743"/>
    <n v="205.32542526953239"/>
    <n v="205.85332972802505"/>
    <n v="78788900"/>
    <x v="0"/>
    <n v="1.2916107943551358"/>
    <n v="94.241443754087456"/>
    <n v="202.10277099609374"/>
    <x v="219"/>
    <n v="0"/>
    <s v="Apple Inc."/>
    <s v="Technology"/>
  </r>
  <r>
    <x v="249"/>
    <n v="211.60054016113281"/>
    <n v="212.49697770796604"/>
    <n v="207.31752868499885"/>
    <n v="208.08449026524104"/>
    <n v="67941800"/>
    <x v="0"/>
    <n v="2.2230784557691008"/>
    <n v="96.336504986590342"/>
    <n v="202.49188659667968"/>
    <x v="220"/>
    <n v="0"/>
    <s v="Apple Inc."/>
    <s v="Technology"/>
  </r>
  <r>
    <x v="250"/>
    <n v="212.70616149902344"/>
    <n v="213.80180573654249"/>
    <n v="210.97303162710091"/>
    <n v="211.31168447150719"/>
    <n v="34955800"/>
    <x v="0"/>
    <n v="0.52250402435112253"/>
    <n v="96.839867102064488"/>
    <n v="202.77220611572267"/>
    <x v="221"/>
    <n v="0"/>
    <s v="Apple Inc."/>
    <s v="Technology"/>
  </r>
  <r>
    <x v="251"/>
    <n v="209.12037658691409"/>
    <n v="215.37555986284275"/>
    <n v="207.97492690746131"/>
    <n v="211.83958469799765"/>
    <n v="50229000"/>
    <x v="0"/>
    <n v="-1.6857926854769612"/>
    <n v="95.207347705832277"/>
    <n v="202.88412109375"/>
    <x v="222"/>
    <n v="0"/>
    <s v="Apple Inc."/>
    <s v="Technology"/>
  </r>
  <r>
    <x v="252"/>
    <n v="209.18014526367188"/>
    <n v="210.59453234535167"/>
    <n v="207.62631199643187"/>
    <n v="209.26980118177752"/>
    <n v="42848900"/>
    <x v="0"/>
    <n v="2.8580991356874641E-2"/>
    <n v="95.234558909651199"/>
    <n v="202.92222808837892"/>
    <x v="223"/>
    <n v="0"/>
    <s v="Apple Inc."/>
    <s v="Technology"/>
  </r>
  <r>
    <x v="253"/>
    <n v="210.30564880371091"/>
    <n v="210.49490042268289"/>
    <n v="206.40114108081369"/>
    <n v="208.7020103462271"/>
    <n v="48749400"/>
    <x v="0"/>
    <n v="0.53805466987335571"/>
    <n v="95.746972901197864"/>
    <n v="202.96474060058594"/>
    <x v="224"/>
    <n v="0"/>
    <s v="Apple Inc."/>
    <s v="Technology"/>
  </r>
  <r>
    <x v="254"/>
    <n v="211.57066345214844"/>
    <n v="212.63642743345136"/>
    <n v="209.2000631819418"/>
    <n v="209.67816220166208"/>
    <n v="44443600"/>
    <x v="0"/>
    <n v="0.60151244421315919"/>
    <n v="96.322902858155956"/>
    <n v="203.01544342041015"/>
    <x v="225"/>
    <n v="0"/>
    <s v="Apple Inc."/>
    <s v="Technology"/>
  </r>
  <r>
    <x v="255"/>
    <n v="210.3255920410156"/>
    <n v="211.29176024278999"/>
    <n v="209.03072603052999"/>
    <n v="209.73792710960444"/>
    <n v="39765800"/>
    <x v="0"/>
    <n v="-0.58848962839048724"/>
    <n v="95.756052565071059"/>
    <n v="203.0199578857422"/>
    <x v="226"/>
    <n v="0"/>
    <s v="Apple Inc."/>
    <s v="Technology"/>
  </r>
  <r>
    <x v="256"/>
    <n v="207.79562377929688"/>
    <n v="210.07658325197187"/>
    <n v="206.71988962428105"/>
    <n v="209.10044482334129"/>
    <n v="38840100"/>
    <x v="0"/>
    <n v="-1.2028817972970951"/>
    <n v="94.604220438955593"/>
    <n v="202.9482080078125"/>
    <x v="227"/>
    <n v="0"/>
    <s v="Apple Inc."/>
    <s v="Technology"/>
  </r>
  <r>
    <x v="257"/>
    <n v="208.28370666503903"/>
    <n v="211.05272033528999"/>
    <n v="208.09445501444367"/>
    <n v="208.39327261019983"/>
    <n v="42296300"/>
    <x v="0"/>
    <n v="0.23488602736916331"/>
    <n v="94.826432534068218"/>
    <n v="202.86990600585938"/>
    <x v="228"/>
    <n v="0"/>
    <s v="Apple Inc."/>
    <s v="Technology"/>
  </r>
  <r>
    <x v="258"/>
    <n v="209.32952880859369"/>
    <n v="211.56066742739321"/>
    <n v="207.81553103262843"/>
    <n v="209.46897497226871"/>
    <n v="47490500"/>
    <x v="0"/>
    <n v="0.50211423653820919"/>
    <n v="95.302569551823083"/>
    <n v="202.97108276367189"/>
    <x v="229"/>
    <n v="0"/>
    <s v="Apple Inc."/>
    <s v="Technology"/>
  </r>
  <r>
    <x v="259"/>
    <n v="209.19010925292969"/>
    <n v="210.96307435880661"/>
    <n v="208.7618004967043"/>
    <n v="209.7379389650813"/>
    <n v="48068100"/>
    <x v="0"/>
    <n v="-6.6602909038926406E-2"/>
    <n v="95.23909526811272"/>
    <n v="203.19799194335937"/>
    <x v="230"/>
    <n v="0"/>
    <s v="Apple Inc."/>
    <s v="Technology"/>
  </r>
  <r>
    <x v="260"/>
    <n v="210.34550476074219"/>
    <n v="210.95309492429405"/>
    <n v="208.87135730762199"/>
    <n v="210.0367321724359"/>
    <n v="48974600"/>
    <x v="0"/>
    <n v="0.55231842076028936"/>
    <n v="95.765118335043937"/>
    <n v="203.4555694580078"/>
    <x v="231"/>
    <n v="0"/>
    <s v="Apple Inc."/>
    <s v="Technology"/>
  </r>
  <r>
    <x v="261"/>
    <n v="211.64036560058599"/>
    <n v="214.92732845073888"/>
    <n v="210.79373355638279"/>
    <n v="211.26187753314511"/>
    <n v="51377400"/>
    <x v="0"/>
    <n v="0.61558759780326877"/>
    <n v="96.354636526536098"/>
    <n v="203.78400604248046"/>
    <x v="232"/>
    <n v="0"/>
    <s v="Apple Inc."/>
    <s v="Technology"/>
  </r>
  <r>
    <x v="262"/>
    <n v="213.55278015136719"/>
    <n v="214.10060983484809"/>
    <n v="211.39135685335447"/>
    <n v="212.29776458434165"/>
    <n v="46404100"/>
    <x v="0"/>
    <n v="0.90361521789767973"/>
    <n v="97.225311685339875"/>
    <n v="204.15069091796875"/>
    <x v="233"/>
    <n v="0"/>
    <s v="Apple Inc."/>
    <s v="Technology"/>
  </r>
  <r>
    <x v="263"/>
    <n v="213.30377197265625"/>
    <n v="214.29982043425807"/>
    <n v="211.57065737650467"/>
    <n v="214.15041924441525"/>
    <n v="46989300"/>
    <x v="0"/>
    <n v="-0.11660263965397322"/>
    <n v="97.111944405502967"/>
    <n v="204.46703582763672"/>
    <x v="234"/>
    <n v="0"/>
    <s v="Apple Inc."/>
    <s v="Technology"/>
  </r>
  <r>
    <x v="264"/>
    <n v="212.91531372070313"/>
    <n v="214.83769515517369"/>
    <n v="212.68622683006964"/>
    <n v="213.05475989741399"/>
    <n v="46022600"/>
    <x v="0"/>
    <n v="-0.18211504107996657"/>
    <n v="96.935088948055323"/>
    <n v="204.52620117187499"/>
    <x v="235"/>
    <n v="0"/>
    <s v="Apple Inc."/>
    <s v="Technology"/>
  </r>
  <r>
    <x v="265"/>
    <n v="213.03486633300781"/>
    <n v="214.38949295365799"/>
    <n v="212.55675209148805"/>
    <n v="213.85161823157199"/>
    <n v="40268800"/>
    <x v="0"/>
    <n v="5.6150311696945288E-2"/>
    <n v="96.989518302643361"/>
    <n v="204.54512634277344"/>
    <x v="236"/>
    <n v="0"/>
    <s v="Apple Inc."/>
    <s v="Technology"/>
  </r>
  <r>
    <x v="266"/>
    <n v="213.20416259765625"/>
    <n v="214.00100435562788"/>
    <n v="212.21806921233599"/>
    <n v="213.18423737412155"/>
    <n v="37858000"/>
    <x v="0"/>
    <n v="7.9468806004645565E-2"/>
    <n v="97.066594714788138"/>
    <n v="204.57939025878906"/>
    <x v="237"/>
    <n v="0"/>
    <s v="Apple Inc."/>
    <s v="Technology"/>
  </r>
  <r>
    <x v="267"/>
    <n v="210.43516540527344"/>
    <n v="213.96117031669576"/>
    <n v="209.9869466315705"/>
    <n v="213.33365491441555"/>
    <n v="51411700"/>
    <x v="0"/>
    <n v="-1.2987538135492582"/>
    <n v="95.805938614247424"/>
    <n v="204.57580474853515"/>
    <x v="238"/>
    <n v="0"/>
    <s v="Apple Inc."/>
    <s v="Technology"/>
  </r>
  <r>
    <x v="268"/>
    <n v="208.22392272949219"/>
    <n v="211.5507207645324"/>
    <n v="206.89917652304968"/>
    <n v="211.06265157316119"/>
    <n v="45512500"/>
    <x v="0"/>
    <n v="-1.0507952278425825"/>
    <n v="94.79921438329913"/>
    <n v="204.53177917480468"/>
    <x v="239"/>
    <n v="0"/>
    <s v="Apple Inc."/>
    <s v="Technology"/>
  </r>
  <r>
    <x v="269"/>
    <n v="206.74977111816409"/>
    <n v="209.01079001519739"/>
    <n v="206.34138763159265"/>
    <n v="207.66613381097579"/>
    <n v="80698400"/>
    <x v="0"/>
    <n v="-0.70796457582983363"/>
    <n v="94.128069527300383"/>
    <n v="204.45827056884767"/>
    <x v="240"/>
    <n v="0"/>
    <s v="Apple Inc."/>
    <s v="Technology"/>
  </r>
  <r>
    <x v="270"/>
    <n v="201.58030700683599"/>
    <n v="212.73604753866169"/>
    <n v="200.70377943412649"/>
    <n v="210.03674932642843"/>
    <n v="104434500"/>
    <x v="0"/>
    <n v="-2.5003481664671701"/>
    <n v="91.774540066743583"/>
    <n v="204.36902496337891"/>
    <x v="241"/>
    <n v="0"/>
    <s v="Apple Inc."/>
    <s v="Technology"/>
  </r>
  <r>
    <x v="271"/>
    <n v="202.54646301269531"/>
    <n v="207.05856137836409"/>
    <n v="200.88304868853191"/>
    <n v="203.70186769022783"/>
    <n v="75109300"/>
    <x v="0"/>
    <n v="0.47929086933404808"/>
    <n v="92.2144070576568"/>
    <n v="204.39412567138672"/>
    <x v="242"/>
    <n v="0"/>
    <s v="Apple Inc."/>
    <s v="Technology"/>
  </r>
  <r>
    <x v="272"/>
    <n v="202.11814880371091"/>
    <n v="204.52858421879685"/>
    <n v="201.36115745633879"/>
    <n v="202.59624780213056"/>
    <n v="44155100"/>
    <x v="0"/>
    <n v="-0.21146466969287347"/>
    <n v="92.019406166363083"/>
    <n v="204.42520233154298"/>
    <x v="243"/>
    <n v="0"/>
    <s v="Apple Inc."/>
    <s v="Technology"/>
  </r>
  <r>
    <x v="273"/>
    <n v="212.40733337402344"/>
    <n v="214.52892145013999"/>
    <n v="204.77759854868279"/>
    <n v="204.81744899810371"/>
    <n v="108483100"/>
    <x v="0"/>
    <n v="5.0906782152972285"/>
    <n v="96.703818029920001"/>
    <n v="204.78338134765625"/>
    <x v="244"/>
    <n v="0"/>
    <s v="Apple Inc."/>
    <s v="Technology"/>
  </r>
  <r>
    <x v="274"/>
    <n v="219.1605529785156"/>
    <n v="219.97732005400189"/>
    <n v="215.7241886502616"/>
    <n v="218.01510326859565"/>
    <n v="90224800"/>
    <x v="0"/>
    <n v="3.1793721512432649"/>
    <n v="99.778392289552244"/>
    <n v="205.17821502685547"/>
    <x v="245"/>
    <n v="0"/>
    <s v="Apple Inc."/>
    <s v="Technology"/>
  </r>
  <r>
    <x v="275"/>
    <n v="228.4437255859375"/>
    <n v="230.08719950298999"/>
    <n v="218.38362983130105"/>
    <n v="219.95738825778145"/>
    <n v="113854000"/>
    <x v="0"/>
    <n v="4.2357862677650404"/>
    <n v="104.00479172834984"/>
    <n v="205.75452880859376"/>
    <x v="246"/>
    <n v="0"/>
    <s v="Apple Inc."/>
    <s v="Technology"/>
  </r>
  <r>
    <x v="276"/>
    <n v="226.53909301757807"/>
    <n v="228.91238364576839"/>
    <n v="224.12592192869849"/>
    <n v="227.27701087414155"/>
    <n v="61806100"/>
    <x v="0"/>
    <n v="-0.83374256109429723"/>
    <n v="103.13765951413309"/>
    <n v="206.30211303710936"/>
    <x v="247"/>
    <n v="0"/>
    <s v="Apple Inc."/>
    <s v="Technology"/>
  </r>
  <r>
    <x v="277"/>
    <n v="229.00210571289065"/>
    <n v="230.14887046423399"/>
    <n v="226.42939779448272"/>
    <n v="227.36673308681239"/>
    <n v="55626200"/>
    <x v="0"/>
    <n v="1.0872351709828143"/>
    <n v="104.25900842289926"/>
    <n v="206.88102844238281"/>
    <x v="248"/>
    <n v="0"/>
    <s v="Apple Inc."/>
    <s v="Technology"/>
  </r>
  <r>
    <x v="278"/>
    <n v="232.6717529296875"/>
    <n v="234.3370398551092"/>
    <n v="229.77992501054072"/>
    <n v="230.41813410917371"/>
    <n v="69878500"/>
    <x v="0"/>
    <n v="1.6024512985909567"/>
    <n v="105.92970825727006"/>
    <n v="207.51640380859374"/>
    <x v="249"/>
    <n v="0"/>
    <s v="Apple Inc."/>
    <s v="Technology"/>
  </r>
  <r>
    <x v="279"/>
    <n v="232.12330627441409"/>
    <n v="234.45670128029761"/>
    <n v="230.19875827485632"/>
    <n v="233.39969406647401"/>
    <n v="51916300"/>
    <x v="0"/>
    <n v="-0.23571690519696986"/>
    <n v="105.68001402728184"/>
    <n v="208.14081024169923"/>
    <x v="250"/>
    <n v="0"/>
    <s v="Apple Inc."/>
    <s v="Technology"/>
  </r>
  <r>
    <x v="280"/>
    <n v="230.93666076660159"/>
    <n v="233.6190744765876"/>
    <n v="228.69300821277216"/>
    <n v="233.33986559825931"/>
    <n v="56038700"/>
    <x v="0"/>
    <n v="-0.51121342654393276"/>
    <n v="105.13976360640088"/>
    <n v="208.71917236328125"/>
    <x v="251"/>
    <n v="0"/>
    <s v="Apple Inc."/>
    <s v="Technology"/>
  </r>
  <r>
    <x v="281"/>
    <n v="230.23863220214844"/>
    <n v="232.46233685580373"/>
    <n v="229.46083388892839"/>
    <n v="231.04634466466609"/>
    <n v="37476200"/>
    <x v="0"/>
    <n v="-0.30225974608623085"/>
    <n v="104.82196842388849"/>
    <n v="209.32720092773437"/>
    <x v="252"/>
    <n v="0"/>
    <s v="Apple Inc."/>
    <s v="Technology"/>
  </r>
  <r>
    <x v="282"/>
    <n v="229.9095764160156"/>
    <n v="232.21305735738468"/>
    <n v="228.70299840660479"/>
    <n v="230.62754647770771"/>
    <n v="39402600"/>
    <x v="0"/>
    <n v="-0.14291944969684334"/>
    <n v="104.67215744345569"/>
    <n v="209.92864837646485"/>
    <x v="253"/>
    <n v="0"/>
    <s v="Apple Inc."/>
    <s v="Technology"/>
  </r>
  <r>
    <x v="283"/>
    <n v="225.37239074707031"/>
    <n v="229.81981519856649"/>
    <n v="225.13307755654051"/>
    <n v="229.33119207499823"/>
    <n v="42263900"/>
    <x v="0"/>
    <n v="-1.9734652812962272"/>
    <n v="102.60648875712535"/>
    <n v="210.42301696777344"/>
    <x v="254"/>
    <n v="0"/>
    <s v="Apple Inc."/>
    <s v="Technology"/>
  </r>
  <r>
    <x v="284"/>
    <n v="224.26551818847656"/>
    <n v="225.88095827873423"/>
    <n v="223.14868274098328"/>
    <n v="225.63166356522291"/>
    <n v="30621200"/>
    <x v="0"/>
    <n v="-0.49113050401811131"/>
    <n v="102.1025569917372"/>
    <n v="210.87094482421875"/>
    <x v="255"/>
    <n v="0"/>
    <s v="Apple Inc."/>
    <s v="Technology"/>
  </r>
  <r>
    <x v="285"/>
    <n v="227.11744689941409"/>
    <n v="228.44369658121065"/>
    <n v="224.77408575714253"/>
    <n v="225.53193619713707"/>
    <n v="42477800"/>
    <x v="0"/>
    <n v="1.2716750813831057"/>
    <n v="103.4009697664561"/>
    <n v="211.4534033203125"/>
    <x v="256"/>
    <n v="0"/>
    <s v="Apple Inc."/>
    <s v="Technology"/>
  </r>
  <r>
    <x v="286"/>
    <n v="226.5191650390625"/>
    <n v="228.65312729963856"/>
    <n v="225.5917807397916"/>
    <n v="225.84107546750249"/>
    <n v="30983100"/>
    <x v="0"/>
    <n v="-0.26342399869286881"/>
    <n v="103.12858679721009"/>
    <n v="212.01552947998047"/>
    <x v="257"/>
    <n v="0"/>
    <s v="Apple Inc."/>
    <s v="Technology"/>
  </r>
  <r>
    <x v="287"/>
    <n v="228.6630859375"/>
    <n v="228.84258604761439"/>
    <n v="224.05612439304167"/>
    <n v="226.229967042174"/>
    <n v="54575100"/>
    <x v="0"/>
    <n v="0.94646335910155699"/>
    <n v="104.10466108400493"/>
    <n v="212.67531677246095"/>
    <x v="258"/>
    <n v="0"/>
    <s v="Apple Inc."/>
    <s v="Technology"/>
  </r>
  <r>
    <x v="288"/>
    <n v="229.83976745605469"/>
    <n v="230.24859923631865"/>
    <n v="227.61604757967461"/>
    <n v="227.965066276898"/>
    <n v="31259500"/>
    <x v="0"/>
    <n v="0.5145918125483151"/>
    <n v="104.64037514642439"/>
    <n v="213.31939331054687"/>
    <x v="259"/>
    <n v="0"/>
    <s v="Apple Inc."/>
    <s v="Technology"/>
  </r>
  <r>
    <x v="289"/>
    <n v="231.90391540527344"/>
    <n v="232.7515235304584"/>
    <n v="228.692998228932"/>
    <n v="230.16883391080088"/>
    <n v="38074700"/>
    <x v="0"/>
    <n v="0.89808129031170303"/>
    <n v="105.5801307777264"/>
    <n v="214.06013305664064"/>
    <x v="260"/>
    <n v="0"/>
    <s v="Apple Inc."/>
    <s v="Technology"/>
  </r>
  <r>
    <x v="290"/>
    <n v="231.485107421875"/>
    <n v="232.7216147258446"/>
    <n v="230.71727541448905"/>
    <n v="231.85405874294369"/>
    <n v="39418400"/>
    <x v="0"/>
    <n v="-0.1805954775134011"/>
    <n v="105.38945783638908"/>
    <n v="214.7737710571289"/>
    <x v="261"/>
    <n v="0"/>
    <s v="Apple Inc."/>
    <s v="Technology"/>
  </r>
  <r>
    <x v="291"/>
    <n v="229.07192993164065"/>
    <n v="230.19874691737337"/>
    <n v="226.3296880547272"/>
    <n v="228.6032546481452"/>
    <n v="44075600"/>
    <x v="0"/>
    <n v="-1.0424763463665943"/>
    <n v="104.29079766688074"/>
    <n v="215.35109466552734"/>
    <x v="262"/>
    <n v="0"/>
    <s v="Apple Inc."/>
    <s v="Technology"/>
  </r>
  <r>
    <x v="292"/>
    <n v="237.79725646972656"/>
    <n v="238.17618932549604"/>
    <n v="233.69885053091849"/>
    <n v="236.5408165177042"/>
    <n v="66427800"/>
    <x v="0"/>
    <n v="3.8089898403046218"/>
    <n v="108.26322355438487"/>
    <n v="216.09296447753906"/>
    <x v="263"/>
    <n v="0"/>
    <s v="Apple Inc."/>
    <s v="Technology"/>
  </r>
  <r>
    <x v="293"/>
    <n v="239.10356140136719"/>
    <n v="239.22321800332051"/>
    <n v="236.07214416452069"/>
    <n v="237.77731160532721"/>
    <n v="47549400"/>
    <x v="0"/>
    <n v="0.54933557730383331"/>
    <n v="108.85795195850507"/>
    <n v="216.88486572265626"/>
    <x v="264"/>
    <n v="0"/>
    <s v="Apple Inc."/>
    <s v="Technology"/>
  </r>
  <r>
    <x v="294"/>
    <n v="239.0137939453125"/>
    <n v="240.63920029193571"/>
    <n v="237.81718240373485"/>
    <n v="239.32291694518145"/>
    <n v="54870400"/>
    <x v="0"/>
    <n v="-3.75433370914946E-2"/>
    <n v="108.81708305065038"/>
    <n v="217.64987121582033"/>
    <x v="265"/>
    <n v="0"/>
    <s v="Apple Inc."/>
    <s v="Technology"/>
  </r>
  <r>
    <x v="295"/>
    <n v="237.20890808105469"/>
    <n v="239.47249309970456"/>
    <n v="235.67324414176576"/>
    <n v="238.62490021245955"/>
    <n v="48999500"/>
    <x v="0"/>
    <n v="-0.75513878695669945"/>
    <n v="107.99536304970006"/>
    <n v="218.38993438720703"/>
    <x v="266"/>
    <n v="0"/>
    <s v="Apple Inc."/>
    <s v="Technology"/>
  </r>
  <r>
    <x v="296"/>
    <n v="233.6888732910156"/>
    <n v="238.10636836303831"/>
    <n v="232.70166073618759"/>
    <n v="236.3313911991396"/>
    <n v="66313900"/>
    <x v="0"/>
    <n v="-1.4839387013392824"/>
    <n v="106.39277806175369"/>
    <n v="219.05800323486329"/>
    <x v="267"/>
    <n v="0"/>
    <s v="Apple Inc."/>
    <s v="Technology"/>
  </r>
  <r>
    <x v="297"/>
    <n v="226.15020751953125"/>
    <n v="231.7643298806428"/>
    <n v="225.31258085277639"/>
    <n v="231.53498298240493"/>
    <n v="83440800"/>
    <x v="0"/>
    <n v="-3.2259412548479971"/>
    <n v="102.9606095420807"/>
    <n v="219.49382202148436"/>
    <x v="268"/>
    <n v="0"/>
    <s v="Apple Inc."/>
    <s v="Technology"/>
  </r>
  <r>
    <x v="298"/>
    <n v="229.38105773925781"/>
    <n v="229.79987104514171"/>
    <n v="226.01058823833301"/>
    <n v="226.23995033725743"/>
    <n v="50208600"/>
    <x v="0"/>
    <n v="1.4286302255316352"/>
    <n v="104.4315359303905"/>
    <n v="219.94146728515625"/>
    <x v="269"/>
    <n v="0"/>
    <s v="Apple Inc."/>
    <s v="Technology"/>
  </r>
  <r>
    <x v="299"/>
    <n v="233.40966796875"/>
    <n v="233.84841389514688"/>
    <n v="228.3739115767776"/>
    <n v="228.57334430982019"/>
    <n v="55824200"/>
    <x v="0"/>
    <n v="1.7562959510246889"/>
    <n v="106.26566276752882"/>
    <n v="220.3776498413086"/>
    <x v="270"/>
    <n v="0"/>
    <s v="Apple Inc."/>
    <s v="Technology"/>
  </r>
  <r>
    <x v="300"/>
    <n v="236.03224182128903"/>
    <n v="237.51804385513719"/>
    <n v="234.36695488957943"/>
    <n v="236.33139853346725"/>
    <n v="42699500"/>
    <x v="0"/>
    <n v="1.1235926409398633"/>
    <n v="107.45965593423075"/>
    <n v="220.84417144775389"/>
    <x v="271"/>
    <n v="0"/>
    <s v="Apple Inc."/>
    <s v="Technology"/>
  </r>
  <r>
    <x v="301"/>
    <n v="237.4781494140625"/>
    <n v="240.53949594661788"/>
    <n v="235.65332541334001"/>
    <n v="236.51088466190768"/>
    <n v="63421100"/>
    <x v="0"/>
    <n v="0.61258901818517231"/>
    <n v="108.1179419854634"/>
    <n v="221.41132690429689"/>
    <x v="272"/>
    <n v="0"/>
    <s v="Apple Inc."/>
    <s v="Technology"/>
  </r>
  <r>
    <x v="302"/>
    <n v="238.3157958984375"/>
    <n v="239.42266510979977"/>
    <n v="237.05934071942244"/>
    <n v="238.29584805960189"/>
    <n v="46508000"/>
    <x v="0"/>
    <n v="0.3527257082143187"/>
    <n v="108.49930176203837"/>
    <n v="221.99403991699219"/>
    <x v="273"/>
    <n v="0"/>
    <s v="Apple Inc."/>
    <s v="Technology"/>
  </r>
  <r>
    <x v="303"/>
    <n v="237.20890808105469"/>
    <n v="240.51953392817583"/>
    <n v="235.98236714862816"/>
    <n v="239.2930082114909"/>
    <n v="44249600"/>
    <x v="0"/>
    <n v="-0.46446263169837021"/>
    <n v="107.99536304970006"/>
    <n v="222.53210510253905"/>
    <x v="274"/>
    <n v="0"/>
    <s v="Apple Inc."/>
    <s v="Technology"/>
  </r>
  <r>
    <x v="304"/>
    <n v="244.80740356445313"/>
    <n v="245.60514967420656"/>
    <n v="239.53233423145289"/>
    <n v="240.54944568604057"/>
    <n v="163741300"/>
    <x v="0"/>
    <n v="3.2032926355371139"/>
    <n v="111.45477056099267"/>
    <n v="223.19683990478515"/>
    <x v="275"/>
    <n v="1"/>
    <s v="Apple Inc."/>
    <s v="Technology"/>
  </r>
  <r>
    <x v="305"/>
    <n v="255.35755920410159"/>
    <n v="255.9160073848096"/>
    <n v="247.42002368458668"/>
    <n v="247.5995237986898"/>
    <n v="105517400"/>
    <x v="0"/>
    <n v="4.3095737653501276"/>
    <n v="116.25799611332037"/>
    <n v="224.09747924804688"/>
    <x v="276"/>
    <n v="0"/>
    <s v="Apple Inc."/>
    <s v="Technology"/>
  </r>
  <r>
    <x v="306"/>
    <n v="253.71221923828125"/>
    <n v="256.61401347779179"/>
    <n v="252.86462630601795"/>
    <n v="255.15814081026079"/>
    <n v="60275200"/>
    <x v="0"/>
    <n v="-0.64432788711974442"/>
    <n v="115.50891342335565"/>
    <n v="225.01581115722655"/>
    <x v="277"/>
    <n v="0"/>
    <s v="Apple Inc."/>
    <s v="Technology"/>
  </r>
  <r>
    <x v="307"/>
    <n v="251.59820556640625"/>
    <n v="255.018537102084"/>
    <n v="250.33178410429736"/>
    <n v="254.499999814208"/>
    <n v="42303700"/>
    <x v="0"/>
    <n v="-0.83323289600394368"/>
    <n v="114.54645515889554"/>
    <n v="225.88210113525392"/>
    <x v="278"/>
    <n v="0"/>
    <s v="Apple Inc."/>
    <s v="Technology"/>
  </r>
  <r>
    <x v="308"/>
    <n v="256.14535522460938"/>
    <n v="256.44452717224715"/>
    <n v="250.99992334214929"/>
    <n v="252.49569178587751"/>
    <n v="55202100"/>
    <x v="0"/>
    <n v="1.8073060767529903"/>
    <n v="116.61666020368739"/>
    <n v="226.81841766357422"/>
    <x v="279"/>
    <n v="0"/>
    <s v="Apple Inc."/>
    <s v="Technology"/>
  </r>
  <r>
    <x v="309"/>
    <n v="254.73931884765625"/>
    <n v="256.87328100426123"/>
    <n v="253.06405044687503"/>
    <n v="253.38315498635407"/>
    <n v="46076300"/>
    <x v="0"/>
    <n v="-0.5489212856193304"/>
    <n v="115.97652653325099"/>
    <n v="227.72940185546875"/>
    <x v="280"/>
    <n v="0"/>
    <s v="Apple Inc."/>
    <s v="Technology"/>
  </r>
  <r>
    <x v="310"/>
    <n v="253.71221923828125"/>
    <n v="254.28061851263053"/>
    <n v="252.29622703166865"/>
    <n v="253.84185736381545"/>
    <n v="40127700"/>
    <x v="0"/>
    <n v="-0.40319633970178348"/>
    <n v="115.50891342335565"/>
    <n v="228.59673614501952"/>
    <x v="281"/>
    <n v="0"/>
    <s v="Apple Inc."/>
    <s v="Technology"/>
  </r>
  <r>
    <x v="311"/>
    <n v="253.91166687011719"/>
    <n v="255.1980209495745"/>
    <n v="252.39595068950493"/>
    <n v="254.14101375552971"/>
    <n v="37704300"/>
    <x v="0"/>
    <n v="7.8611756435997826E-2"/>
    <n v="115.59971700903789"/>
    <n v="229.44216217041014"/>
    <x v="282"/>
    <n v="0"/>
    <s v="Apple Inc."/>
    <s v="Technology"/>
  </r>
  <r>
    <x v="312"/>
    <n v="254.72935485839844"/>
    <n v="258.05994405161016"/>
    <n v="254.21081755391603"/>
    <n v="254.32050784494609"/>
    <n v="48713900"/>
    <x v="0"/>
    <n v="0.32203639886287938"/>
    <n v="115.97199017478947"/>
    <n v="230.26569366455078"/>
    <x v="283"/>
    <n v="0"/>
    <s v="Apple Inc."/>
    <s v="Technology"/>
  </r>
  <r>
    <x v="313"/>
    <n v="256.40460205078125"/>
    <n v="257.45162766856959"/>
    <n v="253.43299812845933"/>
    <n v="255.85613542550084"/>
    <n v="42630200"/>
    <x v="0"/>
    <n v="0.65765769057675172"/>
    <n v="116.73468888708891"/>
    <n v="231.12771026611327"/>
    <x v="284"/>
    <n v="0"/>
    <s v="Apple Inc."/>
    <s v="Technology"/>
  </r>
  <r>
    <x v="314"/>
    <n v="257.29208374023438"/>
    <n v="258.5086431914624"/>
    <n v="253.23357360959045"/>
    <n v="253.95154362066739"/>
    <n v="49155600"/>
    <x v="0"/>
    <n v="0.34612549164674267"/>
    <n v="117.13873740292162"/>
    <n v="232.01524566650392"/>
    <x v="285"/>
    <n v="0"/>
    <s v="Apple Inc."/>
    <s v="Technology"/>
  </r>
  <r>
    <x v="315"/>
    <n v="255.96585083007807"/>
    <n v="258.33914144916992"/>
    <n v="254.33047806472084"/>
    <n v="257.26217121003492"/>
    <n v="44664100"/>
    <x v="0"/>
    <n v="-0.51545810927291491"/>
    <n v="116.53493628187836"/>
    <n v="232.87386535644532"/>
    <x v="286"/>
    <n v="0"/>
    <s v="Apple Inc."/>
    <s v="Technology"/>
  </r>
  <r>
    <x v="316"/>
    <n v="255.7564392089844"/>
    <n v="256.67382669789566"/>
    <n v="254.70938317067183"/>
    <n v="256.08549483552179"/>
    <n v="31955800"/>
    <x v="0"/>
    <n v="-8.1812327861141565E-2"/>
    <n v="116.43959633773466"/>
    <n v="233.72491088867187"/>
    <x v="287"/>
    <n v="0"/>
    <s v="Apple Inc."/>
    <s v="Technology"/>
  </r>
  <r>
    <x v="317"/>
    <n v="255.7564392089844"/>
    <n v="257.79069453454127"/>
    <n v="255.38748958216479"/>
    <n v="255.79633660873367"/>
    <n v="36496900"/>
    <x v="0"/>
    <n v="0"/>
    <n v="116.43959633773466"/>
    <n v="234.63133636474609"/>
    <x v="288"/>
    <n v="0"/>
    <s v="Apple Inc."/>
    <s v="Technology"/>
  </r>
  <r>
    <x v="318"/>
    <n v="253.32331848144531"/>
    <n v="257.27215358016042"/>
    <n v="252.42586356688119"/>
    <n v="257.08268715657101"/>
    <n v="38322000"/>
    <x v="0"/>
    <n v="-0.95134290071614558"/>
    <n v="115.33185650435307"/>
    <n v="235.53332427978515"/>
    <x v="289"/>
    <n v="0"/>
    <s v="Apple Inc."/>
    <s v="Technology"/>
  </r>
  <r>
    <x v="319"/>
    <n v="244.57806396484369"/>
    <n v="255.6567217403356"/>
    <n v="243.31164254854809"/>
    <n v="254.22078174323531"/>
    <n v="61999100"/>
    <x v="0"/>
    <n v="-3.4522106251510198"/>
    <n v="111.35035789992587"/>
    <n v="236.28989013671875"/>
    <x v="290"/>
    <n v="0"/>
    <s v="Apple Inc."/>
    <s v="Technology"/>
  </r>
  <r>
    <x v="320"/>
    <n v="246.96131896972656"/>
    <n v="248.98559082884384"/>
    <n v="244.86723728717817"/>
    <n v="248.67646781820159"/>
    <n v="38142900"/>
    <x v="0"/>
    <n v="0.97443530554131019"/>
    <n v="112.43539510014938"/>
    <n v="237.19751037597655"/>
    <x v="291"/>
    <n v="0"/>
    <s v="Apple Inc."/>
    <s v="Technology"/>
  </r>
  <r>
    <x v="321"/>
    <n v="247.07101440429688"/>
    <n v="248.14796941642879"/>
    <n v="244.00966795095763"/>
    <n v="245.90431694508948"/>
    <n v="35478000"/>
    <x v="0"/>
    <n v="4.4418063131490548E-2"/>
    <n v="112.48533672492709"/>
    <n v="238.08800140380859"/>
    <x v="292"/>
    <n v="0"/>
    <s v="Apple Inc."/>
    <s v="Technology"/>
  </r>
  <r>
    <x v="322"/>
    <n v="248.63658142089844"/>
    <n v="251.10959602979929"/>
    <n v="246.77186176083561"/>
    <n v="248.78616738422889"/>
    <n v="33893600"/>
    <x v="0"/>
    <n v="0.63365062080480428"/>
    <n v="113.19810075939895"/>
    <n v="239.01837005615235"/>
    <x v="293"/>
    <n v="0"/>
    <s v="Apple Inc."/>
    <s v="Technology"/>
  </r>
  <r>
    <x v="323"/>
    <n v="246.75192260742188"/>
    <n v="248.33743345063007"/>
    <n v="244.43847540742669"/>
    <n v="247.54966879270205"/>
    <n v="39777000"/>
    <x v="0"/>
    <n v="-0.75799739632285146"/>
    <n v="112.3400621029558"/>
    <n v="239.7052618408203"/>
    <x v="294"/>
    <n v="0"/>
    <s v="Apple Inc."/>
    <s v="Technology"/>
  </r>
  <r>
    <x v="324"/>
    <n v="251.5782470703125"/>
    <n v="252.66518358811555"/>
    <n v="246.5724201648456"/>
    <n v="247.3203043073955"/>
    <n v="49147000"/>
    <x v="0"/>
    <n v="1.9559419889786378"/>
    <n v="114.53736854807217"/>
    <n v="240.35361572265626"/>
    <x v="295"/>
    <n v="0"/>
    <s v="Apple Inc."/>
    <s v="Technology"/>
  </r>
  <r>
    <x v="325"/>
    <n v="261.50018310546875"/>
    <n v="263.63416054313814"/>
    <n v="254.90884523128253"/>
    <n v="255.168106265739"/>
    <n v="90483000"/>
    <x v="0"/>
    <n v="3.9438767662544505"/>
    <n v="119.05458121491881"/>
    <n v="241.01474487304688"/>
    <x v="296"/>
    <n v="0"/>
    <s v="Apple Inc."/>
    <s v="Technology"/>
  </r>
  <r>
    <x v="326"/>
    <n v="262.02871704101563"/>
    <n v="264.54162761794373"/>
    <n v="261.09136633874692"/>
    <n v="261.1412435480521"/>
    <n v="46695900"/>
    <x v="0"/>
    <n v="0.20211608621845123"/>
    <n v="119.29520967493418"/>
    <n v="241.72453735351561"/>
    <x v="297"/>
    <n v="0"/>
    <s v="Apple Inc."/>
    <s v="Technology"/>
  </r>
  <r>
    <x v="327"/>
    <n v="257.72088623046875"/>
    <n v="262.10846708886021"/>
    <n v="254.7093866241016"/>
    <n v="261.90901914605371"/>
    <n v="45015300"/>
    <x v="0"/>
    <n v="-1.6440300357890014"/>
    <n v="117.3339605966208"/>
    <n v="242.2989129638672"/>
    <x v="298"/>
    <n v="0"/>
    <s v="Apple Inc."/>
    <s v="Technology"/>
  </r>
  <r>
    <x v="328"/>
    <n v="258.84768676757813"/>
    <n v="259.8847613495841"/>
    <n v="257.28213901467177"/>
    <n v="259.206686997747"/>
    <n v="32754900"/>
    <x v="0"/>
    <n v="0.43721739188096187"/>
    <n v="117.846965078932"/>
    <n v="242.82243164062501"/>
    <x v="299"/>
    <n v="0"/>
    <s v="Apple Inc."/>
    <s v="Technology"/>
  </r>
  <r>
    <x v="329"/>
    <n v="262.07855224609369"/>
    <n v="263.38485410300922"/>
    <n v="258.44880663072195"/>
    <n v="260.45314585412689"/>
    <n v="38253700"/>
    <x v="0"/>
    <n v="1.248172436409134"/>
    <n v="119.31789841419192"/>
    <n v="243.4215365600586"/>
    <x v="300"/>
    <n v="0"/>
    <s v="Apple Inc."/>
    <s v="Technology"/>
  </r>
  <r>
    <x v="330"/>
    <n v="268.05166625976563"/>
    <n v="268.36078929414754"/>
    <n v="263.90339825112483"/>
    <n v="264.13276036080543"/>
    <n v="44888200"/>
    <x v="0"/>
    <n v="2.2791311850895557"/>
    <n v="122.03730984634325"/>
    <n v="244.16383666992186"/>
    <x v="301"/>
    <n v="0"/>
    <s v="Apple Inc."/>
    <s v="Technology"/>
  </r>
  <r>
    <x v="331"/>
    <n v="268.24111938476563"/>
    <n v="269.12862319727753"/>
    <n v="267.39351124836816"/>
    <n v="268.23113785786586"/>
    <n v="41534800"/>
    <x v="0"/>
    <n v="7.0677838956756389E-2"/>
    <n v="122.12356317966359"/>
    <n v="244.92388641357422"/>
    <x v="302"/>
    <n v="0"/>
    <s v="Apple Inc."/>
    <s v="Technology"/>
  </r>
  <r>
    <x v="332"/>
    <n v="268.93914794921875"/>
    <n v="270.6443152614699"/>
    <n v="266.35642794866993"/>
    <n v="268.5203194424725"/>
    <n v="51086700"/>
    <x v="0"/>
    <n v="0.26022429598195895"/>
    <n v="122.44135836217596"/>
    <n v="245.70447784423828"/>
    <x v="303"/>
    <n v="0"/>
    <s v="Apple Inc."/>
    <s v="Technology"/>
  </r>
  <r>
    <x v="333"/>
    <n v="270.63433837890625"/>
    <n v="273.36662916750566"/>
    <n v="267.72259312931254"/>
    <n v="271.22267025857423"/>
    <n v="69886500"/>
    <x v="0"/>
    <n v="0.63032490532304308"/>
    <n v="123.2131367383486"/>
    <n v="246.60971679687501"/>
    <x v="304"/>
    <n v="0"/>
    <s v="Apple Inc."/>
    <s v="Technology"/>
  </r>
  <r>
    <x v="334"/>
    <n v="269.60726928710938"/>
    <n v="276.53767519933945"/>
    <n v="268.40069127196034"/>
    <n v="276.20858910244363"/>
    <n v="86167100"/>
    <x v="0"/>
    <n v="-0.37950435186790976"/>
    <n v="122.7455375223536"/>
    <n v="247.51655181884766"/>
    <x v="305"/>
    <n v="0"/>
    <s v="Apple Inc."/>
    <s v="Technology"/>
  </r>
  <r>
    <x v="335"/>
    <n v="268.29095458984369"/>
    <n v="270.08589475979994"/>
    <n v="265.49886601188945"/>
    <n v="269.65711516237894"/>
    <n v="50194600"/>
    <x v="0"/>
    <n v="-0.48823412690105483"/>
    <n v="122.14625191892132"/>
    <n v="248.34002197265625"/>
    <x v="306"/>
    <n v="0"/>
    <s v="Apple Inc."/>
    <s v="Technology"/>
  </r>
  <r>
    <x v="336"/>
    <n v="269.2781982421875"/>
    <n v="270.72408938596283"/>
    <n v="266.86501191822919"/>
    <n v="267.5730004152706"/>
    <n v="49274800"/>
    <x v="0"/>
    <n v="0.36797500454426313"/>
    <n v="122.59571959497062"/>
    <n v="249.19520263671876"/>
    <x v="307"/>
    <n v="0"/>
    <s v="Apple Inc."/>
    <s v="Technology"/>
  </r>
  <r>
    <x v="337"/>
    <n v="269.3779296875"/>
    <n v="270.93352637760319"/>
    <n v="266.17696342424256"/>
    <n v="267.85221671643279"/>
    <n v="43683100"/>
    <x v="0"/>
    <n v="3.7036583712879434E-2"/>
    <n v="122.64112486128683"/>
    <n v="250.00949951171876"/>
    <x v="308"/>
    <n v="0"/>
    <s v="Apple Inc."/>
    <s v="Technology"/>
  </r>
  <r>
    <x v="338"/>
    <n v="269.00894165039063"/>
    <n v="272.6287059365568"/>
    <n v="267.13427087559239"/>
    <n v="267.13427087559239"/>
    <n v="51204000"/>
    <x v="0"/>
    <n v="-0.13697782796735503"/>
    <n v="122.47313371225709"/>
    <n v="250.79288299560548"/>
    <x v="309"/>
    <n v="0"/>
    <s v="Apple Inc."/>
    <s v="Technology"/>
  </r>
  <r>
    <x v="339"/>
    <n v="267.71261596679688"/>
    <n v="271.52184660384751"/>
    <n v="266.01739969290981"/>
    <n v="269.03885049148494"/>
    <n v="48227400"/>
    <x v="0"/>
    <n v="-0.4818894404181151"/>
    <n v="121.88294861354858"/>
    <n v="251.50905700683595"/>
    <x v="310"/>
    <n v="0"/>
    <s v="Apple Inc."/>
    <s v="Technology"/>
  </r>
  <r>
    <x v="340"/>
    <n v="268.93035888671875"/>
    <n v="273.22240319845355"/>
    <n v="266.96401085682999"/>
    <n v="268.46122924118225"/>
    <n v="41312400"/>
    <x v="0"/>
    <n v="0.45486945601134199"/>
    <n v="122.43735691887758"/>
    <n v="252.25796203613282"/>
    <x v="311"/>
    <n v="0"/>
    <s v="Apple Inc."/>
    <s v="Technology"/>
  </r>
  <r>
    <x v="341"/>
    <n v="274.73956298828125"/>
    <n v="275.39834270744052"/>
    <n v="269.2996575494418"/>
    <n v="269.30964875246968"/>
    <n v="46208300"/>
    <x v="0"/>
    <n v="2.1601146577912012"/>
    <n v="125.08214421229439"/>
    <n v="253.17131469726561"/>
    <x v="312"/>
    <n v="0"/>
    <s v="Apple Inc."/>
    <s v="Technology"/>
  </r>
  <r>
    <x v="342"/>
    <n v="272.96286010742188"/>
    <n v="275.2186787593472"/>
    <n v="271.19615348009904"/>
    <n v="274.49002155435767"/>
    <n v="48398000"/>
    <x v="0"/>
    <n v="-0.64668621495010958"/>
    <n v="124.27325522830948"/>
    <n v="253.87462677001952"/>
    <x v="313"/>
    <n v="0"/>
    <s v="Apple Inc."/>
    <s v="Technology"/>
  </r>
  <r>
    <x v="343"/>
    <n v="272.44384765625"/>
    <n v="276.18689357315588"/>
    <n v="271.5854266195937"/>
    <n v="273.60166972087882"/>
    <n v="49602800"/>
    <x v="0"/>
    <n v="-0.19014031834500011"/>
    <n v="124.03696166520068"/>
    <n v="254.54143249511719"/>
    <x v="314"/>
    <n v="0"/>
    <s v="Apple Inc."/>
    <s v="Technology"/>
  </r>
  <r>
    <x v="344"/>
    <n v="271.90481567382813"/>
    <n v="275.44821996704485"/>
    <n v="269.10002929321843"/>
    <n v="270.54732197227213"/>
    <n v="47431300"/>
    <x v="0"/>
    <n v="-0.19785067163711201"/>
    <n v="123.79155370346781"/>
    <n v="255.1992529296875"/>
    <x v="315"/>
    <n v="0"/>
    <s v="Apple Inc."/>
    <s v="Technology"/>
  </r>
  <r>
    <x v="345"/>
    <n v="266.9639892578125"/>
    <n v="269.98836893107386"/>
    <n v="265.23721702259701"/>
    <n v="268.32148298950841"/>
    <n v="45018300"/>
    <x v="0"/>
    <n v="-1.8171161859606544"/>
    <n v="121.54211734426991"/>
    <n v="255.79435455322266"/>
    <x v="316"/>
    <n v="0"/>
    <s v="Apple Inc."/>
    <s v="Technology"/>
  </r>
  <r>
    <x v="346"/>
    <n v="266.94406127929688"/>
    <n v="270.20798642018713"/>
    <n v="264.82799748439658"/>
    <n v="269.48932037088264"/>
    <n v="45677300"/>
    <x v="0"/>
    <n v="-7.4646691379687269E-3"/>
    <n v="121.53304462734688"/>
    <n v="256.45945831298826"/>
    <x v="317"/>
    <n v="0"/>
    <s v="Apple Inc."/>
    <s v="Technology"/>
  </r>
  <r>
    <x v="347"/>
    <n v="268.06195068359369"/>
    <n v="271.70517563432878"/>
    <n v="265.00762791735707"/>
    <n v="265.03757106365418"/>
    <n v="40424500"/>
    <x v="0"/>
    <n v="0.41877290655558674"/>
    <n v="122.04199209075833"/>
    <n v="257.29769317626955"/>
    <x v="318"/>
    <n v="0"/>
    <s v="Apple Inc."/>
    <s v="Technology"/>
  </r>
  <r>
    <x v="348"/>
    <n v="265.75625610351563"/>
    <n v="274.91922505965954"/>
    <n v="265.42688147061523"/>
    <n v="270.32774937844403"/>
    <n v="45823600"/>
    <x v="0"/>
    <n v="-0.86013497036719899"/>
    <n v="120.99226623825292"/>
    <n v="258.02519714355469"/>
    <x v="319"/>
    <n v="0"/>
    <s v="Apple Inc."/>
    <s v="Technology"/>
  </r>
  <r>
    <x v="349"/>
    <n v="270.98651123046875"/>
    <n v="272.82309528961349"/>
    <n v="265.17732758833057"/>
    <n v="265.45680710904861"/>
    <n v="46108400"/>
    <x v="0"/>
    <n v="1.9680647235321702"/>
    <n v="123.37347234829012"/>
    <n v="258.77673400878905"/>
    <x v="320"/>
    <n v="0"/>
    <s v="Apple Inc."/>
    <s v="Technology"/>
  </r>
  <r>
    <x v="350"/>
    <n v="275.4083251953125"/>
    <n v="276.48630895374328"/>
    <n v="270.39761519144599"/>
    <n v="270.39761519144599"/>
    <n v="65585800"/>
    <x v="0"/>
    <n v="1.6317468883471742"/>
    <n v="125.38661514437921"/>
    <n v="259.56425567626951"/>
    <x v="321"/>
    <n v="0"/>
    <s v="Apple Inc."/>
    <s v="Technology"/>
  </r>
  <r>
    <x v="351"/>
    <n v="276.45639038085938"/>
    <n v="279.86007056086942"/>
    <n v="274.73957871594786"/>
    <n v="274.75953066216096"/>
    <n v="46914200"/>
    <x v="0"/>
    <n v="0.3805495657415614"/>
    <n v="125.86377336380919"/>
    <n v="260.34382049560548"/>
    <x v="322"/>
    <n v="0"/>
    <s v="Apple Inc."/>
    <s v="Technology"/>
  </r>
  <r>
    <x v="352"/>
    <n v="277.0352783203125"/>
    <n v="279.01161742605893"/>
    <n v="276.11700149532783"/>
    <n v="276.44637611579361"/>
    <n v="33431400"/>
    <x v="0"/>
    <n v="0.20939575267391319"/>
    <n v="126.12732675938811"/>
    <n v="261.11821014404296"/>
    <x v="323"/>
    <n v="0"/>
    <s v="Apple Inc."/>
    <s v="Technology"/>
  </r>
  <r>
    <x v="353"/>
    <n v="278.3328857421875"/>
    <n v="278.48260147874271"/>
    <n v="275.47817370093742"/>
    <n v="276.74583801273423"/>
    <n v="20135600"/>
    <x v="0"/>
    <n v="0.46839067924580036"/>
    <n v="126.71809540191099"/>
    <n v="261.94068969726561"/>
    <x v="324"/>
    <n v="0"/>
    <s v="Apple Inc."/>
    <s v="Technology"/>
  </r>
  <r>
    <x v="354"/>
    <n v="282.57501220703125"/>
    <n v="282.89442609469603"/>
    <n v="275.62792768573883"/>
    <n v="277.49445499649107"/>
    <n v="46587700"/>
    <x v="0"/>
    <n v="1.5241197437133369"/>
    <n v="128.64943091278903"/>
    <n v="262.6960418701172"/>
    <x v="325"/>
    <n v="0"/>
    <s v="Apple Inc."/>
    <s v="Technology"/>
  </r>
  <r>
    <x v="355"/>
    <n v="285.65927124023438"/>
    <n v="286.86701880065203"/>
    <n v="282.10587559562896"/>
    <n v="282.47518456741903"/>
    <n v="53669500"/>
    <x v="0"/>
    <n v="1.0914832876105063"/>
    <n v="130.05361795080813"/>
    <n v="263.30207611083983"/>
    <x v="326"/>
    <n v="0"/>
    <s v="Apple Inc."/>
    <s v="Technology"/>
  </r>
  <r>
    <x v="356"/>
    <n v="283.623046875"/>
    <n v="288.0847586222564"/>
    <n v="282.77461708045536"/>
    <n v="285.66926349254692"/>
    <n v="43538700"/>
    <x v="0"/>
    <n v="-0.71281578098053577"/>
    <n v="129.12657523831865"/>
    <n v="263.90029266357419"/>
    <x v="327"/>
    <n v="0"/>
    <s v="Apple Inc."/>
    <s v="Technology"/>
  </r>
  <r>
    <x v="357"/>
    <n v="280.179443359375"/>
    <n v="284.20196835267484"/>
    <n v="278.07334059490762"/>
    <n v="283.57313183787659"/>
    <n v="43989100"/>
    <x v="0"/>
    <n v="-1.2141479874668626"/>
    <n v="127.55878752377771"/>
    <n v="264.47191741943357"/>
    <x v="328"/>
    <n v="0"/>
    <s v="Apple Inc."/>
    <s v="Technology"/>
  </r>
  <r>
    <x v="358"/>
    <n v="278.26300048828125"/>
    <n v="280.6186397013617"/>
    <n v="277.53434330937841"/>
    <n v="280.01974631085085"/>
    <n v="47265800"/>
    <x v="0"/>
    <n v="-0.68400552450080809"/>
    <n v="126.68627837012882"/>
    <n v="264.91427032470705"/>
    <x v="329"/>
    <n v="0"/>
    <s v="Apple Inc."/>
    <s v="Technology"/>
  </r>
  <r>
    <x v="359"/>
    <n v="277.37466430664063"/>
    <n v="279.15136205700173"/>
    <n v="275.63787044389539"/>
    <n v="277.61420947626772"/>
    <n v="38211800"/>
    <x v="0"/>
    <n v="-0.31924337050984741"/>
    <n v="126.28184082508653"/>
    <n v="265.3669772338867"/>
    <x v="330"/>
    <n v="0"/>
    <s v="Apple Inc."/>
    <s v="Technology"/>
  </r>
  <r>
    <x v="360"/>
    <n v="276.66595458984369"/>
    <n v="279.51067527694738"/>
    <n v="276.40645748061854"/>
    <n v="277.64414811825674"/>
    <n v="32193300"/>
    <x v="0"/>
    <n v="-0.25550629094712729"/>
    <n v="125.95918277745461"/>
    <n v="265.82605194091798"/>
    <x v="331"/>
    <n v="0"/>
    <s v="Apple Inc."/>
    <s v="Technology"/>
  </r>
  <r>
    <x v="361"/>
    <n v="278.26300048828125"/>
    <n v="279.23120283899522"/>
    <n v="275.92734368017386"/>
    <n v="277.23491184461454"/>
    <n v="33038300"/>
    <x v="0"/>
    <n v="0.57724699116130651"/>
    <n v="126.68627837012882"/>
    <n v="266.31307861328128"/>
    <x v="332"/>
    <n v="0"/>
    <s v="Apple Inc."/>
    <s v="Technology"/>
  </r>
  <r>
    <x v="362"/>
    <n v="277.514404296875"/>
    <n v="279.07150890817053"/>
    <n v="273.30222888401551"/>
    <n v="278.58242733927187"/>
    <n v="33248000"/>
    <x v="0"/>
    <n v="-0.26902469609422219"/>
    <n v="126.34546099475052"/>
    <n v="266.76877960205076"/>
    <x v="333"/>
    <n v="0"/>
    <s v="Apple Inc."/>
    <s v="Technology"/>
  </r>
  <r>
    <x v="363"/>
    <n v="277.76394653320313"/>
    <n v="278.70220580092337"/>
    <n v="276.30666253778065"/>
    <n v="277.38464634485007"/>
    <n v="39532900"/>
    <x v="0"/>
    <n v="8.9920462673065416E-2"/>
    <n v="126.4590714178434"/>
    <n v="267.19596649169921"/>
    <x v="334"/>
    <n v="0"/>
    <s v="Apple Inc."/>
    <s v="Technology"/>
  </r>
  <r>
    <x v="364"/>
    <n v="273.60165405273438"/>
    <n v="279.63046152672609"/>
    <n v="272.33402020742307"/>
    <n v="279.63046152672609"/>
    <n v="50409100"/>
    <x v="0"/>
    <n v="-1.498499906996098"/>
    <n v="124.56408235025889"/>
    <n v="267.52215789794923"/>
    <x v="335"/>
    <n v="0"/>
    <s v="Apple Inc."/>
    <s v="Technology"/>
  </r>
  <r>
    <x v="365"/>
    <n v="274.10073852539063"/>
    <n v="274.98910269802923"/>
    <n v="271.28599118714249"/>
    <n v="272.31407989893529"/>
    <n v="37648600"/>
    <x v="0"/>
    <n v="0.18241281266524467"/>
    <n v="124.79130319644464"/>
    <n v="267.88485565185545"/>
    <x v="336"/>
    <n v="0"/>
    <s v="Apple Inc."/>
    <s v="Technology"/>
  </r>
  <r>
    <x v="366"/>
    <n v="271.33587646484369"/>
    <n v="275.64787245308111"/>
    <n v="271.13626563598973"/>
    <n v="274.50001118897205"/>
    <n v="50138700"/>
    <x v="0"/>
    <n v="-1.0087028861802239"/>
    <n v="123.5325297194002"/>
    <n v="268.19644439697265"/>
    <x v="337"/>
    <n v="0"/>
    <s v="Apple Inc."/>
    <s v="Technology"/>
  </r>
  <r>
    <x v="367"/>
    <n v="271.68524169921875"/>
    <n v="273.12257373871984"/>
    <n v="266.45496872608049"/>
    <n v="273.10259133254192"/>
    <n v="51630700"/>
    <x v="0"/>
    <n v="0.12875747907974411"/>
    <n v="123.69158709051034"/>
    <n v="268.51502044677733"/>
    <x v="338"/>
    <n v="0"/>
    <s v="Apple Inc."/>
    <s v="Technology"/>
  </r>
  <r>
    <x v="368"/>
    <n v="273.16250610351563"/>
    <n v="274.09077415448866"/>
    <n v="269.39947788454202"/>
    <n v="271.64530537230661"/>
    <n v="144632000"/>
    <x v="0"/>
    <n v="0.54374113038218042"/>
    <n v="124.36414912434392"/>
    <n v="268.91180419921875"/>
    <x v="339"/>
    <n v="1"/>
    <s v="Apple Inc."/>
    <s v="Technology"/>
  </r>
  <r>
    <x v="369"/>
    <n v="270.46749877929688"/>
    <n v="273.37210596231955"/>
    <n v="270.00836035897595"/>
    <n v="272.35397801427962"/>
    <n v="36571800"/>
    <x v="0"/>
    <n v="-0.98659488912342663"/>
    <n v="123.13717878518131"/>
    <n v="269.42959289550782"/>
    <x v="340"/>
    <n v="0"/>
    <s v="Apple Inc."/>
    <s v="Technology"/>
  </r>
  <r>
    <x v="370"/>
    <n v="271.85491943359369"/>
    <n v="271.99467443806464"/>
    <n v="269.06012395403746"/>
    <n v="270.33774909626118"/>
    <n v="29642000"/>
    <x v="0"/>
    <n v="0.51297130359790888"/>
    <n v="123.76883717640933"/>
    <n v="269.92746490478515"/>
    <x v="341"/>
    <n v="0"/>
    <s v="Apple Inc."/>
    <s v="Technology"/>
  </r>
  <r>
    <x v="371"/>
    <n v="273.30221557617188"/>
    <n v="274.91920640447489"/>
    <n v="271.69521595033444"/>
    <n v="271.83494047993707"/>
    <n v="17910600"/>
    <x v="0"/>
    <n v="0.53237813227495767"/>
    <n v="124.42775540010756"/>
    <n v="270.45208892822268"/>
    <x v="342"/>
    <n v="0"/>
    <s v="Apple Inc."/>
    <s v="Technology"/>
  </r>
  <r>
    <x v="372"/>
    <n v="272.89297485351563"/>
    <n v="274.859322715931"/>
    <n v="272.35396775197984"/>
    <n v="273.65157518449314"/>
    <n v="21521800"/>
    <x v="0"/>
    <n v="-0.14973926274014504"/>
    <n v="124.24143819652733"/>
    <n v="270.93721679687502"/>
    <x v="343"/>
    <n v="0"/>
    <s v="Apple Inc."/>
    <s v="Technology"/>
  </r>
  <r>
    <x v="373"/>
    <n v="273.25234985351563"/>
    <n v="273.8512128461511"/>
    <n v="271.84496089884942"/>
    <n v="272.18432674833832"/>
    <n v="23715200"/>
    <x v="0"/>
    <n v="0.13169082135329191"/>
    <n v="124.40505276694947"/>
    <n v="271.46722534179685"/>
    <x v="344"/>
    <n v="0"/>
    <s v="Apple Inc."/>
    <s v="Technology"/>
  </r>
  <r>
    <x v="374"/>
    <n v="272.57357788085938"/>
    <n v="273.57172344730031"/>
    <n v="271.77507361210075"/>
    <n v="272.30408954387502"/>
    <n v="22139600"/>
    <x v="0"/>
    <n v="-0.24840480713893553"/>
    <n v="124.09602463555262"/>
    <n v="271.88713195800779"/>
    <x v="345"/>
    <n v="0"/>
    <s v="Apple Inc."/>
    <s v="Technology"/>
  </r>
  <r>
    <x v="375"/>
    <n v="271.3558349609375"/>
    <n v="273.17246717497864"/>
    <n v="271.24605357156486"/>
    <n v="272.55362180691702"/>
    <n v="27293600"/>
    <x v="0"/>
    <n v="-0.44675750650128299"/>
    <n v="123.5416163302236"/>
    <n v="272.08424499511716"/>
    <x v="346"/>
    <n v="0"/>
    <s v="Apple Inc."/>
    <s v="Technology"/>
  </r>
  <r>
    <x v="376"/>
    <n v="270.50741577148438"/>
    <n v="277.32473598417806"/>
    <n v="268.5011336129586"/>
    <n v="271.75509761912826"/>
    <n v="37838100"/>
    <x v="0"/>
    <n v="-0.31265927617707412"/>
    <n v="123.15535200682805"/>
    <n v="272.25381896972658"/>
    <x v="347"/>
    <n v="0"/>
    <s v="Apple Inc."/>
    <s v="Technology"/>
  </r>
  <r>
    <x v="377"/>
    <n v="266.76437377929688"/>
    <n v="271.00649211775033"/>
    <n v="265.64645570268527"/>
    <n v="270.1381104139889"/>
    <n v="45647200"/>
    <x v="0"/>
    <n v="-1.3837114156417418"/>
    <n v="121.45123734213581"/>
    <n v="272.43468872070315"/>
    <x v="348"/>
    <n v="0"/>
    <s v="Apple Inc."/>
    <s v="Technology"/>
  </r>
  <r>
    <x v="378"/>
    <n v="261.87344360351563"/>
    <n v="267.05382128123381"/>
    <n v="261.63389842659859"/>
    <n v="266.50485343047097"/>
    <n v="52352100"/>
    <x v="0"/>
    <n v="-1.8334270451824564"/>
    <n v="119.22451750999636"/>
    <n v="272.49520385742187"/>
    <x v="349"/>
    <n v="0"/>
    <s v="Apple Inc."/>
    <s v="Technology"/>
  </r>
  <r>
    <x v="379"/>
    <n v="259.84719848632813"/>
    <n v="263.1909919246956"/>
    <n v="259.32817380451803"/>
    <n v="262.71190159101934"/>
    <n v="48309800"/>
    <x v="0"/>
    <n v="-0.77374975075948926"/>
    <n v="118.30201810291857"/>
    <n v="272.45057678222656"/>
    <x v="350"/>
    <n v="0"/>
    <s v="Apple Inc."/>
    <s v="Technology"/>
  </r>
  <r>
    <x v="380"/>
    <n v="258.55963134765625"/>
    <n v="258.80916773471864"/>
    <n v="255.22581364132839"/>
    <n v="256.54335784516178"/>
    <n v="50419300"/>
    <x v="0"/>
    <n v="-0.49550934017078552"/>
    <n v="117.71582055360805"/>
    <n v="272.2607360839844"/>
    <x v="351"/>
    <n v="0"/>
    <s v="Apple Inc."/>
    <s v="Technology"/>
  </r>
  <r>
    <x v="381"/>
    <n v="258.88900756835938"/>
    <n v="259.72744617872871"/>
    <n v="255.74485516422808"/>
    <n v="258.59953682851051"/>
    <n v="39997000"/>
    <x v="0"/>
    <n v="0.12738888084979916"/>
    <n v="117.86577741999444"/>
    <n v="272.07369384765627"/>
    <x v="352"/>
    <n v="0"/>
    <s v="Apple Inc."/>
    <s v="Technology"/>
  </r>
  <r>
    <x v="382"/>
    <n v="259.76739501953125"/>
    <n v="260.8154357257053"/>
    <n v="256.32378048041085"/>
    <n v="258.67941995987832"/>
    <n v="45263800"/>
    <x v="0"/>
    <n v="0.33929113461488303"/>
    <n v="118.26568555352539"/>
    <n v="271.8902587890625"/>
    <x v="353"/>
    <n v="0"/>
    <s v="Apple Inc."/>
    <s v="Technology"/>
  </r>
  <r>
    <x v="383"/>
    <n v="260.56588745117188"/>
    <n v="261.32448782777368"/>
    <n v="257.91084705503619"/>
    <n v="258.24022168851656"/>
    <n v="45730800"/>
    <x v="0"/>
    <n v="0.30738747315866011"/>
    <n v="118.62921945596214"/>
    <n v="271.68888977050779"/>
    <x v="354"/>
    <n v="0"/>
    <s v="Apple Inc."/>
    <s v="Technology"/>
  </r>
  <r>
    <x v="384"/>
    <n v="259.4779052734375"/>
    <n v="261.33447181199801"/>
    <n v="256.23393227813762"/>
    <n v="259.00877565260089"/>
    <n v="40019400"/>
    <x v="0"/>
    <n v="-0.41754589918768792"/>
    <n v="118.13388801488543"/>
    <n v="271.48630249023438"/>
    <x v="355"/>
    <n v="0"/>
    <s v="Apple Inc."/>
    <s v="Technology"/>
  </r>
  <r>
    <x v="385"/>
    <n v="257.73114013671875"/>
    <n v="260.55590895012358"/>
    <n v="256.5732877053955"/>
    <n v="260.16661758519467"/>
    <n v="39388600"/>
    <x v="0"/>
    <n v="-0.67318453757286845"/>
    <n v="117.33862894713556"/>
    <n v="271.27510620117187"/>
    <x v="356"/>
    <n v="0"/>
    <s v="Apple Inc."/>
    <s v="Technology"/>
  </r>
  <r>
    <x v="386"/>
    <n v="255.05613708496091"/>
    <n v="258.41988279267105"/>
    <n v="254.45724364888235"/>
    <n v="257.4217372195352"/>
    <n v="72142800"/>
    <x v="0"/>
    <n v="-1.0379044807464211"/>
    <n v="116.12076605964683"/>
    <n v="270.99066497802733"/>
    <x v="357"/>
    <n v="0"/>
    <s v="Apple Inc."/>
    <s v="Technology"/>
  </r>
  <r>
    <x v="387"/>
    <n v="246.24250793457031"/>
    <n v="254.31750190322293"/>
    <n v="242.9685916985444"/>
    <n v="252.26132447540704"/>
    <n v="80267500"/>
    <x v="0"/>
    <n v="-3.4555644302943112"/>
    <n v="112.10813817150441"/>
    <n v="270.52795654296875"/>
    <x v="358"/>
    <n v="0"/>
    <s v="Apple Inc."/>
    <s v="Technology"/>
  </r>
  <r>
    <x v="388"/>
    <n v="247.19075012207031"/>
    <n v="251.09350304772093"/>
    <n v="244.7253292878456"/>
    <n v="248.23880604127609"/>
    <n v="54641700"/>
    <x v="0"/>
    <n v="0.38508468560267684"/>
    <n v="112.53984944291717"/>
    <n v="270.09159271240236"/>
    <x v="359"/>
    <n v="0"/>
    <s v="Apple Inc."/>
    <s v="Technology"/>
  </r>
  <r>
    <x v="389"/>
    <n v="247.88945007324219"/>
    <n v="250.53452965267721"/>
    <n v="247.68980878155543"/>
    <n v="248.73786464094201"/>
    <n v="39708300"/>
    <x v="0"/>
    <n v="0.28265618791432079"/>
    <n v="112.85795029123705"/>
    <n v="269.69512939453125"/>
    <x v="360"/>
    <n v="0"/>
    <s v="Apple Inc."/>
    <s v="Technology"/>
  </r>
  <r>
    <x v="390"/>
    <n v="247.58001708984369"/>
    <n v="248.94748685874609"/>
    <n v="244.22624741136653"/>
    <n v="246.86136630134169"/>
    <n v="41689000"/>
    <x v="0"/>
    <n v="-0.12482700788882806"/>
    <n v="112.71707308872382"/>
    <n v="269.26812255859375"/>
    <x v="361"/>
    <n v="0"/>
    <s v="Apple Inc."/>
    <s v="Technology"/>
  </r>
  <r>
    <x v="391"/>
    <n v="254.93635559082031"/>
    <n v="256.08421686766081"/>
    <n v="249.336758511775"/>
    <n v="251.01363570547159"/>
    <n v="55969200"/>
    <x v="0"/>
    <n v="2.9712973556775824"/>
    <n v="116.06623250080624"/>
    <n v="268.87205841064451"/>
    <x v="362"/>
    <n v="0"/>
    <s v="Apple Inc."/>
    <s v="Technology"/>
  </r>
  <r>
    <x v="392"/>
    <n v="257.791015625"/>
    <n v="261.46421404872183"/>
    <n v="257.73112933459527"/>
    <n v="258.68937090303496"/>
    <n v="49648300"/>
    <x v="0"/>
    <n v="1.1197539980376536"/>
    <n v="117.3658887796057"/>
    <n v="268.56862152099609"/>
    <x v="363"/>
    <n v="0"/>
    <s v="Apple Inc."/>
    <s v="Technology"/>
  </r>
  <r>
    <x v="393"/>
    <n v="255.96446228027344"/>
    <n v="258.37995759468771"/>
    <n v="254.03803333601451"/>
    <n v="257.17220993748055"/>
    <n v="41288000"/>
    <x v="0"/>
    <n v="-0.70854034237701757"/>
    <n v="116.53430410941283"/>
    <n v="268.23903381347657"/>
    <x v="364"/>
    <n v="0"/>
    <s v="Apple Inc."/>
    <s v="Technology"/>
  </r>
  <r>
    <x v="394"/>
    <n v="257.801025390625"/>
    <n v="259.16847988830324"/>
    <n v="253.93820707645816"/>
    <n v="257.52154586161765"/>
    <n v="67253000"/>
    <x v="0"/>
    <n v="0.71750706875104431"/>
    <n v="117.37044597891773"/>
    <n v="267.95695800781249"/>
    <x v="365"/>
    <n v="0"/>
    <s v="Apple Inc."/>
    <s v="Technology"/>
  </r>
  <r>
    <x v="395"/>
    <n v="258.99880981445313"/>
    <n v="261.41430490835"/>
    <n v="251.71232926102439"/>
    <n v="254.69678984095319"/>
    <n v="92443400"/>
    <x v="0"/>
    <n v="0.46461584937966816"/>
    <n v="117.91576767342336"/>
    <n v="267.79765441894529"/>
    <x v="366"/>
    <n v="0"/>
    <s v="Apple Inc."/>
    <s v="Technology"/>
  </r>
  <r>
    <x v="396"/>
    <n v="269.50930786132813"/>
    <n v="269.98839826257682"/>
    <n v="258.72931691843041"/>
    <n v="259.54780363521269"/>
    <n v="73913400"/>
    <x v="0"/>
    <n v="4.0581260023568211"/>
    <n v="122.70093810225721"/>
    <n v="267.84895935058591"/>
    <x v="367"/>
    <n v="0"/>
    <s v="Apple Inc."/>
    <s v="Technology"/>
  </r>
  <r>
    <x v="397"/>
    <n v="268.98028564453125"/>
    <n v="271.37582897800041"/>
    <n v="267.11372779647115"/>
    <n v="268.70080609664296"/>
    <n v="64394700"/>
    <x v="0"/>
    <n v="-0.19629088916998105"/>
    <n v="122.46008733983638"/>
    <n v="267.86732604980466"/>
    <x v="368"/>
    <n v="0"/>
    <s v="Apple Inc."/>
    <s v="Technology"/>
  </r>
  <r>
    <x v="398"/>
    <n v="275.97723388671875"/>
    <n v="278.43269369826101"/>
    <n v="271.7850411492978"/>
    <n v="271.7850411492978"/>
    <n v="46108400"/>
    <x v="0"/>
    <n v="2.601286642781786"/>
    <n v="125.64562523454646"/>
    <n v="268.07174560546878"/>
    <x v="369"/>
    <n v="0"/>
    <s v="Apple Inc."/>
    <s v="Technology"/>
  </r>
  <r>
    <x v="399"/>
    <n v="275.39834594726563"/>
    <n v="278.98168486317746"/>
    <n v="272.72332314901723"/>
    <n v="277.61423031560219"/>
    <n v="52977400"/>
    <x v="0"/>
    <n v="-0.20975930923734509"/>
    <n v="125.38207183896752"/>
    <n v="268.15998229980471"/>
    <x v="370"/>
    <n v="0"/>
    <s v="Apple Inc."/>
    <s v="Technology"/>
  </r>
  <r>
    <x v="400"/>
    <n v="277.60421752929688"/>
    <n v="280.38905196267427"/>
    <n v="276.41642196477682"/>
    <n v="276.6060720438839"/>
    <n v="50453400"/>
    <x v="0"/>
    <n v="0.80097488401533745"/>
    <n v="126.38635074345569"/>
    <n v="268.20390014648439"/>
    <x v="371"/>
    <n v="0"/>
    <s v="Apple Inc."/>
    <s v="Technology"/>
  </r>
  <r>
    <x v="401"/>
    <n v="274.36721801757813"/>
    <n v="277.9439398399519"/>
    <n v="271.4499228389202"/>
    <n v="277.65419823669538"/>
    <n v="44623400"/>
    <x v="0"/>
    <n v="-1.166048390953256"/>
    <n v="124.91262473422711"/>
    <n v="268.16211669921876"/>
    <x v="372"/>
    <n v="0"/>
    <s v="Apple Inc."/>
    <s v="Technology"/>
  </r>
  <r>
    <x v="402"/>
    <n v="273.42807006835938"/>
    <n v="275.11651686144285"/>
    <n v="272.68876099546605"/>
    <n v="274.63697821501978"/>
    <n v="34376900"/>
    <x v="0"/>
    <n v="-0.34229597690441649"/>
    <n v="124.48505384511613"/>
    <n v="268.08997253417971"/>
    <x v="373"/>
    <n v="0"/>
    <s v="Apple Inc."/>
    <s v="Technology"/>
  </r>
  <r>
    <x v="403"/>
    <n v="275.24639892578125"/>
    <n v="279.92208361183503"/>
    <n v="274.19737765924521"/>
    <n v="274.44714753122867"/>
    <n v="51931300"/>
    <x v="0"/>
    <n v="0.66501177328548433"/>
    <n v="125.31289410916693"/>
    <n v="268.02824279785159"/>
    <x v="374"/>
    <n v="0"/>
    <s v="Apple Inc."/>
    <s v="Technology"/>
  </r>
  <r>
    <x v="404"/>
    <n v="261.48910522460938"/>
    <n v="275.46621856633783"/>
    <n v="259.94051360693726"/>
    <n v="275.33633334471818"/>
    <n v="81077200"/>
    <x v="0"/>
    <n v="-4.9981739106717438"/>
    <n v="119.04953772909484"/>
    <n v="267.60652465820311"/>
    <x v="375"/>
    <n v="0"/>
    <s v="Apple Inc."/>
    <s v="Technology"/>
  </r>
  <r>
    <x v="405"/>
    <n v="255.5445556640625"/>
    <n v="261.98863069471338"/>
    <n v="255.21485759663088"/>
    <n v="261.7688319830923"/>
    <n v="56290700"/>
    <x v="0"/>
    <n v="-2.2733450234726726"/>
    <n v="116.34313098766323"/>
    <n v="267.00423034667966"/>
    <x v="376"/>
    <n v="0"/>
    <s v="Apple Inc."/>
    <s v="Technology"/>
  </r>
  <r>
    <x v="406"/>
    <n v="263.63711547851563"/>
    <n v="266.04490084312988"/>
    <n v="255.30478047881587"/>
    <n v="257.81246465118431"/>
    <n v="58469100"/>
    <x v="0"/>
    <n v="3.1667901487565153"/>
    <n v="120.02747379853544"/>
    <n v="266.60451171875002"/>
    <x v="377"/>
    <n v="0"/>
    <s v="Apple Inc."/>
    <s v="Technology"/>
  </r>
  <r>
    <x v="407"/>
    <n v="264.106689453125"/>
    <n v="266.57441720150126"/>
    <n v="262.20844437502524"/>
    <n v="263.35737977838915"/>
    <n v="34203300"/>
    <x v="0"/>
    <n v="0.17811375828364895"/>
    <n v="120.24125924309092"/>
    <n v="266.28305664062498"/>
    <x v="378"/>
    <n v="0"/>
    <s v="Apple Inc."/>
    <s v="Technology"/>
  </r>
  <r>
    <x v="408"/>
    <n v="260.34011840820313"/>
    <n v="264.23655278563888"/>
    <n v="259.81060750150084"/>
    <n v="262.35827847824623"/>
    <n v="30845300"/>
    <x v="0"/>
    <n v="-1.4261551090285374"/>
    <n v="118.52643238123532"/>
    <n v="265.92459899902343"/>
    <x v="379"/>
    <n v="0"/>
    <s v="Apple Inc."/>
    <s v="Technology"/>
  </r>
  <r>
    <x v="409"/>
    <n v="264.33645629882813"/>
    <n v="264.5063132392292"/>
    <n v="257.9223826043077"/>
    <n v="258.73163460792017"/>
    <n v="42070500"/>
    <x v="0"/>
    <n v="1.5350449692731916"/>
    <n v="120.34586641876248"/>
    <n v="265.66383483886716"/>
    <x v="380"/>
    <n v="0"/>
    <s v="Apple Inc."/>
    <s v="Technology"/>
  </r>
  <r>
    <x v="410"/>
    <n v="265.93496704101563"/>
    <n v="269.1819753311392"/>
    <n v="263.13755670993424"/>
    <n v="263.24744081710827"/>
    <n v="37308200"/>
    <x v="0"/>
    <n v="0.60472579702757212"/>
    <n v="121.07362891865307"/>
    <n v="265.44921508789065"/>
    <x v="381"/>
    <n v="0"/>
    <s v="Apple Inc."/>
    <s v="Technology"/>
  </r>
  <r>
    <x v="411"/>
    <n v="271.8895263671875"/>
    <n v="274.63699515995461"/>
    <n v="267.46358073991865"/>
    <n v="267.61343657617186"/>
    <n v="47014600"/>
    <x v="0"/>
    <n v="2.2391035644641288"/>
    <n v="123.7845928593967"/>
    <n v="265.32174560546878"/>
    <x v="382"/>
    <n v="0"/>
    <s v="Apple Inc."/>
    <s v="Technology"/>
  </r>
  <r>
    <x v="412"/>
    <n v="273.97760009765625"/>
    <n v="274.68693805177918"/>
    <n v="270.80050390881161"/>
    <n v="271.5298429675081"/>
    <n v="33714300"/>
    <x v="0"/>
    <n v="0.76798608551356118"/>
    <n v="124.73524130856649"/>
    <n v="265.25100952148438"/>
    <x v="383"/>
    <n v="0"/>
    <s v="Apple Inc."/>
    <s v="Technology"/>
  </r>
  <r>
    <x v="413"/>
    <n v="272.69876098632813"/>
    <n v="275.85582536707682"/>
    <n v="270.55071567552415"/>
    <n v="274.6969199809464"/>
    <n v="32345100"/>
    <x v="0"/>
    <n v="-0.46676776162442035"/>
    <n v="124.15301741475369"/>
    <n v="265.14970581054689"/>
    <x v="384"/>
    <n v="0"/>
    <s v="Apple Inc."/>
    <s v="Technology"/>
  </r>
  <r>
    <x v="414"/>
    <n v="263.93682861328125"/>
    <n v="272.55889002155033"/>
    <n v="262.6480379442022"/>
    <n v="272.55889002155033"/>
    <n v="72366500"/>
    <x v="0"/>
    <n v="-3.2130444382496348"/>
    <n v="120.16392579378983"/>
    <n v="264.95640930175779"/>
    <x v="385"/>
    <n v="0"/>
    <s v="Apple Inc."/>
    <s v="Technology"/>
  </r>
  <r>
    <x v="415"/>
    <n v="264.476318359375"/>
    <n v="266.28464975983172"/>
    <n v="259.96049013389802"/>
    <n v="262.16844722421786"/>
    <n v="41827900"/>
    <x v="0"/>
    <n v="0.20440108677830526"/>
    <n v="120.40954216402781"/>
    <n v="264.7639208984375"/>
    <x v="386"/>
    <n v="0"/>
    <s v="Apple Inc."/>
    <s v="Technology"/>
  </r>
  <r>
    <x v="416"/>
    <n v="263.50723266601563"/>
    <n v="265.31556422164522"/>
    <n v="259.89056955475661"/>
    <n v="263.23749216234586"/>
    <n v="38568900"/>
    <x v="0"/>
    <n v="-0.36641681167179918"/>
    <n v="119.96834135868177"/>
    <n v="264.60734802246094"/>
    <x v="387"/>
    <n v="0"/>
    <s v="Apple Inc."/>
    <s v="Technology"/>
  </r>
  <r>
    <x v="417"/>
    <n v="262.27835083007813"/>
    <n v="265.90501445194661"/>
    <n v="261.17938772362299"/>
    <n v="264.40639513642992"/>
    <n v="39803100"/>
    <x v="0"/>
    <n v="-0.46635601744375865"/>
    <n v="119.4088617797281"/>
    <n v="264.41921020507812"/>
    <x v="388"/>
    <n v="0"/>
    <s v="Apple Inc."/>
    <s v="Technology"/>
  </r>
  <r>
    <x v="418"/>
    <n v="260.0504150390625"/>
    <n v="261.31923504466567"/>
    <n v="257.01320478174762"/>
    <n v="260.54995479568402"/>
    <n v="49658600"/>
    <x v="0"/>
    <n v="-0.84945470488299035"/>
    <n v="118.39453758529297"/>
    <n v="264.15696838378904"/>
    <x v="389"/>
    <n v="0"/>
    <s v="Apple Inc."/>
    <s v="Technology"/>
  </r>
  <r>
    <x v="419"/>
    <n v="257.22299194335938"/>
    <n v="258.53178361058343"/>
    <n v="254.13584003818684"/>
    <n v="258.39192833924307"/>
    <n v="41120000"/>
    <x v="0"/>
    <n v="-1.0872595974432131"/>
    <n v="117.10728161254835"/>
    <n v="263.89207824707029"/>
    <x v="390"/>
    <n v="0"/>
    <s v="Apple Inc."/>
    <s v="Technology"/>
  </r>
  <r>
    <x v="420"/>
    <n v="259.64077758789063"/>
    <n v="260.90959753880043"/>
    <n v="253.44647267699952"/>
    <n v="255.45463216869047"/>
    <n v="38218500"/>
    <x v="0"/>
    <n v="0.93995704904312749"/>
    <n v="118.20803976100829"/>
    <n v="263.64779541015628"/>
    <x v="391"/>
    <n v="0"/>
    <s v="Apple Inc."/>
    <s v="Technology"/>
  </r>
  <r>
    <x v="421"/>
    <n v="260.58990478515625"/>
    <n v="262.23841042902171"/>
    <n v="256.71350175461305"/>
    <n v="257.41283914370348"/>
    <n v="30590800"/>
    <x v="0"/>
    <n v="0.36555398041986376"/>
    <n v="118.64015395553096"/>
    <n v="263.39354919433595"/>
    <x v="392"/>
    <n v="0"/>
    <s v="Apple Inc."/>
    <s v="Technology"/>
  </r>
  <r>
    <x v="422"/>
    <n v="260.56991577148438"/>
    <n v="261.88870799766102"/>
    <n v="259.31106587472613"/>
    <n v="260.84965680526551"/>
    <n v="26218900"/>
    <x v="0"/>
    <n v="-7.6706784510105486E-3"/>
    <n v="118.63105345080723"/>
    <n v="263.14708801269529"/>
    <x v="393"/>
    <n v="0"/>
    <s v="Apple Inc."/>
    <s v="Technology"/>
  </r>
  <r>
    <x v="423"/>
    <n v="255.52456665039065"/>
    <n v="258.71164792954545"/>
    <n v="253.94601921584928"/>
    <n v="258.42190633837532"/>
    <n v="40794000"/>
    <x v="0"/>
    <n v="-1.9362746102732808"/>
    <n v="116.33403048293954"/>
    <n v="262.79253234863279"/>
    <x v="394"/>
    <n v="0"/>
    <s v="Apple Inc."/>
    <s v="Technology"/>
  </r>
  <r>
    <x v="424"/>
    <n v="249.8897705078125"/>
    <n v="256.09404593504451"/>
    <n v="249.29033192864068"/>
    <n v="255.24483747003171"/>
    <n v="36930000"/>
    <x v="0"/>
    <n v="-2.2051876328148534"/>
    <n v="113.7686468299747"/>
    <n v="262.33885620117189"/>
    <x v="395"/>
    <n v="0"/>
    <s v="Apple Inc."/>
    <s v="Technology"/>
  </r>
  <r>
    <x v="425"/>
    <n v="252.58729553222656"/>
    <n v="253.65630270815481"/>
    <n v="249.64999925812029"/>
    <n v="251.87794235419489"/>
    <n v="32074200"/>
    <x v="0"/>
    <n v="1.0794859745288043"/>
    <n v="114.99676341591547"/>
    <n v="261.96348541259766"/>
    <x v="396"/>
    <n v="0"/>
    <s v="Apple Inc."/>
    <s v="Technology"/>
  </r>
  <r>
    <x v="426"/>
    <n v="253.99598693847656"/>
    <n v="254.89516767044785"/>
    <n v="251.94787083452104"/>
    <n v="252.72716690012703"/>
    <n v="32361600"/>
    <x v="0"/>
    <n v="0.55770477421746012"/>
    <n v="115.6381058556816"/>
    <n v="261.63325683593752"/>
    <x v="397"/>
    <n v="0"/>
    <s v="Apple Inc."/>
    <s v="Technology"/>
  </r>
  <r>
    <x v="427"/>
    <n v="249.70994567871091"/>
    <n v="254.70534343896443"/>
    <n v="248.77080846062421"/>
    <n v="252.39747211288639"/>
    <n v="35757900"/>
    <x v="0"/>
    <n v="-1.6874444795081822"/>
    <n v="113.68677702221206"/>
    <n v="261.29216827392577"/>
    <x v="398"/>
    <n v="0"/>
    <s v="Apple Inc."/>
    <s v="Technology"/>
  </r>
  <r>
    <x v="428"/>
    <n v="248.73085021972656"/>
    <n v="251.5982036354298"/>
    <n v="247.0723745163624"/>
    <n v="249.17043241392184"/>
    <n v="34864100"/>
    <x v="0"/>
    <n v="-0.3920930967820202"/>
    <n v="113.24101901755401"/>
    <n v="261.02931640625002"/>
    <x v="399"/>
    <n v="0"/>
    <s v="Apple Inc."/>
    <s v="Technology"/>
  </r>
  <r>
    <x v="429"/>
    <n v="247.76173400878903"/>
    <n v="248.97061168291063"/>
    <n v="245.77356028907465"/>
    <n v="247.7517334570195"/>
    <n v="88331100"/>
    <x v="0"/>
    <n v="-0.38962445152317393"/>
    <n v="112.79980431830762"/>
    <n v="260.78760711669923"/>
    <x v="400"/>
    <n v="1"/>
    <s v="Apple Inc."/>
    <s v="Technology"/>
  </r>
  <r>
    <x v="430"/>
    <n v="251.25851440429688"/>
    <n v="254.3656523266213"/>
    <n v="250.04962147533411"/>
    <n v="253.73622734962268"/>
    <n v="40546100"/>
    <x v="0"/>
    <n v="1.4113480475494988"/>
    <n v="114.39180215419371"/>
    <n v="260.64158477783201"/>
    <x v="401"/>
    <n v="0"/>
    <s v="Apple Inc."/>
    <s v="Technology"/>
  </r>
  <r>
    <x v="431"/>
    <n v="251.40837097167969"/>
    <n v="254.5954370944537"/>
    <n v="249.32029842391177"/>
    <n v="250.1195650925759"/>
    <n v="45152300"/>
    <x v="0"/>
    <n v="5.9642383756863815E-2"/>
    <n v="114.46002815182092"/>
    <n v="260.49197204589842"/>
    <x v="402"/>
    <n v="0"/>
    <s v="Apple Inc."/>
    <s v="Technology"/>
  </r>
  <r>
    <x v="432"/>
    <n v="252.38746643066409"/>
    <n v="254.76528059453105"/>
    <n v="251.36841628450151"/>
    <n v="253.86611511385965"/>
    <n v="28476700"/>
    <x v="0"/>
    <n v="0.38944425565474727"/>
    <n v="114.905786156479"/>
    <n v="260.34437347412108"/>
    <x v="403"/>
    <n v="0"/>
    <s v="Apple Inc."/>
    <s v="Technology"/>
  </r>
  <r>
    <x v="433"/>
    <n v="252.6572265625"/>
    <n v="256.76344411909719"/>
    <n v="250.53918279672283"/>
    <n v="251.88793104116343"/>
    <n v="41796700"/>
    <x v="0"/>
    <n v="0.10688333127271132"/>
    <n v="115.02860128854815"/>
    <n v="260.18620025634766"/>
    <x v="404"/>
    <n v="0"/>
    <s v="Apple Inc."/>
    <s v="Technology"/>
  </r>
  <r>
    <x v="434"/>
    <n v="248.57098388671875"/>
    <n v="255.2548282141602"/>
    <n v="247.8416601166152"/>
    <n v="253.666280215245"/>
    <n v="47900000"/>
    <x v="0"/>
    <n v="-1.6173068672430957"/>
    <n v="113.1682358206148"/>
    <n v="259.96806182861326"/>
    <x v="405"/>
    <n v="0"/>
    <s v="Apple Inc."/>
    <s v="Technology"/>
  </r>
  <r>
    <x v="435"/>
    <n v="246.40298461914065"/>
    <n v="250.63907198816293"/>
    <n v="245.28400520065441"/>
    <n v="249.83982057534303"/>
    <n v="39446200"/>
    <x v="0"/>
    <n v="-0.87218517369915816"/>
    <n v="112.18119924645048"/>
    <n v="259.74149871826171"/>
    <x v="406"/>
    <n v="0"/>
    <s v="Apple Inc."/>
    <s v="Technology"/>
  </r>
  <r>
    <x v="436"/>
    <n v="253.55638122558599"/>
    <n v="255.24482803058763"/>
    <n v="246.87255213324849"/>
    <n v="247.68180409428641"/>
    <n v="49598100"/>
    <x v="0"/>
    <n v="2.9031290418426448"/>
    <n v="115.43796422126154"/>
    <n v="259.71150360107424"/>
    <x v="407"/>
    <n v="0"/>
    <s v="Apple Inc."/>
    <s v="Technology"/>
  </r>
  <r>
    <x v="437"/>
    <n v="255.39469909667969"/>
    <n v="255.9441806293992"/>
    <n v="253.09681318303501"/>
    <n v="253.84612281282719"/>
    <n v="40059400"/>
    <x v="0"/>
    <n v="0.7250134515282225"/>
    <n v="116.27490499003603"/>
    <n v="259.89454742431639"/>
    <x v="408"/>
    <n v="0"/>
    <s v="Apple Inc."/>
    <s v="Technology"/>
  </r>
  <r>
    <x v="438"/>
    <n v="255.68443298339844"/>
    <n v="255.89424639361263"/>
    <n v="250.4192795609811"/>
    <n v="253.96601496217011"/>
    <n v="31289400"/>
    <x v="0"/>
    <n v="0.11344553655323608"/>
    <n v="116.40681367987875"/>
    <n v="260.06442108154295"/>
    <x v="409"/>
    <n v="0"/>
    <s v="Apple Inc."/>
    <s v="Technology"/>
  </r>
  <r>
    <x v="439"/>
    <n v="258.6217041015625"/>
    <n v="261.91868473717869"/>
    <n v="256.22391940533311"/>
    <n v="256.27389167390282"/>
    <n v="29329900"/>
    <x v="0"/>
    <n v="1.1487876222620041"/>
    <n v="117.7440807469028"/>
    <n v="260.27906616210936"/>
    <x v="410"/>
    <n v="0"/>
    <s v="Apple Inc."/>
    <s v="Technology"/>
  </r>
  <r>
    <x v="440"/>
    <n v="253.26666259765625"/>
    <n v="255.96418954301225"/>
    <n v="245.47383916108728"/>
    <n v="255.92421782448065"/>
    <n v="62148000"/>
    <x v="0"/>
    <n v="-2.0706079261635701"/>
    <n v="115.30606247836899"/>
    <n v="260.39279907226563"/>
    <x v="411"/>
    <n v="0"/>
    <s v="Apple Inc."/>
    <s v="Technology"/>
  </r>
  <r>
    <x v="441"/>
    <n v="258.66168212890625"/>
    <n v="259.51090582044134"/>
    <n v="256.29386854025813"/>
    <n v="258.2121146377317"/>
    <n v="41032800"/>
    <x v="0"/>
    <n v="2.1301735790709264"/>
    <n v="117.76228175635022"/>
    <n v="260.46730560302734"/>
    <x v="412"/>
    <n v="0"/>
    <s v="Apple Inc."/>
    <s v="Technology"/>
  </r>
  <r>
    <x v="442"/>
    <n v="260.25021362304688"/>
    <n v="260.87963859706599"/>
    <n v="255.83429923208161"/>
    <n v="258.76159489937362"/>
    <n v="28121600"/>
    <x v="0"/>
    <n v="0.61413483476417952"/>
    <n v="118.48550095082912"/>
    <n v="260.51648956298828"/>
    <x v="413"/>
    <n v="0"/>
    <s v="Apple Inc."/>
    <s v="Technology"/>
  </r>
  <r>
    <x v="443"/>
    <n v="260.240234375"/>
    <n v="261.94865175168746"/>
    <n v="258.78155637925681"/>
    <n v="259.74069463413929"/>
    <n v="31291500"/>
    <x v="0"/>
    <n v="-3.8344821731151058E-3"/>
    <n v="118.48095764541742"/>
    <n v="260.60200500488281"/>
    <x v="414"/>
    <n v="0"/>
    <s v="Apple Inc."/>
    <s v="Technology"/>
  </r>
  <r>
    <x v="444"/>
    <n v="258.96142578125"/>
    <n v="259.9405042051452"/>
    <n v="256.42375524378048"/>
    <n v="259.49093671136296"/>
    <n v="36234700"/>
    <x v="0"/>
    <n v="-0.49139542039732254"/>
    <n v="117.89874764550497"/>
    <n v="260.62521301269533"/>
    <x v="415"/>
    <n v="0"/>
    <s v="Apple Inc."/>
    <s v="Technology"/>
  </r>
  <r>
    <x v="445"/>
    <n v="258.59173583984369"/>
    <n v="261.68888841493145"/>
    <n v="256.95326129999239"/>
    <n v="259.01136264890187"/>
    <n v="48370700"/>
    <x v="0"/>
    <n v="-0.1427586909096612"/>
    <n v="117.73043693676735"/>
    <n v="260.6170715332031"/>
    <x v="416"/>
    <n v="0"/>
    <s v="Apple Inc."/>
    <s v="Technology"/>
  </r>
  <r>
    <x v="446"/>
    <n v="266.18475341796875"/>
    <n v="266.31463863594678"/>
    <n v="257.57269269729443"/>
    <n v="257.92237663273806"/>
    <n v="49913500"/>
    <x v="0"/>
    <n v="2.9362955291145632"/>
    <n v="121.18735049294868"/>
    <n v="260.55058044433594"/>
    <x v="417"/>
    <n v="0"/>
    <s v="Apple Inc."/>
    <s v="Technology"/>
  </r>
  <r>
    <x v="447"/>
    <n v="263.15753173828125"/>
    <n v="266.91408037974617"/>
    <n v="261.02948754488727"/>
    <n v="266.55439590858066"/>
    <n v="43323100"/>
    <x v="0"/>
    <n v="-1.1372633634406881"/>
    <n v="119.80913115466791"/>
    <n v="260.43412536621094"/>
    <x v="418"/>
    <n v="0"/>
    <s v="Apple Inc."/>
    <s v="Technology"/>
  </r>
  <r>
    <x v="448"/>
    <n v="269.98126220703125"/>
    <n v="272.04933358428622"/>
    <n v="266.47448343207725"/>
    <n v="266.71425275361719"/>
    <n v="61436200"/>
    <x v="0"/>
    <n v="2.5930211549241911"/>
    <n v="122.91580727103934"/>
    <n v="260.3142059326172"/>
    <x v="419"/>
    <n v="0"/>
    <s v="Apple Inc."/>
    <s v="Technology"/>
  </r>
  <r>
    <x v="449"/>
    <n v="272.79864501953125"/>
    <n v="274.02752377957671"/>
    <n v="270.04120633500696"/>
    <n v="270.08114756253855"/>
    <n v="36590200"/>
    <x v="0"/>
    <n v="1.0435475371396441"/>
    <n v="124.19849215057157"/>
    <n v="260.2622119140625"/>
    <x v="420"/>
    <n v="0"/>
    <s v="Apple Inc."/>
    <s v="Technology"/>
  </r>
  <r>
    <x v="450"/>
    <n v="265.92501831054688"/>
    <n v="272.54889014257083"/>
    <n v="265.15570754067409"/>
    <n v="271.25009891813198"/>
    <n v="50209800"/>
    <x v="0"/>
    <n v="-2.5196703995697067"/>
    <n v="121.06909950714173"/>
    <n v="260.0286279296875"/>
    <x v="421"/>
    <n v="0"/>
    <s v="Apple Inc."/>
    <s v="Technology"/>
  </r>
  <r>
    <x v="451"/>
    <n v="272.9185791015625"/>
    <n v="273.48803128351057"/>
    <n v="266.62435952726383"/>
    <n v="267.57349731299189"/>
    <n v="43249200"/>
    <x v="0"/>
    <n v="2.6298995241013978"/>
    <n v="124.2530951789139"/>
    <n v="259.99965515136716"/>
    <x v="422"/>
    <n v="0"/>
    <s v="Apple Inc."/>
    <s v="Technology"/>
  </r>
  <r>
    <x v="452"/>
    <n v="273.17831420898438"/>
    <n v="275.51615669870029"/>
    <n v="271.39995382845746"/>
    <n v="274.79681820267325"/>
    <n v="33399600"/>
    <x v="0"/>
    <n v="9.5169448806631252E-2"/>
    <n v="124.37134616472085"/>
    <n v="259.99466003417967"/>
    <x v="423"/>
    <n v="0"/>
    <s v="Apple Inc."/>
    <s v="Technology"/>
  </r>
  <r>
    <x v="453"/>
    <n v="273.17831420898438"/>
    <n v="272.80864483253174"/>
    <n v="269.40178009126032"/>
    <n v="272.50893317942314"/>
    <n v="38157100"/>
    <x v="0"/>
    <n v="0"/>
    <n v="124.37134616472085"/>
    <n v="259.95329833984374"/>
    <x v="424"/>
    <n v="0"/>
    <s v="Apple Inc."/>
    <s v="Technology"/>
  </r>
  <r>
    <x v="454"/>
    <n v="267.3636474609375"/>
    <n v="268.1129570778125"/>
    <n v="264.82600751088438"/>
    <n v="265.84505761361925"/>
    <n v="41466800"/>
    <x v="0"/>
    <n v="-2.1285242808836591"/>
    <n v="121.72407186314291"/>
    <n v="260.07078918457029"/>
    <x v="425"/>
    <n v="0"/>
    <s v="Apple Inc."/>
    <s v="Technology"/>
  </r>
  <r>
    <x v="455"/>
    <n v="270.4608154296875"/>
    <n v="272.97851539952296"/>
    <n v="268.41271455565959"/>
    <n v="272.08931996840158"/>
    <n v="40018900"/>
    <x v="0"/>
    <n v="1.1584102768505522"/>
    <n v="123.13413602100651"/>
    <n v="260.36911437988283"/>
    <x v="426"/>
    <n v="0"/>
    <s v="Apple Inc."/>
    <s v="Technology"/>
  </r>
  <r>
    <x v="456"/>
    <n v="269.92132568359369"/>
    <n v="270.7905199823619"/>
    <n v="266.79420192679368"/>
    <n v="267.30371174602737"/>
    <n v="30047900"/>
    <x v="0"/>
    <n v="-0.1994705758897819"/>
    <n v="122.8885196507685"/>
    <n v="260.49479858398439"/>
    <x v="427"/>
    <n v="0"/>
    <s v="Apple Inc."/>
    <s v="Technology"/>
  </r>
  <r>
    <x v="457"/>
    <n v="271.10025024414063"/>
    <n v="275.74596419518338"/>
    <n v="267.89321332805798"/>
    <n v="270.25102650288807"/>
    <n v="91848200"/>
    <x v="0"/>
    <n v="0.43676599378030811"/>
    <n v="123.42525491486309"/>
    <n v="260.63466979980467"/>
    <x v="428"/>
    <n v="1"/>
    <s v="Apple Inc."/>
    <s v="Technology"/>
  </r>
  <r>
    <x v="458"/>
    <n v="279.88214111328125"/>
    <n v="286.95561044034525"/>
    <n v="278.11375091440061"/>
    <n v="278.60329010462868"/>
    <n v="79915400"/>
    <x v="0"/>
    <n v="3.2393518121919929"/>
    <n v="127.4234331466503"/>
    <n v="261.02551025390625"/>
    <x v="429"/>
    <n v="0"/>
    <s v="Apple Inc."/>
    <s v="Technology"/>
  </r>
  <r>
    <x v="459"/>
    <n v="276.57516479492188"/>
    <n v="280.37168519170649"/>
    <n v="274.60697695873915"/>
    <n v="279.40257685633759"/>
    <n v="46668400"/>
    <x v="0"/>
    <n v="-1.1815603186417278"/>
    <n v="125.91784842393852"/>
    <n v="261.27028442382812"/>
    <x v="430"/>
    <n v="0"/>
    <s v="Apple Inc."/>
    <s v="Technology"/>
  </r>
  <r>
    <x v="460"/>
    <n v="283.91842651367188"/>
    <n v="284.30808218316162"/>
    <n v="276.24550268953749"/>
    <n v="276.67509958962432"/>
    <n v="49311700"/>
    <x v="0"/>
    <n v="2.6550690927708454"/>
    <n v="129.26105429972455"/>
    <n v="261.62995361328126"/>
    <x v="431"/>
    <n v="0"/>
    <s v="Apple Inc."/>
    <s v="Technology"/>
  </r>
  <r>
    <x v="461"/>
    <n v="287.245361328125"/>
    <n v="287.76487170009642"/>
    <n v="280.81128680757621"/>
    <n v="281.66051049385584"/>
    <n v="58336100"/>
    <x v="0"/>
    <n v="1.1717924952267644"/>
    <n v="130.77572563325973"/>
    <n v="261.9370703125"/>
    <x v="432"/>
    <n v="0"/>
    <s v="Apple Inc."/>
    <s v="Technology"/>
  </r>
  <r>
    <x v="462"/>
    <n v="287.1754150390625"/>
    <n v="291.86110035149431"/>
    <n v="285.5169394038565"/>
    <n v="289.00371711581823"/>
    <n v="45224300"/>
    <x v="0"/>
    <n v="-2.4350711440246364E-2"/>
    <n v="130.74388081367687"/>
    <n v="262.20102661132813"/>
    <x v="433"/>
    <n v="0"/>
    <s v="Apple Inc."/>
    <s v="Technology"/>
  </r>
  <r>
    <x v="463"/>
    <n v="293.05001831054688"/>
    <n v="294.4886952888782"/>
    <n v="289.7330669166447"/>
    <n v="289.74306746869178"/>
    <n v="52692800"/>
    <x v="0"/>
    <n v="2.0456497888878378"/>
    <n v="133.41844273552564"/>
    <n v="262.60805175781252"/>
    <x v="434"/>
    <n v="0"/>
    <s v="Apple Inc."/>
    <s v="Technology"/>
  </r>
  <r>
    <x v="464"/>
    <n v="292.67999267578125"/>
    <n v="293.8800048828125"/>
    <n v="290.23001098632813"/>
    <n v="291.98001098632813"/>
    <n v="42247300"/>
    <x v="0"/>
    <n v="-0.12626705737772692"/>
    <n v="133.24997919388429"/>
    <n v="263.18291503906249"/>
    <x v="435"/>
    <n v="0"/>
    <s v="Apple Inc."/>
    <s v="Technology"/>
  </r>
  <r>
    <x v="465"/>
    <n v="294.79998779296875"/>
    <n v="295.26998901367188"/>
    <n v="292.55999755859369"/>
    <n v="292.55999755859369"/>
    <n v="45748100"/>
    <x v="0"/>
    <n v="0.72433892655447973"/>
    <n v="134.21516066281134"/>
    <n v="263.78938842773437"/>
    <x v="436"/>
    <n v="0"/>
    <s v="Apple Inc."/>
    <s v="Technology"/>
  </r>
  <r>
    <x v="466"/>
    <n v="298.8699951171875"/>
    <n v="300.92001342773438"/>
    <n v="293.5"/>
    <n v="293.5"/>
    <n v="52684300"/>
    <x v="0"/>
    <n v="1.3805995565634221"/>
    <n v="136.068134575763"/>
    <n v="264.4966436767578"/>
    <x v="437"/>
    <n v="0"/>
    <s v="Apple Inc."/>
    <s v="Technology"/>
  </r>
  <r>
    <x v="467"/>
    <n v="298.20999145507813"/>
    <n v="300.45001220703125"/>
    <n v="295.3800048828125"/>
    <n v="299.82000732421875"/>
    <n v="35324900"/>
    <x v="0"/>
    <n v="-0.22083302870553601"/>
    <n v="135.76765119307623"/>
    <n v="265.2152764892578"/>
    <x v="438"/>
    <n v="0"/>
    <s v="Apple Inc."/>
    <s v="Technology"/>
  </r>
  <r>
    <x v="468"/>
    <n v="300.23001098632813"/>
    <n v="303.20001220703125"/>
    <n v="296.51998901367188"/>
    <n v="297.89999389648438"/>
    <n v="54862800"/>
    <x v="0"/>
    <n v="0.67738157309671365"/>
    <n v="136.68731624448435"/>
    <n v="266.0188684082031"/>
    <x v="439"/>
    <n v="0"/>
    <s v="Apple Inc."/>
    <s v="Technology"/>
  </r>
  <r>
    <x v="469"/>
    <n v="297.83999633789063"/>
    <n v="300.66000366210938"/>
    <n v="294.91000366210938"/>
    <n v="300.239990234375"/>
    <n v="34483000"/>
    <x v="0"/>
    <n v="-0.79606120673469949"/>
    <n v="135.59920154533523"/>
    <n v="266.83120849609372"/>
    <x v="440"/>
    <n v="0"/>
    <s v="Apple Inc."/>
    <s v="Technology"/>
  </r>
  <r>
    <x v="470"/>
    <n v="298.97000122070313"/>
    <n v="300.510009765625"/>
    <n v="296.35000610351563"/>
    <n v="296.97000122070313"/>
    <n v="42243600"/>
    <x v="0"/>
    <n v="0.37939997874918419"/>
    <n v="136.1136648871823"/>
    <n v="267.61779296875"/>
    <x v="441"/>
    <n v="0"/>
    <s v="Apple Inc."/>
    <s v="Technology"/>
  </r>
  <r>
    <x v="471"/>
    <n v="302.25"/>
    <n v="302.79998779296875"/>
    <n v="298.07998657226563"/>
    <n v="298.17999267578125"/>
    <n v="38229800"/>
    <x v="0"/>
    <n v="1.0970996307002601"/>
    <n v="137.60696740199214"/>
    <n v="268.45099487304685"/>
    <x v="442"/>
    <n v="0"/>
    <s v="Apple Inc."/>
    <s v="Technology"/>
  </r>
  <r>
    <x v="472"/>
    <n v="304.989990234375"/>
    <n v="305.54000854492188"/>
    <n v="300.39999389648438"/>
    <n v="301.05999755859369"/>
    <n v="42965100"/>
    <x v="0"/>
    <n v="0.90653109491314332"/>
    <n v="138.85441735025819"/>
    <n v="269.33939636230468"/>
    <x v="443"/>
    <n v="0"/>
    <s v="Apple Inc."/>
    <s v="Technology"/>
  </r>
  <r>
    <x v="473"/>
    <n v="308.82000732421875"/>
    <n v="311.39999389648438"/>
    <n v="305.83999633789063"/>
    <n v="306.1199951171875"/>
    <n v="43670200"/>
    <x v="0"/>
    <n v="1.2557845216167651"/>
    <n v="140.59812963092389"/>
    <n v="270.40530517578122"/>
    <x v="444"/>
    <n v="0"/>
    <s v="Apple Inc."/>
    <s v="Technology"/>
  </r>
  <r>
    <x v="474"/>
    <n v="308.32998657226563"/>
    <n v="311.82000732421875"/>
    <n v="307.67001342773438"/>
    <n v="309.55999755859369"/>
    <n v="48000500"/>
    <x v="0"/>
    <n v="-0.1586751960143129"/>
    <n v="140.37503527313956"/>
    <n v="271.57410949707031"/>
    <x v="445"/>
    <n v="0"/>
    <s v="Apple Inc."/>
    <s v="Technology"/>
  </r>
  <r>
    <x v="475"/>
    <n v="310.85000610351563"/>
    <n v="313.260009765625"/>
    <n v="308.29998779296875"/>
    <n v="308.32998657226563"/>
    <n v="50430900"/>
    <x v="0"/>
    <n v="0.81731250316108284"/>
    <n v="141.5223379877437"/>
    <n v="272.73936370849611"/>
    <x v="446"/>
    <n v="0"/>
    <s v="Apple Inc."/>
    <s v="Technology"/>
  </r>
  <r>
    <x v="476"/>
    <n v="312.510009765625"/>
    <n v="312.79998779296875"/>
    <n v="309.57000732421875"/>
    <n v="310.67999267578125"/>
    <n v="48220400"/>
    <x v="0"/>
    <n v="0.53402079122255586"/>
    <n v="142.2780966968225"/>
    <n v="273.90964416503908"/>
    <x v="447"/>
    <n v="0"/>
    <s v="Apple Inc."/>
    <s v="Technology"/>
  </r>
  <r>
    <x v="477"/>
    <n v="312.05999755859369"/>
    <n v="315"/>
    <n v="309.52999877929688"/>
    <n v="311.77999877929688"/>
    <n v="70026800"/>
    <x v="0"/>
    <n v="-0.14399929377263421"/>
    <n v="142.07321724238594"/>
    <n v="275.1566452026367"/>
    <x v="448"/>
    <n v="0"/>
    <s v="Apple Inc."/>
    <s v="Technology"/>
  </r>
  <r>
    <x v="478"/>
    <n v="306.30999755859369"/>
    <n v="310.94000244140625"/>
    <n v="305.01998901367188"/>
    <n v="309.6300048828125"/>
    <n v="48849900"/>
    <x v="0"/>
    <n v="-1.8425943872925732"/>
    <n v="139.45538411563174"/>
    <n v="276.30822814941405"/>
    <x v="449"/>
    <n v="0"/>
    <s v="Apple Inc."/>
    <s v="Technology"/>
  </r>
  <r>
    <x v="479"/>
    <n v="315.20001220703125"/>
    <n v="315.45001220703125"/>
    <n v="306.69000244140625"/>
    <n v="307.45999145507813"/>
    <n v="44534700"/>
    <x v="0"/>
    <n v="2.902293336585271"/>
    <n v="143.5027884363291"/>
    <n v="277.65699371337888"/>
    <x v="450"/>
    <n v="0"/>
    <s v="Apple Inc."/>
    <s v="Technology"/>
  </r>
  <r>
    <x v="480"/>
    <n v="310.260009765625"/>
    <n v="316.94000244140625"/>
    <n v="308.85000610351563"/>
    <n v="314.17999267578125"/>
    <n v="50836700"/>
    <x v="0"/>
    <n v="-1.5672595971098935"/>
    <n v="141.25372721244042"/>
    <n v="278.83702362060546"/>
    <x v="451"/>
    <n v="0"/>
    <s v="Apple Inc."/>
    <s v="Technology"/>
  </r>
  <r>
    <x v="481"/>
    <n v="311.23001098632813"/>
    <n v="313.54000854492188"/>
    <n v="309.64999389648438"/>
    <n v="313.23001098632813"/>
    <n v="44869100"/>
    <x v="0"/>
    <n v="0.31264139436979477"/>
    <n v="141.69534483479671"/>
    <n v="280.03345642089846"/>
    <x v="452"/>
    <n v="0"/>
    <s v="Apple Inc."/>
    <s v="Technology"/>
  </r>
  <r>
    <x v="482"/>
    <n v="307.33999633789063"/>
    <n v="315.17001342773438"/>
    <n v="307.14999389648438"/>
    <n v="312.8599853515625"/>
    <n v="65310500"/>
    <x v="0"/>
    <n v="-1.2498841728371679"/>
    <n v="139.92431714605956"/>
    <n v="281.13250701904298"/>
    <x v="453"/>
    <n v="0"/>
    <s v="Apple Inc."/>
    <s v="Technology"/>
  </r>
  <r>
    <x v="483"/>
    <n v="301.54000854492188"/>
    <n v="317.39999389648438"/>
    <n v="301.17001342773438"/>
    <n v="308.739990234375"/>
    <n v="77949100"/>
    <x v="0"/>
    <n v="-1.887156849768501"/>
    <n v="137.28372581054589"/>
    <n v="282.11016265869142"/>
    <x v="454"/>
    <n v="0"/>
    <s v="Apple Inc."/>
    <s v="Technology"/>
  </r>
  <r>
    <x v="484"/>
    <n v="290.54998779296875"/>
    <n v="300.75"/>
    <n v="287.77999877929688"/>
    <n v="300.27999877929688"/>
    <n v="70108800"/>
    <x v="0"/>
    <n v="-3.6446310408311478"/>
    <n v="132.28024052564521"/>
    <n v="282.9497427368164"/>
    <x v="455"/>
    <n v="0"/>
    <s v="Apple Inc."/>
    <s v="Technology"/>
  </r>
  <r>
    <x v="485"/>
    <n v="291.57998657226563"/>
    <n v="294.75"/>
    <n v="287.3800048828125"/>
    <n v="290.739990234375"/>
    <n v="52793300"/>
    <x v="0"/>
    <n v="0.35449968080218941"/>
    <n v="132.74917355607298"/>
    <n v="283.85328277587888"/>
    <x v="456"/>
    <n v="0"/>
    <s v="Apple Inc."/>
    <s v="Technology"/>
  </r>
  <r>
    <x v="486"/>
    <n v="295.6300048828125"/>
    <n v="297"/>
    <n v="289.58999633789063"/>
    <n v="293.72000122070313"/>
    <n v="42572500"/>
    <x v="0"/>
    <n v="1.3889904990249002"/>
    <n v="134.59304696430092"/>
    <n v="284.69475524902344"/>
    <x v="457"/>
    <n v="0"/>
    <s v="Apple Inc."/>
    <s v="Technology"/>
  </r>
  <r>
    <x v="487"/>
    <n v="291.1300048828125"/>
    <n v="297.1400146484375"/>
    <n v="289.6199951171875"/>
    <n v="296.02999877929688"/>
    <n v="38742100"/>
    <x v="0"/>
    <n v="-1.5221729613622226"/>
    <n v="132.54430799553677"/>
    <n v="285.40946136474611"/>
    <x v="458"/>
    <n v="0"/>
    <s v="Apple Inc."/>
    <s v="Technology"/>
  </r>
  <r>
    <x v="488"/>
    <n v="296.42001342773438"/>
    <n v="297.77999877929688"/>
    <n v="291.70001220703125"/>
    <n v="294.1199951171875"/>
    <n v="45732600"/>
    <x v="0"/>
    <n v="1.8170605764429082"/>
    <n v="134.95271836244274"/>
    <n v="286.22417297363279"/>
    <x v="459"/>
    <n v="0"/>
    <s v="Apple Inc."/>
    <s v="Technology"/>
  </r>
  <r>
    <x v="489"/>
    <n v="299.239990234375"/>
    <n v="300.48001098632813"/>
    <n v="293.97000122070313"/>
    <n v="295.25"/>
    <n v="39874400"/>
    <x v="0"/>
    <n v="0.95134494261404079"/>
    <n v="136.236584223504"/>
    <n v="287.03653869628909"/>
    <x v="460"/>
    <n v="0"/>
    <s v="Apple Inc."/>
    <s v="Technology"/>
  </r>
  <r>
    <x v="490"/>
    <n v="295.95001220703125"/>
    <n v="302.07000732421875"/>
    <n v="294.3599853515625"/>
    <n v="300.85000610351563"/>
    <n v="42745100"/>
    <x v="0"/>
    <n v="-1.0994446379867018"/>
    <n v="134.73873840328247"/>
    <n v="287.89020568847656"/>
    <x v="461"/>
    <n v="0"/>
    <s v="Apple Inc."/>
    <s v="Technology"/>
  </r>
  <r>
    <x v="491"/>
    <n v="298.010009765625"/>
    <n v="300.57000732421875"/>
    <n v="295.6199951171875"/>
    <n v="298.1099853515625"/>
    <n v="85962200"/>
    <x v="0"/>
    <n v="0.69606267059474369"/>
    <n v="135.67660446413802"/>
    <n v="288.67717224121094"/>
    <x v="462"/>
    <n v="0"/>
    <s v="Apple Inc."/>
    <s v="Technology"/>
  </r>
  <r>
    <x v="492"/>
    <n v="297.010009765625"/>
    <n v="302.42001342773438"/>
    <n v="296.760009765625"/>
    <n v="297.30999755859369"/>
    <n v="44879900"/>
    <x v="0"/>
    <n v="-0.33555919842641613"/>
    <n v="135.22132913774598"/>
    <n v="289.41236816406251"/>
    <x v="463"/>
    <n v="0"/>
    <s v="Apple Inc."/>
    <s v="Technology"/>
  </r>
  <r>
    <x v="493"/>
    <n v="294.29998779296875"/>
    <n v="301.6400146484375"/>
    <n v="294.17999267578125"/>
    <n v="297.54000854492188"/>
    <n v="52010900"/>
    <x v="0"/>
    <n v="-0.91243455895468895"/>
    <n v="133.98752299961535"/>
    <n v="290.0935632324219"/>
    <x v="464"/>
    <n v="0"/>
    <s v="Apple Inc."/>
    <s v="Technology"/>
  </r>
  <r>
    <x v="494"/>
    <n v="293.07998657226563"/>
    <n v="299.70001220703125"/>
    <n v="292.94000244140625"/>
    <n v="295.3599853515625"/>
    <n v="53081900"/>
    <x v="0"/>
    <n v="-0.41454341532672911"/>
    <n v="133.43208654566104"/>
    <n v="290.7759344482422"/>
    <x v="465"/>
    <n v="0"/>
    <s v="Apple Inc."/>
    <s v="Technology"/>
  </r>
  <r>
    <x v="495"/>
    <n v="275.14999389648438"/>
    <n v="288.79998779296875"/>
    <n v="273.75"/>
    <n v="287.39999389648438"/>
    <n v="107013700"/>
    <x v="0"/>
    <n v="-6.1177813215711367"/>
    <n v="125.26900327798796"/>
    <n v="291.10709960937498"/>
    <x v="466"/>
    <n v="1"/>
    <s v="Apple Inc."/>
    <s v="Technology"/>
  </r>
  <r>
    <x v="496"/>
    <n v="283.77999877929688"/>
    <n v="285.95001220703125"/>
    <n v="274.20999145507813"/>
    <n v="275"/>
    <n v="261775500"/>
    <x v="0"/>
    <n v="3.1364728599845959"/>
    <n v="129.19803156777525"/>
    <n v="291.45900451660157"/>
    <x v="467"/>
    <n v="1"/>
    <s v="Apple Inc."/>
    <s v="Technology"/>
  </r>
  <r>
    <x v="497"/>
    <n v="281.739990234375"/>
    <n v="288.3699951171875"/>
    <n v="279.85000610351563"/>
    <n v="286.73001098632813"/>
    <n v="66427000"/>
    <x v="0"/>
    <n v="-0.71886974194698139"/>
    <n v="128.26926601164342"/>
    <n v="291.83065368652342"/>
    <x v="468"/>
    <n v="0"/>
    <s v="Apple Inc."/>
    <s v="Technology"/>
  </r>
  <r>
    <x v="498"/>
    <n v="281.739990234375"/>
    <n v="289.94000244140625"/>
    <n v="280.70001220703125"/>
    <n v="281.17001342773438"/>
    <n v="65100200"/>
    <x v="0"/>
    <n v="0"/>
    <n v="128.26926601164342"/>
    <n v="292.06582824707033"/>
    <x v="469"/>
    <n v="0"/>
    <s v="Apple Inc."/>
    <s v="Technology"/>
  </r>
  <r>
    <x v="499"/>
    <n v="294.3800048828125"/>
    <n v="296.58999633789063"/>
    <n v="289.20001220703125"/>
    <n v="293.44000244140625"/>
    <n v="46108400"/>
    <x v="0"/>
    <n v="4.4864112609368956"/>
    <n v="134.02395280631089"/>
    <n v="292.49745544433591"/>
    <x v="470"/>
    <n v="0"/>
    <s v="Apple Inc."/>
    <s v="Technology"/>
  </r>
  <r>
    <x v="500"/>
    <n v="308.6300048828125"/>
    <n v="309.42001342773438"/>
    <n v="293.67999267578125"/>
    <n v="294.1199951171875"/>
    <n v="75352800"/>
    <x v="0"/>
    <n v="4.8406820312652199"/>
    <n v="140.51162620739737"/>
    <n v="293.35155517578124"/>
    <x v="471"/>
    <n v="0"/>
    <s v="Apple Inc."/>
    <s v="Technology"/>
  </r>
  <r>
    <x v="0"/>
    <n v="200.06886291503903"/>
    <n v="201.68905009612223"/>
    <n v="199.07181789817079"/>
    <n v="200.89333625926449"/>
    <n v="5560900"/>
    <x v="1"/>
    <m/>
    <n v="100"/>
    <m/>
    <x v="0"/>
    <n v="0"/>
    <s v="JPMorgan Chase &amp; Co."/>
    <s v="Financials"/>
  </r>
  <r>
    <x v="1"/>
    <n v="197.41783142089844"/>
    <n v="199.90495668701004"/>
    <n v="197.15756164535284"/>
    <n v="199.53864617381839"/>
    <n v="8093100"/>
    <x v="1"/>
    <n v="-1.3250595097680895"/>
    <n v="98.674940490231904"/>
    <m/>
    <x v="0"/>
    <n v="0"/>
    <s v="JPMorgan Chase &amp; Co."/>
    <s v="Financials"/>
  </r>
  <r>
    <x v="2"/>
    <n v="197.78414916992188"/>
    <n v="199.45186733579689"/>
    <n v="196.62735052717321"/>
    <n v="197.65882429121405"/>
    <n v="8707000"/>
    <x v="1"/>
    <n v="0.18555454002655569"/>
    <n v="98.858036322180041"/>
    <m/>
    <x v="0"/>
    <n v="0"/>
    <s v="JPMorgan Chase &amp; Co."/>
    <s v="Financials"/>
  </r>
  <r>
    <x v="3"/>
    <n v="200.15560913085929"/>
    <n v="202.20892204620341"/>
    <n v="198.05407849563011"/>
    <n v="198.22760639114145"/>
    <n v="9058900"/>
    <x v="1"/>
    <n v="1.1990141631117446"/>
    <n v="100.04335817905712"/>
    <m/>
    <x v="0"/>
    <n v="0"/>
    <s v="JPMorgan Chase &amp; Co."/>
    <s v="Financials"/>
  </r>
  <r>
    <x v="4"/>
    <n v="200.31947326660159"/>
    <n v="200.48335172261361"/>
    <n v="198.17938920186893"/>
    <n v="198.71922757684789"/>
    <n v="8328500"/>
    <x v="1"/>
    <n v="8.1868370541227087E-2"/>
    <n v="100.12526204623305"/>
    <m/>
    <x v="0"/>
    <n v="0"/>
    <s v="JPMorgan Chase &amp; Co."/>
    <s v="Financials"/>
  </r>
  <r>
    <x v="5"/>
    <n v="199.9820556640625"/>
    <n v="200.60866530004373"/>
    <n v="197.98658073254825"/>
    <n v="198.78670353236041"/>
    <n v="10658100"/>
    <x v="1"/>
    <n v="-0.1684397412976546"/>
    <n v="99.956611313868777"/>
    <m/>
    <x v="0"/>
    <n v="0"/>
    <s v="JPMorgan Chase &amp; Co."/>
    <s v="Financials"/>
  </r>
  <r>
    <x v="6"/>
    <n v="197.56242370605469"/>
    <n v="199.98206161154931"/>
    <n v="194.82466361458401"/>
    <n v="196.65626015378811"/>
    <n v="15443400"/>
    <x v="1"/>
    <n v="-1.209924535465523"/>
    <n v="98.747211748762368"/>
    <m/>
    <x v="0"/>
    <n v="0"/>
    <s v="JPMorgan Chase &amp; Co."/>
    <s v="Financials"/>
  </r>
  <r>
    <x v="7"/>
    <n v="202.48847961425781"/>
    <n v="203.99231931553007"/>
    <n v="199.27835346292989"/>
    <n v="199.731435258761"/>
    <n v="10719700"/>
    <x v="1"/>
    <n v="2.4934174301953327"/>
    <n v="101.20939193833789"/>
    <m/>
    <x v="0"/>
    <n v="0"/>
    <s v="JPMorgan Chase &amp; Co."/>
    <s v="Financials"/>
  </r>
  <r>
    <x v="8"/>
    <n v="205.92996215820313"/>
    <n v="206.04565232180363"/>
    <n v="200.58940119084525"/>
    <n v="202.44028200402863"/>
    <n v="11557000"/>
    <x v="1"/>
    <n v="1.6995942438312373"/>
    <n v="102.9295409379385"/>
    <m/>
    <x v="0"/>
    <n v="0"/>
    <s v="JPMorgan Chase &amp; Co."/>
    <s v="Financials"/>
  </r>
  <r>
    <x v="9"/>
    <n v="209.06297302246091"/>
    <n v="209.72813632324488"/>
    <n v="205.59257690590508"/>
    <n v="206.10349645675493"/>
    <n v="11572500"/>
    <x v="1"/>
    <n v="1.5213963191285762"/>
    <n v="104.49550718506421"/>
    <m/>
    <x v="0"/>
    <n v="0"/>
    <s v="JPMorgan Chase &amp; Co."/>
    <s v="Financials"/>
  </r>
  <r>
    <x v="10"/>
    <n v="202.4209899902344"/>
    <n v="208.84124221450841"/>
    <n v="201.70763843831011"/>
    <n v="207.86760619146685"/>
    <n v="12415100"/>
    <x v="1"/>
    <n v="-3.1770250543184053"/>
    <n v="101.17565874115766"/>
    <m/>
    <x v="0"/>
    <n v="0"/>
    <s v="JPMorgan Chase &amp; Co."/>
    <s v="Financials"/>
  </r>
  <r>
    <x v="11"/>
    <n v="202.22819519042969"/>
    <n v="204.70568563674121"/>
    <n v="201.39915346907361"/>
    <n v="203.59707529601897"/>
    <n v="8095900"/>
    <x v="1"/>
    <n v="-9.5244470355582145E-2"/>
    <n v="101.07929452086086"/>
    <m/>
    <x v="0"/>
    <n v="0"/>
    <s v="JPMorgan Chase &amp; Co."/>
    <s v="Financials"/>
  </r>
  <r>
    <x v="12"/>
    <n v="202.71018981933599"/>
    <n v="204.53215166667349"/>
    <n v="202.16071673369049"/>
    <n v="202.883717700245"/>
    <n v="7663200"/>
    <x v="1"/>
    <n v="0.23834195249206047"/>
    <n v="101.32020888498707"/>
    <m/>
    <x v="0"/>
    <n v="0"/>
    <s v="JPMorgan Chase &amp; Co."/>
    <s v="Financials"/>
  </r>
  <r>
    <x v="13"/>
    <n v="202.7583923339844"/>
    <n v="203.86698792954928"/>
    <n v="201.81367519196863"/>
    <n v="203.42355557512025"/>
    <n v="5557300"/>
    <x v="1"/>
    <n v="2.3779028913817335E-2"/>
    <n v="101.34430184675338"/>
    <m/>
    <x v="0"/>
    <n v="0"/>
    <s v="JPMorgan Chase &amp; Co."/>
    <s v="Financials"/>
  </r>
  <r>
    <x v="14"/>
    <n v="201.08103942871091"/>
    <n v="204.39720644869959"/>
    <n v="200.57976931414959"/>
    <n v="202.00648720315863"/>
    <n v="7119000"/>
    <x v="1"/>
    <n v="-0.82726682035955124"/>
    <n v="100.50591406325016"/>
    <m/>
    <x v="0"/>
    <n v="0"/>
    <s v="JPMorgan Chase &amp; Co."/>
    <s v="Financials"/>
  </r>
  <r>
    <x v="15"/>
    <n v="201.15812683105469"/>
    <n v="202.62341276054369"/>
    <n v="200.5604507994631"/>
    <n v="201.13884268857049"/>
    <n v="6403800"/>
    <x v="1"/>
    <n v="3.8336484913137348E-2"/>
    <n v="100.54444449783185"/>
    <m/>
    <x v="0"/>
    <n v="0"/>
    <s v="JPMorgan Chase &amp; Co."/>
    <s v="Financials"/>
  </r>
  <r>
    <x v="16"/>
    <n v="204.59963989257807"/>
    <n v="205.48651931773961"/>
    <n v="201.10994520654936"/>
    <n v="201.70763601116329"/>
    <n v="8027800"/>
    <x v="1"/>
    <n v="1.7108496264800488"/>
    <n v="102.26460875096946"/>
    <m/>
    <x v="0"/>
    <n v="0"/>
    <s v="JPMorgan Chase &amp; Co."/>
    <s v="Financials"/>
  </r>
  <r>
    <x v="17"/>
    <n v="203.2596740722656"/>
    <n v="205.92031228740183"/>
    <n v="202.97047074878529"/>
    <n v="204.99486459416329"/>
    <n v="6533600"/>
    <x v="1"/>
    <n v="-0.65492090847080187"/>
    <n v="101.59485644629346"/>
    <m/>
    <x v="0"/>
    <n v="0"/>
    <s v="JPMorgan Chase &amp; Co."/>
    <s v="Financials"/>
  </r>
  <r>
    <x v="18"/>
    <n v="207.44343566894531"/>
    <n v="208.02182760531736"/>
    <n v="205.29371695525305"/>
    <n v="205.55398670734905"/>
    <n v="8850700"/>
    <x v="1"/>
    <n v="2.0583333195704379"/>
    <n v="103.68601722749729"/>
    <m/>
    <x v="0"/>
    <n v="0"/>
    <s v="JPMorgan Chase &amp; Co."/>
    <s v="Financials"/>
  </r>
  <r>
    <x v="19"/>
    <n v="205.13948059082031"/>
    <n v="208.60024174456291"/>
    <n v="205.01415571416632"/>
    <n v="207.0481990555499"/>
    <n v="9071600"/>
    <x v="1"/>
    <n v="-1.1106425569434863"/>
    <n v="102.53443619456894"/>
    <m/>
    <x v="0"/>
    <n v="0"/>
    <s v="JPMorgan Chase &amp; Co."/>
    <s v="Financials"/>
  </r>
  <r>
    <x v="20"/>
    <n v="200.47373962402344"/>
    <n v="206.13242319166"/>
    <n v="198.95061563162929"/>
    <n v="205.52509759653921"/>
    <n v="10918600"/>
    <x v="1"/>
    <n v="-2.2744237010638435"/>
    <n v="100.2023686760075"/>
    <m/>
    <x v="0"/>
    <n v="0"/>
    <s v="JPMorgan Chase &amp; Co."/>
    <s v="Financials"/>
  </r>
  <r>
    <x v="21"/>
    <n v="191.97119140625"/>
    <n v="197.3021166718444"/>
    <n v="189.80218878503919"/>
    <n v="196.54056222368399"/>
    <n v="18041700"/>
    <x v="1"/>
    <n v="-4.2412279202849508"/>
    <n v="95.952557838933799"/>
    <m/>
    <x v="0"/>
    <n v="0"/>
    <s v="JPMorgan Chase &amp; Co."/>
    <s v="Financials"/>
  </r>
  <r>
    <x v="22"/>
    <n v="187.88385009765625"/>
    <n v="189.10813588433089"/>
    <n v="184.0278448440605"/>
    <n v="187.06445780696279"/>
    <n v="13927000"/>
    <x v="1"/>
    <n v="-2.129143064984218"/>
    <n v="93.909590608031166"/>
    <m/>
    <x v="0"/>
    <n v="0"/>
    <s v="JPMorgan Chase &amp; Co."/>
    <s v="Financials"/>
  </r>
  <r>
    <x v="23"/>
    <n v="193.12800598144531"/>
    <n v="195.30665821021745"/>
    <n v="187.01624161562503"/>
    <n v="188.36583747544628"/>
    <n v="10605800"/>
    <x v="1"/>
    <n v="2.7911690552771429"/>
    <n v="96.530766041019973"/>
    <m/>
    <x v="0"/>
    <n v="0"/>
    <s v="JPMorgan Chase &amp; Co."/>
    <s v="Financials"/>
  </r>
  <r>
    <x v="24"/>
    <n v="193.18583679199219"/>
    <n v="198.3432491544088"/>
    <n v="192.99303949169905"/>
    <n v="196.18388114644819"/>
    <n v="9204400"/>
    <x v="1"/>
    <n v="2.9944290188765876E-2"/>
    <n v="96.559671493724736"/>
    <m/>
    <x v="0"/>
    <n v="0"/>
    <s v="JPMorgan Chase &amp; Co."/>
    <s v="Financials"/>
  </r>
  <r>
    <x v="25"/>
    <n v="196.71409606933599"/>
    <n v="197.53350302957799"/>
    <n v="194.52580907593605"/>
    <n v="195.18133758602809"/>
    <n v="7761200"/>
    <x v="1"/>
    <n v="1.8263550454491906"/>
    <n v="98.323193925919554"/>
    <m/>
    <x v="0"/>
    <n v="0"/>
    <s v="JPMorgan Chase &amp; Co."/>
    <s v="Financials"/>
  </r>
  <r>
    <x v="26"/>
    <n v="198.3914794921875"/>
    <n v="199.0373586273821"/>
    <n v="195.59586676952449"/>
    <n v="196.14535459603681"/>
    <n v="5540200"/>
    <x v="1"/>
    <n v="0.85270118225806435"/>
    <n v="99.161596962959777"/>
    <m/>
    <x v="0"/>
    <n v="0"/>
    <s v="JPMorgan Chase &amp; Co."/>
    <s v="Financials"/>
  </r>
  <r>
    <x v="27"/>
    <n v="198.7674560546875"/>
    <n v="199.68325446598769"/>
    <n v="196.3285336276644"/>
    <n v="198.97953754481944"/>
    <n v="6936000"/>
    <x v="1"/>
    <n v="0.18951245459852828"/>
    <n v="99.349520539383391"/>
    <m/>
    <x v="0"/>
    <n v="0"/>
    <s v="JPMorgan Chase &amp; Co."/>
    <s v="Financials"/>
  </r>
  <r>
    <x v="28"/>
    <n v="200.45443725585929"/>
    <n v="200.59903157036632"/>
    <n v="198.00586566059425"/>
    <n v="200.25199050605681"/>
    <n v="6387800"/>
    <x v="1"/>
    <n v="0.84872103042241687"/>
    <n v="100.19272081382498"/>
    <m/>
    <x v="0"/>
    <n v="0"/>
    <s v="JPMorgan Chase &amp; Co."/>
    <s v="Financials"/>
  </r>
  <r>
    <x v="29"/>
    <n v="202.67164611816409"/>
    <n v="203.17291622190589"/>
    <n v="199.66395194824801"/>
    <n v="200.26164277885249"/>
    <n v="6999800"/>
    <x v="1"/>
    <n v="1.1060911859360756"/>
    <n v="101.30094366769625"/>
    <m/>
    <x v="0"/>
    <n v="0"/>
    <s v="JPMorgan Chase &amp; Co."/>
    <s v="Financials"/>
  </r>
  <r>
    <x v="30"/>
    <n v="203.9344787597656"/>
    <n v="206.19023828036811"/>
    <n v="203.50068111495631"/>
    <n v="205.3322777083701"/>
    <n v="7001000"/>
    <x v="1"/>
    <n v="0.62309290213453661"/>
    <n v="101.93214265748496"/>
    <m/>
    <x v="472"/>
    <n v="0"/>
    <s v="JPMorgan Chase &amp; Co."/>
    <s v="Financials"/>
  </r>
  <r>
    <x v="31"/>
    <n v="206.26734924316409"/>
    <n v="206.38302468646529"/>
    <n v="203.97302155440943"/>
    <n v="204.0694275634884"/>
    <n v="7931200"/>
    <x v="1"/>
    <n v="1.14393137324591"/>
    <n v="103.09817641676571"/>
    <m/>
    <x v="473"/>
    <n v="0"/>
    <s v="JPMorgan Chase &amp; Co."/>
    <s v="Financials"/>
  </r>
  <r>
    <x v="32"/>
    <n v="207.69406127929688"/>
    <n v="207.77118314254531"/>
    <n v="206.1227492827696"/>
    <n v="206.29626244296011"/>
    <n v="6090800"/>
    <x v="1"/>
    <n v="0.6916809865292084"/>
    <n v="103.81128690049883"/>
    <m/>
    <x v="474"/>
    <n v="0"/>
    <s v="JPMorgan Chase &amp; Co."/>
    <s v="Financials"/>
  </r>
  <r>
    <x v="33"/>
    <n v="206.79756164550781"/>
    <n v="208.224279441542"/>
    <n v="205.98778937957647"/>
    <n v="207.2602781478312"/>
    <n v="5640000"/>
    <x v="1"/>
    <n v="-0.43164432736644276"/>
    <n v="103.36319136942673"/>
    <m/>
    <x v="475"/>
    <n v="0"/>
    <s v="JPMorgan Chase &amp; Co."/>
    <s v="Financials"/>
  </r>
  <r>
    <x v="34"/>
    <n v="206.87467956542969"/>
    <n v="207.26027419175705"/>
    <n v="205.17802790680824"/>
    <n v="206.71078640427385"/>
    <n v="5202300"/>
    <x v="1"/>
    <n v="3.729150349174315E-2"/>
    <n v="103.40173705754543"/>
    <m/>
    <x v="476"/>
    <n v="0"/>
    <s v="JPMorgan Chase &amp; Co."/>
    <s v="Financials"/>
  </r>
  <r>
    <x v="35"/>
    <n v="208.83161926269531"/>
    <n v="208.9954977287081"/>
    <n v="206.62404791162533"/>
    <n v="206.85541353337521"/>
    <n v="5247100"/>
    <x v="1"/>
    <n v="0.94595418896912253"/>
    <n v="104.37987012070811"/>
    <m/>
    <x v="477"/>
    <n v="0"/>
    <s v="JPMorgan Chase &amp; Co."/>
    <s v="Financials"/>
  </r>
  <r>
    <x v="36"/>
    <n v="210.45111083984369"/>
    <n v="211.29943664811401"/>
    <n v="208.70627092832649"/>
    <n v="209.7666781886644"/>
    <n v="7214000"/>
    <x v="1"/>
    <n v="0.77550113477364846"/>
    <n v="105.18933719796945"/>
    <m/>
    <x v="478"/>
    <n v="0"/>
    <s v="JPMorgan Chase &amp; Co."/>
    <s v="Financials"/>
  </r>
  <r>
    <x v="37"/>
    <n v="211.2801818847656"/>
    <n v="211.77181729592928"/>
    <n v="210.20050504009541"/>
    <n v="211.12593813281453"/>
    <n v="5105200"/>
    <x v="1"/>
    <n v="0.3939494743521843"/>
    <n v="105.60373003893542"/>
    <m/>
    <x v="479"/>
    <n v="0"/>
    <s v="JPMorgan Chase &amp; Co."/>
    <s v="Financials"/>
  </r>
  <r>
    <x v="38"/>
    <n v="212.25379943847656"/>
    <n v="212.4851650461828"/>
    <n v="211.29944756436009"/>
    <n v="211.6079203318092"/>
    <n v="5185200"/>
    <x v="1"/>
    <n v="0.46081821069332563"/>
    <n v="106.09037125812624"/>
    <m/>
    <x v="480"/>
    <n v="0"/>
    <s v="JPMorgan Chase &amp; Co."/>
    <s v="Financials"/>
  </r>
  <r>
    <x v="39"/>
    <n v="213.32383728027344"/>
    <n v="214.21073140431051"/>
    <n v="211.299443413212"/>
    <n v="211.35728113662915"/>
    <n v="6506400"/>
    <x v="1"/>
    <n v="0.50413130159634445"/>
    <n v="106.62520602761822"/>
    <m/>
    <x v="481"/>
    <n v="0"/>
    <s v="JPMorgan Chase &amp; Co."/>
    <s v="Financials"/>
  </r>
  <r>
    <x v="40"/>
    <n v="214.21072387695313"/>
    <n v="214.95299424737959"/>
    <n v="211.05843567605964"/>
    <n v="214.15287144607669"/>
    <n v="6416100"/>
    <x v="1"/>
    <n v="0.41574659821745907"/>
    <n v="107.06849669452041"/>
    <m/>
    <x v="482"/>
    <n v="0"/>
    <s v="JPMorgan Chase &amp; Co."/>
    <s v="Financials"/>
  </r>
  <r>
    <x v="41"/>
    <n v="216.70751953125"/>
    <n v="217.36303342834745"/>
    <n v="213.94082548692816"/>
    <n v="214.49031335022525"/>
    <n v="8574100"/>
    <x v="1"/>
    <n v="1.1655792058903103"/>
    <n v="108.31646482805108"/>
    <m/>
    <x v="483"/>
    <n v="0"/>
    <s v="JPMorgan Chase &amp; Co."/>
    <s v="Financials"/>
  </r>
  <r>
    <x v="42"/>
    <n v="212.36949157714844"/>
    <n v="216.03269949777567"/>
    <n v="211.34765254186399"/>
    <n v="214.29749419753199"/>
    <n v="8956100"/>
    <x v="1"/>
    <n v="-2.0017893073045911"/>
    <n v="106.14819741707282"/>
    <m/>
    <x v="484"/>
    <n v="0"/>
    <s v="JPMorgan Chase &amp; Co."/>
    <s v="Financials"/>
  </r>
  <r>
    <x v="43"/>
    <n v="211.43440246582031"/>
    <n v="214.07577126791631"/>
    <n v="209.39072445966104"/>
    <n v="213.08283641697943"/>
    <n v="7389500"/>
    <x v="1"/>
    <n v="-0.44031235578319006"/>
    <n v="105.68081378840432"/>
    <m/>
    <x v="485"/>
    <n v="0"/>
    <s v="JPMorgan Chase &amp; Co."/>
    <s v="Financials"/>
  </r>
  <r>
    <x v="44"/>
    <n v="209.79560852050781"/>
    <n v="212.85149088939755"/>
    <n v="208.25320055013469"/>
    <n v="212.2248812160305"/>
    <n v="8067900"/>
    <x v="1"/>
    <n v="-0.77508386818810893"/>
    <n v="104.86169884896049"/>
    <m/>
    <x v="486"/>
    <n v="0"/>
    <s v="JPMorgan Chase &amp; Co."/>
    <s v="Financials"/>
  </r>
  <r>
    <x v="45"/>
    <n v="204.81172180175781"/>
    <n v="210.86564876332929"/>
    <n v="203.49103002390279"/>
    <n v="209.76668787436864"/>
    <n v="7777000"/>
    <x v="1"/>
    <n v="-2.3755915359223612"/>
    <n v="102.37061320668018"/>
    <m/>
    <x v="487"/>
    <n v="0"/>
    <s v="JPMorgan Chase &amp; Co."/>
    <s v="Financials"/>
  </r>
  <r>
    <x v="46"/>
    <n v="209.00511169433599"/>
    <n v="210.296869857818"/>
    <n v="206.46978366297839"/>
    <n v="207.44343435369325"/>
    <n v="8935100"/>
    <x v="1"/>
    <n v="2.0474364727215422"/>
    <n v="104.46658647882245"/>
    <m/>
    <x v="488"/>
    <n v="0"/>
    <s v="JPMorgan Chase &amp; Co."/>
    <s v="Financials"/>
  </r>
  <r>
    <x v="47"/>
    <n v="198.16011047363281"/>
    <n v="210.7692495990519"/>
    <n v="193.3883068457007"/>
    <n v="210.73069601813924"/>
    <n v="28406900"/>
    <x v="1"/>
    <n v="-5.1888688907110065"/>
    <n v="99.04595227183512"/>
    <m/>
    <x v="489"/>
    <n v="1"/>
    <s v="JPMorgan Chase &amp; Co."/>
    <s v="Financials"/>
  </r>
  <r>
    <x v="48"/>
    <n v="199.76998901367188"/>
    <n v="200.22307080989853"/>
    <n v="194.56438778018585"/>
    <n v="197.86127052265937"/>
    <n v="13658700"/>
    <x v="1"/>
    <n v="0.81241302106220825"/>
    <n v="99.850614484926581"/>
    <m/>
    <x v="490"/>
    <n v="0"/>
    <s v="JPMorgan Chase &amp; Co."/>
    <s v="Financials"/>
  </r>
  <r>
    <x v="49"/>
    <n v="199.16264343261719"/>
    <n v="201.26415887862737"/>
    <n v="197.51419499428232"/>
    <n v="200.17483287231573"/>
    <n v="9054400"/>
    <x v="1"/>
    <n v="-0.30402243302577459"/>
    <n v="99.547046217378323"/>
    <n v="203.40697448730469"/>
    <x v="491"/>
    <n v="0"/>
    <s v="JPMorgan Chase &amp; Co."/>
    <s v="Financials"/>
  </r>
  <r>
    <x v="50"/>
    <n v="196.96473693847656"/>
    <n v="200.36766007881329"/>
    <n v="195.71153240671291"/>
    <n v="199.41329357265275"/>
    <n v="10226700"/>
    <x v="1"/>
    <n v="-1.1035736703727039"/>
    <n v="98.448471225689588"/>
    <n v="203.34489196777344"/>
    <x v="492"/>
    <n v="0"/>
    <s v="JPMorgan Chase &amp; Co."/>
    <s v="Financials"/>
  </r>
  <r>
    <x v="51"/>
    <n v="200.3773193359375"/>
    <n v="200.71472568909704"/>
    <n v="198.18903217312973"/>
    <n v="198.42039779039567"/>
    <n v="8634900"/>
    <x v="1"/>
    <n v="1.7325854619991699"/>
    <n v="100.15417512570633"/>
    <n v="203.40408172607422"/>
    <x v="493"/>
    <n v="0"/>
    <s v="JPMorgan Chase &amp; Co."/>
    <s v="Financials"/>
  </r>
  <r>
    <x v="52"/>
    <n v="201.71725463867188"/>
    <n v="202.37276840561569"/>
    <n v="200.18449623406093"/>
    <n v="200.25196867030928"/>
    <n v="7573300"/>
    <x v="1"/>
    <n v="0.66870607271072302"/>
    <n v="100.82391217684525"/>
    <n v="203.48274383544921"/>
    <x v="494"/>
    <n v="0"/>
    <s v="JPMorgan Chase &amp; Co."/>
    <s v="Financials"/>
  </r>
  <r>
    <x v="53"/>
    <n v="200.05918884277344"/>
    <n v="203.73203144648693"/>
    <n v="199.25906599771241"/>
    <n v="201.48590664975961"/>
    <n v="8259900"/>
    <x v="1"/>
    <n v="-0.82197519437217093"/>
    <n v="99.995164628756001"/>
    <n v="203.48081542968751"/>
    <x v="495"/>
    <n v="0"/>
    <s v="JPMorgan Chase &amp; Co."/>
    <s v="Financials"/>
  </r>
  <r>
    <x v="54"/>
    <n v="202.90299987792969"/>
    <n v="204.28152945633747"/>
    <n v="199.87603622956823"/>
    <n v="202.22820187533188"/>
    <n v="11635200"/>
    <x v="1"/>
    <n v="1.4214848373654165"/>
    <n v="101.41658073205232"/>
    <n v="203.53248596191406"/>
    <x v="496"/>
    <n v="0"/>
    <s v="JPMorgan Chase &amp; Co."/>
    <s v="Financials"/>
  </r>
  <r>
    <x v="55"/>
    <n v="203.49104309082031"/>
    <n v="203.8091653040384"/>
    <n v="201.9582844621734"/>
    <n v="202.37279798547689"/>
    <n v="20885000"/>
    <x v="1"/>
    <n v="0.28981494272850572"/>
    <n v="101.71050113741813"/>
    <n v="203.60266571044923"/>
    <x v="497"/>
    <n v="1"/>
    <s v="JPMorgan Chase &amp; Co."/>
    <s v="Financials"/>
  </r>
  <r>
    <x v="56"/>
    <n v="203.82843017578125"/>
    <n v="204.17547122015799"/>
    <n v="202.43063128102489"/>
    <n v="203.4042672649328"/>
    <n v="7223500"/>
    <x v="1"/>
    <n v="0.16579947688919461"/>
    <n v="101.87913661624535"/>
    <n v="203.72798583984374"/>
    <x v="498"/>
    <n v="0"/>
    <s v="JPMorgan Chase &amp; Co."/>
    <s v="Financials"/>
  </r>
  <r>
    <x v="57"/>
    <n v="203.97303771972656"/>
    <n v="205.2840801158477"/>
    <n v="202.7969549213168"/>
    <n v="203.54887478135009"/>
    <n v="7323200"/>
    <x v="1"/>
    <n v="7.0945718328196961E-2"/>
    <n v="101.95141550154432"/>
    <n v="203.75767700195311"/>
    <x v="499"/>
    <n v="0"/>
    <s v="JPMorgan Chase &amp; Co."/>
    <s v="Financials"/>
  </r>
  <r>
    <x v="58"/>
    <n v="202.6234436035156"/>
    <n v="204.5996492884681"/>
    <n v="201.10031972421783"/>
    <n v="204.0597961831719"/>
    <n v="8976500"/>
    <x v="1"/>
    <n v="-0.66165319264667177"/>
    <n v="101.27685070592989"/>
    <n v="203.69154663085936"/>
    <x v="500"/>
    <n v="0"/>
    <s v="JPMorgan Chase &amp; Co."/>
    <s v="Financials"/>
  </r>
  <r>
    <x v="59"/>
    <n v="202.22819519042969"/>
    <n v="204.07907595472616"/>
    <n v="201.48591005736264"/>
    <n v="203.52960285273619"/>
    <n v="7807500"/>
    <x v="1"/>
    <n v="-0.19506548998313722"/>
    <n v="101.07929452086086"/>
    <n v="203.55485107421876"/>
    <x v="501"/>
    <n v="0"/>
    <s v="JPMorgan Chase &amp; Co."/>
    <s v="Financials"/>
  </r>
  <r>
    <x v="60"/>
    <n v="202.9222717285156"/>
    <n v="204.79243658632569"/>
    <n v="201.79439198333469"/>
    <n v="203.06686603834945"/>
    <n v="7032500"/>
    <x v="1"/>
    <n v="0.34321452428149879"/>
    <n v="101.42621334069774"/>
    <n v="203.56487670898437"/>
    <x v="502"/>
    <n v="0"/>
    <s v="JPMorgan Chase &amp; Co."/>
    <s v="Financials"/>
  </r>
  <r>
    <x v="61"/>
    <n v="203.26930236816409"/>
    <n v="203.36570837610927"/>
    <n v="197.8708895320446"/>
    <n v="198.88309377750343"/>
    <n v="8398700"/>
    <x v="1"/>
    <n v="0.17101653588462717"/>
    <n v="101.59966893723195"/>
    <n v="203.58569885253905"/>
    <x v="503"/>
    <n v="0"/>
    <s v="JPMorgan Chase &amp; Co."/>
    <s v="Financials"/>
  </r>
  <r>
    <x v="62"/>
    <n v="199.58680725097656"/>
    <n v="201.56301270510659"/>
    <n v="198.76741503501432"/>
    <n v="201.37985011874699"/>
    <n v="8540100"/>
    <x v="1"/>
    <n v="-1.8116336673984046"/>
    <n v="99.75905512879973"/>
    <n v="203.52323120117188"/>
    <x v="504"/>
    <n v="0"/>
    <s v="JPMorgan Chase &amp; Co."/>
    <s v="Financials"/>
  </r>
  <r>
    <x v="63"/>
    <n v="199.82783508300781"/>
    <n v="201.4280808680096"/>
    <n v="198.2854417354765"/>
    <n v="199.62540303508803"/>
    <n v="5810900"/>
    <x v="1"/>
    <n v="0.1207634088400189"/>
    <n v="99.879527564399879"/>
    <n v="203.46462005615234"/>
    <x v="505"/>
    <n v="0"/>
    <s v="JPMorgan Chase &amp; Co."/>
    <s v="Financials"/>
  </r>
  <r>
    <x v="64"/>
    <n v="197.84197998046875"/>
    <n v="199.05663101596809"/>
    <n v="196.9840194235567"/>
    <n v="198.7481435436215"/>
    <n v="7251300"/>
    <x v="1"/>
    <n v="-0.9937830241288137"/>
    <n v="98.886941774884804"/>
    <n v="203.3998388671875"/>
    <x v="506"/>
    <n v="0"/>
    <s v="JPMorgan Chase &amp; Co."/>
    <s v="Financials"/>
  </r>
  <r>
    <x v="65"/>
    <n v="204.8641357421875"/>
    <n v="205.30059173762103"/>
    <n v="200.68383122656712"/>
    <n v="203.00191264193967"/>
    <n v="10211700"/>
    <x v="1"/>
    <n v="3.5493760032183186"/>
    <n v="102.39681115655902"/>
    <n v="203.47395904541017"/>
    <x v="507"/>
    <n v="0"/>
    <s v="JPMorgan Chase &amp; Co."/>
    <s v="Financials"/>
  </r>
  <r>
    <x v="66"/>
    <n v="204.58282470703125"/>
    <n v="206.91061434984081"/>
    <n v="203.38014745122959"/>
    <n v="204.67982149201009"/>
    <n v="6718900"/>
    <x v="1"/>
    <n v="-0.13731590165213525"/>
    <n v="102.25620405205638"/>
    <n v="203.47362274169922"/>
    <x v="508"/>
    <n v="0"/>
    <s v="JPMorgan Chase &amp; Co."/>
    <s v="Financials"/>
  </r>
  <r>
    <x v="67"/>
    <n v="204.40826416015625"/>
    <n v="204.97081299762056"/>
    <n v="202.10958521366825"/>
    <n v="204.24338145256661"/>
    <n v="6021800"/>
    <x v="1"/>
    <n v="-8.5325123027790717E-2"/>
    <n v="102.16895382014542"/>
    <n v="203.49659454345704"/>
    <x v="509"/>
    <n v="0"/>
    <s v="JPMorgan Chase &amp; Co."/>
    <s v="Financials"/>
  </r>
  <r>
    <x v="68"/>
    <n v="206.9979248046875"/>
    <n v="207.79325708795159"/>
    <n v="203.07949994465"/>
    <n v="203.3898630505735"/>
    <n v="7024000"/>
    <x v="1"/>
    <n v="1.2669060398175613"/>
    <n v="103.46333846691125"/>
    <n v="203.48768432617189"/>
    <x v="510"/>
    <n v="0"/>
    <s v="JPMorgan Chase &amp; Co."/>
    <s v="Financials"/>
  </r>
  <r>
    <x v="69"/>
    <n v="206.43536376953125"/>
    <n v="208.34608508892401"/>
    <n v="205.10659358890169"/>
    <n v="208.34608508892401"/>
    <n v="7927100"/>
    <x v="1"/>
    <n v="-0.27177134055187402"/>
    <n v="103.18215476498"/>
    <n v="203.51360198974609"/>
    <x v="511"/>
    <n v="0"/>
    <s v="JPMorgan Chase &amp; Co."/>
    <s v="Financials"/>
  </r>
  <r>
    <x v="70"/>
    <n v="215.60101318359369"/>
    <n v="217.87061094482129"/>
    <n v="208.6855737425154"/>
    <n v="209.18022188553985"/>
    <n v="18320700"/>
    <x v="1"/>
    <n v="4.4399608897897735"/>
    <n v="107.76340208178748"/>
    <n v="203.81614746093749"/>
    <x v="512"/>
    <n v="0"/>
    <s v="JPMorgan Chase &amp; Co."/>
    <s v="Financials"/>
  </r>
  <r>
    <x v="71"/>
    <n v="214.81536865234369"/>
    <n v="216.96856708937395"/>
    <n v="212.29361498349439"/>
    <n v="216.48361275309929"/>
    <n v="9048900"/>
    <x v="1"/>
    <n v="-0.36439742079550363"/>
    <n v="107.37071502403994"/>
    <n v="204.27303100585937"/>
    <x v="513"/>
    <n v="0"/>
    <s v="JPMorgan Chase &amp; Co."/>
    <s v="Financials"/>
  </r>
  <r>
    <x v="72"/>
    <n v="215.697998046875"/>
    <n v="218.66591634009171"/>
    <n v="215.14515777638977"/>
    <n v="216.92978625602399"/>
    <n v="9235800"/>
    <x v="1"/>
    <n v="0.41087814157270142"/>
    <n v="107.81187782252404"/>
    <n v="204.82931396484375"/>
    <x v="514"/>
    <n v="0"/>
    <s v="JPMorgan Chase &amp; Co."/>
    <s v="Financials"/>
  </r>
  <r>
    <x v="73"/>
    <n v="216.91041564941409"/>
    <n v="216.94920549175859"/>
    <n v="214.38864670761583"/>
    <n v="215.6398374178375"/>
    <n v="6382500"/>
    <x v="1"/>
    <n v="0.56209033626524185"/>
    <n v="108.41787796911055"/>
    <n v="205.30496215820313"/>
    <x v="515"/>
    <n v="0"/>
    <s v="JPMorgan Chase &amp; Co."/>
    <s v="Financials"/>
  </r>
  <r>
    <x v="74"/>
    <n v="217.66691589355469"/>
    <n v="219.05389307634081"/>
    <n v="216.59031660888084"/>
    <n v="217.521435503585"/>
    <n v="6470200"/>
    <x v="1"/>
    <n v="0.34876160366743569"/>
    <n v="108.79599789897783"/>
    <n v="205.79458374023437"/>
    <x v="516"/>
    <n v="0"/>
    <s v="JPMorgan Chase &amp; Co."/>
    <s v="Financials"/>
  </r>
  <r>
    <x v="75"/>
    <n v="218.58831787109369"/>
    <n v="219.12177061330635"/>
    <n v="216.38663578902961"/>
    <n v="218.2294563898017"/>
    <n v="7000500"/>
    <x v="1"/>
    <n v="0.42330823393923467"/>
    <n v="109.25654031628056"/>
    <n v="206.23206817626954"/>
    <x v="517"/>
    <n v="0"/>
    <s v="JPMorgan Chase &amp; Co."/>
    <s v="Financials"/>
  </r>
  <r>
    <x v="76"/>
    <n v="216.2896423339844"/>
    <n v="218.90839289110613"/>
    <n v="216.19264554312963"/>
    <n v="218.44284085419463"/>
    <n v="5870000"/>
    <x v="1"/>
    <n v="-1.0516003597524692"/>
    <n v="108.10759814526145"/>
    <n v="206.59003143310548"/>
    <x v="518"/>
    <n v="0"/>
    <s v="JPMorgan Chase &amp; Co."/>
    <s v="Financials"/>
  </r>
  <r>
    <x v="77"/>
    <n v="217.37594604492188"/>
    <n v="218.50104375579213"/>
    <n v="214.4468322523353"/>
    <n v="216.30905529120685"/>
    <n v="9586800"/>
    <x v="1"/>
    <n v="0.50224490605059735"/>
    <n v="108.65056304999968"/>
    <n v="206.96220123291016"/>
    <x v="519"/>
    <n v="0"/>
    <s v="JPMorgan Chase &amp; Co."/>
    <s v="Financials"/>
  </r>
  <r>
    <x v="78"/>
    <n v="217.37594604492188"/>
    <n v="218.03550481569224"/>
    <n v="215.8338076592832"/>
    <n v="216.92980935734141"/>
    <n v="6180500"/>
    <x v="1"/>
    <n v="0"/>
    <n v="108.65056304999968"/>
    <n v="207.3006314086914"/>
    <x v="520"/>
    <n v="0"/>
    <s v="JPMorgan Chase &amp; Co."/>
    <s v="Financials"/>
  </r>
  <r>
    <x v="79"/>
    <n v="218.2100524902344"/>
    <n v="218.28764696123304"/>
    <n v="214.98996334176661"/>
    <n v="215.15484604277671"/>
    <n v="6002200"/>
    <x v="1"/>
    <n v="0.38371607369114269"/>
    <n v="109.06747272457842"/>
    <n v="207.61139953613281"/>
    <x v="521"/>
    <n v="0"/>
    <s v="JPMorgan Chase &amp; Co."/>
    <s v="Financials"/>
  </r>
  <r>
    <x v="80"/>
    <n v="215.62040710449219"/>
    <n v="218.8308026284756"/>
    <n v="214.23344472630609"/>
    <n v="218.22946395257759"/>
    <n v="6369700"/>
    <x v="1"/>
    <n v="-1.1867672255191364"/>
    <n v="107.77309570458111"/>
    <n v="207.84511810302735"/>
    <x v="522"/>
    <n v="0"/>
    <s v="JPMorgan Chase &amp; Co."/>
    <s v="Financials"/>
  </r>
  <r>
    <x v="81"/>
    <n v="218.71440124511719"/>
    <n v="218.85018786454799"/>
    <n v="216.24113122011303"/>
    <n v="216.62910356108063"/>
    <n v="6843000"/>
    <x v="1"/>
    <n v="1.4349263978179927"/>
    <n v="109.3195603045918"/>
    <n v="208.0940591430664"/>
    <x v="523"/>
    <n v="0"/>
    <s v="JPMorgan Chase &amp; Co."/>
    <s v="Financials"/>
  </r>
  <r>
    <x v="82"/>
    <n v="216.19265747070313"/>
    <n v="219.92681213014208"/>
    <n v="216.10536923389751"/>
    <n v="218.43315914614644"/>
    <n v="6580000"/>
    <x v="1"/>
    <n v="-1.1529847874936716"/>
    <n v="108.05912240452489"/>
    <n v="208.26403106689452"/>
    <x v="524"/>
    <n v="0"/>
    <s v="JPMorgan Chase &amp; Co."/>
    <s v="Financials"/>
  </r>
  <r>
    <x v="83"/>
    <n v="217.65721130371091"/>
    <n v="219.50003188324951"/>
    <n v="214.91236795234585"/>
    <n v="215.8434720010865"/>
    <n v="7110900"/>
    <x v="1"/>
    <n v="0.67742995999124922"/>
    <n v="108.79114727419675"/>
    <n v="208.48122406005859"/>
    <x v="525"/>
    <n v="0"/>
    <s v="JPMorgan Chase &amp; Co."/>
    <s v="Financials"/>
  </r>
  <r>
    <x v="84"/>
    <n v="215.24215698242188"/>
    <n v="218.89871726600515"/>
    <n v="215.1451749831653"/>
    <n v="217.93850223567321"/>
    <n v="7829900"/>
    <x v="1"/>
    <n v="-1.1095677955366035"/>
    <n v="107.58403573964745"/>
    <n v="208.64857360839844"/>
    <x v="526"/>
    <n v="0"/>
    <s v="JPMorgan Chase &amp; Co."/>
    <s v="Financials"/>
  </r>
  <r>
    <x v="85"/>
    <n v="215.24215698242188"/>
    <n v="219.34484391378845"/>
    <n v="215.99866189946741"/>
    <n v="216.83278396329408"/>
    <n v="6923500"/>
    <x v="1"/>
    <n v="0"/>
    <n v="107.58403573964745"/>
    <n v="208.77678436279297"/>
    <x v="527"/>
    <n v="0"/>
    <s v="JPMorgan Chase &amp; Co."/>
    <s v="Financials"/>
  </r>
  <r>
    <x v="86"/>
    <n v="213.16653442382807"/>
    <n v="217.02676693348931"/>
    <n v="212.57488952061908"/>
    <n v="215.95016767681813"/>
    <n v="8229600"/>
    <x v="1"/>
    <n v="-0.96431971677524153"/>
    <n v="106.54658167090751"/>
    <n v="208.83109283447266"/>
    <x v="528"/>
    <n v="0"/>
    <s v="JPMorgan Chase &amp; Co."/>
    <s v="Financials"/>
  </r>
  <r>
    <x v="87"/>
    <n v="214.82508850097656"/>
    <n v="215.28094678500293"/>
    <n v="213.3799191750596"/>
    <n v="213.40901525279463"/>
    <n v="8398700"/>
    <x v="1"/>
    <n v="0.77805556187862113"/>
    <n v="107.37557327558956"/>
    <n v="208.90199096679689"/>
    <x v="529"/>
    <n v="0"/>
    <s v="JPMorgan Chase &amp; Co."/>
    <s v="Financials"/>
  </r>
  <r>
    <x v="88"/>
    <n v="239.62565612792969"/>
    <n v="240.53737273122323"/>
    <n v="227.70548396691856"/>
    <n v="227.92855883805424"/>
    <n v="23987800"/>
    <x v="1"/>
    <n v="11.544539699719646"/>
    <n v="119.77158896019155"/>
    <n v="209.44942810058595"/>
    <x v="530"/>
    <n v="1"/>
    <s v="JPMorgan Chase &amp; Co."/>
    <s v="Financials"/>
  </r>
  <r>
    <x v="89"/>
    <n v="229.26702880859369"/>
    <n v="237.21058362240817"/>
    <n v="228.14193113736411"/>
    <n v="237.14268290793603"/>
    <n v="16451100"/>
    <x v="1"/>
    <n v="-4.3228373316611002"/>
    <n v="114.59405799989672"/>
    <n v="209.76829193115233"/>
    <x v="531"/>
    <n v="0"/>
    <s v="JPMorgan Chase &amp; Co."/>
    <s v="Financials"/>
  </r>
  <r>
    <x v="90"/>
    <n v="229.84898376464844"/>
    <n v="232.13796912945921"/>
    <n v="228.6850961621216"/>
    <n v="232.13796912945921"/>
    <n v="9502100"/>
    <x v="1"/>
    <n v="0.25383281629238752"/>
    <n v="114.88493532462161"/>
    <n v="210.08105712890625"/>
    <x v="532"/>
    <n v="0"/>
    <s v="JPMorgan Chase &amp; Co."/>
    <s v="Financials"/>
  </r>
  <r>
    <x v="91"/>
    <n v="232.0894775390625"/>
    <n v="234.8149337844668"/>
    <n v="231.8082104900559"/>
    <n v="232.7781193205582"/>
    <n v="9017100"/>
    <x v="1"/>
    <n v="0.97476775303395602"/>
    <n v="116.00479662725994"/>
    <n v="210.38869628906249"/>
    <x v="533"/>
    <n v="0"/>
    <s v="JPMorgan Chase &amp; Co."/>
    <s v="Financials"/>
  </r>
  <r>
    <x v="92"/>
    <n v="232.35133361816409"/>
    <n v="234.194169089919"/>
    <n v="231.57540367214264"/>
    <n v="233.31154859132425"/>
    <n v="6861000"/>
    <x v="1"/>
    <n v="0.11282548518707358"/>
    <n v="116.13567960189492"/>
    <n v="210.7883331298828"/>
    <x v="534"/>
    <n v="0"/>
    <s v="JPMorgan Chase &amp; Co."/>
    <s v="Financials"/>
  </r>
  <r>
    <x v="93"/>
    <n v="233.90318298339844"/>
    <n v="236.74500833825084"/>
    <n v="233.07875467792289"/>
    <n v="233.34063416784119"/>
    <n v="11472600"/>
    <x v="1"/>
    <n v="0.66788915779780744"/>
    <n v="116.9113372142908"/>
    <n v="211.23770874023438"/>
    <x v="535"/>
    <n v="0"/>
    <s v="JPMorgan Chase &amp; Co."/>
    <s v="Financials"/>
  </r>
  <r>
    <x v="94"/>
    <n v="234.59181213378903"/>
    <n v="236.93898940783777"/>
    <n v="233.79649469695167"/>
    <n v="235.12526487780747"/>
    <n v="10172200"/>
    <x v="1"/>
    <n v="0.29440777231299897"/>
    <n v="117.2555332777647"/>
    <n v="211.73363281249999"/>
    <x v="536"/>
    <n v="0"/>
    <s v="JPMorgan Chase &amp; Co."/>
    <s v="Financials"/>
  </r>
  <r>
    <x v="95"/>
    <n v="237.9283142089844"/>
    <n v="239.00491351851235"/>
    <n v="234.194174383774"/>
    <n v="234.194174383774"/>
    <n v="11518800"/>
    <x v="1"/>
    <n v="1.4222585370083252"/>
    <n v="118.92321010992235"/>
    <n v="212.39596466064452"/>
    <x v="537"/>
    <n v="0"/>
    <s v="JPMorgan Chase &amp; Co."/>
    <s v="Financials"/>
  </r>
  <r>
    <x v="96"/>
    <n v="237.65673828125"/>
    <n v="240.46946771808439"/>
    <n v="235.37744681373624"/>
    <n v="240.30458500761367"/>
    <n v="9051400"/>
    <x v="1"/>
    <n v="-0.11414191229710546"/>
    <n v="118.78746888373779"/>
    <n v="212.9689971923828"/>
    <x v="538"/>
    <n v="0"/>
    <s v="JPMorgan Chase &amp; Co."/>
    <s v="Financials"/>
  </r>
  <r>
    <x v="97"/>
    <n v="235.77511596679688"/>
    <n v="237.77312563640768"/>
    <n v="234.28146299425185"/>
    <n v="234.96039616359047"/>
    <n v="6792700"/>
    <x v="1"/>
    <n v="-0.79173951812229193"/>
    <n v="117.84698155000801"/>
    <n v="213.72129730224611"/>
    <x v="539"/>
    <n v="0"/>
    <s v="JPMorgan Chase &amp; Co."/>
    <s v="Financials"/>
  </r>
  <r>
    <x v="98"/>
    <n v="233.53462219238281"/>
    <n v="237.24937439416908"/>
    <n v="231.45901810779449"/>
    <n v="237.0456870495828"/>
    <n v="9015300"/>
    <x v="1"/>
    <n v="-0.95026727703086955"/>
    <n v="116.72712024736968"/>
    <n v="214.39658996582031"/>
    <x v="540"/>
    <n v="0"/>
    <s v="JPMorgan Chase &amp; Co."/>
    <s v="Financials"/>
  </r>
  <r>
    <x v="99"/>
    <n v="233.53462219238281"/>
    <n v="238.10289570204409"/>
    <n v="234.8245995104416"/>
    <n v="235.91089253503449"/>
    <n v="8783500"/>
    <x v="1"/>
    <n v="0"/>
    <n v="116.72712024736968"/>
    <n v="215.08402954101564"/>
    <x v="541"/>
    <n v="0"/>
    <s v="JPMorgan Chase &amp; Co."/>
    <s v="Financials"/>
  </r>
  <r>
    <x v="100"/>
    <n v="241.07081604003903"/>
    <n v="241.65275239400751"/>
    <n v="235.71691574566023"/>
    <n v="236.27946458090591"/>
    <n v="7997300"/>
    <x v="1"/>
    <n v="3.2270135266915689"/>
    <n v="120.49392020706982"/>
    <n v="215.96615112304687"/>
    <x v="542"/>
    <n v="0"/>
    <s v="JPMorgan Chase &amp; Co."/>
    <s v="Financials"/>
  </r>
  <r>
    <x v="101"/>
    <n v="242.75845336914065"/>
    <n v="246.65749066946253"/>
    <n v="241.56546975622129"/>
    <n v="242.07952020730173"/>
    <n v="10295400"/>
    <x v="1"/>
    <n v="0.7000587449047746"/>
    <n v="121.33744843255801"/>
    <n v="216.81377380371094"/>
    <x v="543"/>
    <n v="0"/>
    <s v="JPMorgan Chase &amp; Co."/>
    <s v="Financials"/>
  </r>
  <r>
    <x v="102"/>
    <n v="242.44805908203125"/>
    <n v="243.44706377730628"/>
    <n v="240.86710329452777"/>
    <n v="242.95241570865383"/>
    <n v="6212100"/>
    <x v="1"/>
    <n v="-0.12786137117022367"/>
    <n v="121.18230470724917"/>
    <n v="217.62838989257813"/>
    <x v="544"/>
    <n v="0"/>
    <s v="JPMorgan Chase &amp; Co."/>
    <s v="Financials"/>
  </r>
  <r>
    <x v="103"/>
    <n v="242.27349853515625"/>
    <n v="243.6313796558816"/>
    <n v="241.28420227248881"/>
    <n v="241.84675111969361"/>
    <n v="5472300"/>
    <x v="1"/>
    <n v="-7.1999152121871024E-2"/>
    <n v="121.09505447533822"/>
    <n v="218.47267608642579"/>
    <x v="545"/>
    <n v="0"/>
    <s v="JPMorgan Chase &amp; Co."/>
    <s v="Financials"/>
  </r>
  <r>
    <x v="104"/>
    <n v="242.20562744140625"/>
    <n v="244.19394344725544"/>
    <n v="241.94374792072875"/>
    <n v="242.34141408182529"/>
    <n v="5494800"/>
    <x v="1"/>
    <n v="-2.8014245949459227E-2"/>
    <n v="121.06113060894485"/>
    <n v="219.2587286376953"/>
    <x v="546"/>
    <n v="0"/>
    <s v="JPMorgan Chase &amp; Co."/>
    <s v="Financials"/>
  </r>
  <r>
    <x v="105"/>
    <n v="238.84002685546875"/>
    <n v="242.7196618094662"/>
    <n v="237.65673701052887"/>
    <n v="242.04072865244319"/>
    <n v="8899700"/>
    <x v="1"/>
    <n v="-1.3895633315752276"/>
    <n v="119.37890952921255"/>
    <n v="219.96570831298828"/>
    <x v="547"/>
    <n v="0"/>
    <s v="JPMorgan Chase &amp; Co."/>
    <s v="Financials"/>
  </r>
  <r>
    <x v="106"/>
    <n v="237.45307922363281"/>
    <n v="241.54608073886425"/>
    <n v="237.26879418392127"/>
    <n v="240.76045697978563"/>
    <n v="6657700"/>
    <x v="1"/>
    <n v="-0.58070150556264188"/>
    <n v="118.68567440425215"/>
    <n v="220.63820129394531"/>
    <x v="548"/>
    <n v="0"/>
    <s v="JPMorgan Chase &amp; Co."/>
    <s v="Financials"/>
  </r>
  <r>
    <x v="107"/>
    <n v="236.07579040527344"/>
    <n v="237.96712436015684"/>
    <n v="234.94099891212343"/>
    <n v="237.33667477531787"/>
    <n v="7346300"/>
    <x v="1"/>
    <n v="-0.58002567196117072"/>
    <n v="117.99726702376725"/>
    <n v="221.28025634765626"/>
    <x v="549"/>
    <n v="0"/>
    <s v="JPMorgan Chase &amp; Co."/>
    <s v="Financials"/>
  </r>
  <r>
    <x v="108"/>
    <n v="238.09320068359369"/>
    <n v="239.74204263244479"/>
    <n v="237.25907854952089"/>
    <n v="238.00591244621759"/>
    <n v="6572500"/>
    <x v="1"/>
    <n v="0.85456042521638853"/>
    <n v="119.00562497058927"/>
    <n v="221.98965148925782"/>
    <x v="550"/>
    <n v="0"/>
    <s v="JPMorgan Chase &amp; Co."/>
    <s v="Financials"/>
  </r>
  <r>
    <x v="109"/>
    <n v="239.9166259765625"/>
    <n v="240.28519603281265"/>
    <n v="237.47245181338519"/>
    <n v="238.30657391988672"/>
    <n v="5519700"/>
    <x v="1"/>
    <n v="0.76584517648279338"/>
    <n v="119.91702380916973"/>
    <n v="222.74342010498046"/>
    <x v="551"/>
    <n v="0"/>
    <s v="JPMorgan Chase &amp; Co."/>
    <s v="Financials"/>
  </r>
  <r>
    <x v="110"/>
    <n v="236.47344970703125"/>
    <n v="240.4112768597183"/>
    <n v="236.4249513096585"/>
    <n v="239.69355385728025"/>
    <n v="7076500"/>
    <x v="1"/>
    <n v="-1.4351553401170336"/>
    <n v="118.19602823826301"/>
    <n v="223.41444366455079"/>
    <x v="552"/>
    <n v="0"/>
    <s v="JPMorgan Chase &amp; Co."/>
    <s v="Financials"/>
  </r>
  <r>
    <x v="111"/>
    <n v="236.47344970703125"/>
    <n v="240.49858844470623"/>
    <n v="234.93130670009893"/>
    <n v="236.55105259242768"/>
    <n v="9108300"/>
    <x v="1"/>
    <n v="0"/>
    <n v="118.19602823826301"/>
    <n v="224.07852661132813"/>
    <x v="553"/>
    <n v="0"/>
    <s v="JPMorgan Chase &amp; Co."/>
    <s v="Financials"/>
  </r>
  <r>
    <x v="112"/>
    <n v="236.20187377929688"/>
    <n v="236.91961157327901"/>
    <n v="234.89249106315413"/>
    <n v="236.6577320701239"/>
    <n v="7884400"/>
    <x v="1"/>
    <n v="-0.11484415187871244"/>
    <n v="118.06028701207845"/>
    <n v="224.81082794189453"/>
    <x v="554"/>
    <n v="0"/>
    <s v="JPMorgan Chase &amp; Co."/>
    <s v="Financials"/>
  </r>
  <r>
    <x v="113"/>
    <n v="234.26206970214844"/>
    <n v="236.75474240518315"/>
    <n v="233.78680906548141"/>
    <n v="235.68783681251583"/>
    <n v="6113800"/>
    <x v="1"/>
    <n v="-0.82124838643784503"/>
    <n v="117.09071880996787"/>
    <n v="225.49951263427735"/>
    <x v="555"/>
    <n v="0"/>
    <s v="JPMorgan Chase &amp; Co."/>
    <s v="Financials"/>
  </r>
  <r>
    <x v="114"/>
    <n v="232.71990966796875"/>
    <n v="235.41625483014329"/>
    <n v="231.9439797019572"/>
    <n v="234.78582005755251"/>
    <n v="10392700"/>
    <x v="1"/>
    <n v="-0.65830547648642046"/>
    <n v="116.31990419558453"/>
    <n v="226.19707122802734"/>
    <x v="556"/>
    <n v="0"/>
    <s v="JPMorgan Chase &amp; Co."/>
    <s v="Financials"/>
  </r>
  <r>
    <x v="115"/>
    <n v="232.37074279785159"/>
    <n v="233.42793979570948"/>
    <n v="230.37273311760401"/>
    <n v="233.36974763797539"/>
    <n v="9032000"/>
    <x v="1"/>
    <n v="-0.15003738640811948"/>
    <n v="116.14538085145705"/>
    <n v="226.74720336914064"/>
    <x v="557"/>
    <n v="0"/>
    <s v="JPMorgan Chase &amp; Co."/>
    <s v="Financials"/>
  </r>
  <r>
    <x v="116"/>
    <n v="231.18746948242188"/>
    <n v="231.82761286260936"/>
    <n v="229.50953134917376"/>
    <n v="231.46873653149163"/>
    <n v="8083600"/>
    <x v="1"/>
    <n v="-0.50921785642312756"/>
    <n v="115.55394783275077"/>
    <n v="227.27929626464845"/>
    <x v="558"/>
    <n v="0"/>
    <s v="JPMorgan Chase &amp; Co."/>
    <s v="Financials"/>
  </r>
  <r>
    <x v="117"/>
    <n v="223.4378662109375"/>
    <n v="231.87608388142587"/>
    <n v="222.62314644125647"/>
    <n v="231.80818316746959"/>
    <n v="11322400"/>
    <x v="1"/>
    <n v="-3.3520862046866329"/>
    <n v="111.68047988847836"/>
    <n v="227.65988830566405"/>
    <x v="559"/>
    <n v="0"/>
    <s v="JPMorgan Chase &amp; Co."/>
    <s v="Financials"/>
  </r>
  <r>
    <x v="118"/>
    <n v="225.94993591308599"/>
    <n v="229.2476195535192"/>
    <n v="225.28069654614561"/>
    <n v="225.28069654614561"/>
    <n v="11790800"/>
    <x v="1"/>
    <n v="1.1242811009378961"/>
    <n v="112.93608241730129"/>
    <n v="228.03892852783204"/>
    <x v="560"/>
    <n v="0"/>
    <s v="JPMorgan Chase &amp; Co."/>
    <s v="Financials"/>
  </r>
  <r>
    <x v="119"/>
    <n v="230.4503173828125"/>
    <n v="232.01187101122611"/>
    <n v="224.62115651419421"/>
    <n v="224.941228167182"/>
    <n v="32348400"/>
    <x v="1"/>
    <n v="1.9917604541643374"/>
    <n v="115.18549864537152"/>
    <n v="228.51922760009765"/>
    <x v="561"/>
    <n v="1"/>
    <s v="JPMorgan Chase &amp; Co."/>
    <s v="Financials"/>
  </r>
  <r>
    <x v="120"/>
    <n v="231.216552734375"/>
    <n v="231.43962760916577"/>
    <n v="227.81217825530683"/>
    <n v="228.96637206776501"/>
    <n v="8611500"/>
    <x v="1"/>
    <n v="0.33249481287962457"/>
    <n v="115.56848445355692"/>
    <n v="228.83153839111327"/>
    <x v="562"/>
    <n v="0"/>
    <s v="JPMorgan Chase &amp; Co."/>
    <s v="Financials"/>
  </r>
  <r>
    <x v="121"/>
    <n v="235.01860046386719"/>
    <n v="235.19319174479392"/>
    <n v="231.876105403525"/>
    <n v="232.22525836611069"/>
    <n v="3729100"/>
    <x v="1"/>
    <n v="1.6443665838492327"/>
    <n v="117.46885399337221"/>
    <n v="229.23560302734376"/>
    <x v="563"/>
    <n v="0"/>
    <s v="JPMorgan Chase &amp; Co."/>
    <s v="Financials"/>
  </r>
  <r>
    <x v="122"/>
    <n v="235.82362365722656"/>
    <n v="235.94000797666129"/>
    <n v="233.54433207073799"/>
    <n v="234.16507310711287"/>
    <n v="4451800"/>
    <x v="1"/>
    <n v="0.34253594897188933"/>
    <n v="117.87122704714481"/>
    <n v="229.63811553955077"/>
    <x v="564"/>
    <n v="0"/>
    <s v="JPMorgan Chase &amp; Co."/>
    <s v="Financials"/>
  </r>
  <r>
    <x v="123"/>
    <n v="233.91287231445313"/>
    <n v="236.06607074717232"/>
    <n v="232.81687078078448"/>
    <n v="235.4162337138211"/>
    <n v="5730200"/>
    <x v="1"/>
    <n v="-0.81024594276897233"/>
    <n v="116.91618021230332"/>
    <n v="229.97816467285156"/>
    <x v="565"/>
    <n v="0"/>
    <s v="JPMorgan Chase &amp; Co."/>
    <s v="Financials"/>
  </r>
  <r>
    <x v="124"/>
    <n v="232.11857604980469"/>
    <n v="233.59282673786723"/>
    <n v="229.97507113678503"/>
    <n v="231.58512326152979"/>
    <n v="5723800"/>
    <x v="1"/>
    <n v="-0.76707889005626084"/>
    <n v="116.01934087483461"/>
    <n v="230.26719787597656"/>
    <x v="566"/>
    <n v="0"/>
    <s v="JPMorgan Chase &amp; Co."/>
    <s v="Financials"/>
  </r>
  <r>
    <x v="125"/>
    <n v="232.49684143066409"/>
    <n v="234.17477948529643"/>
    <n v="231.83729576086603"/>
    <n v="232.8266068657463"/>
    <n v="4871000"/>
    <x v="1"/>
    <n v="0.16296213224151757"/>
    <n v="116.20840846653677"/>
    <n v="230.54536834716797"/>
    <x v="567"/>
    <n v="0"/>
    <s v="JPMorgan Chase &amp; Co."/>
    <s v="Financials"/>
  </r>
  <r>
    <x v="126"/>
    <n v="232.77810668945313"/>
    <n v="235.95940629690497"/>
    <n v="232.24465390169644"/>
    <n v="233.67042098914001"/>
    <n v="9220900"/>
    <x v="1"/>
    <n v="0.12097594834332703"/>
    <n v="116.34899269073387"/>
    <n v="230.87513763427734"/>
    <x v="568"/>
    <n v="0"/>
    <s v="JPMorgan Chase &amp; Co."/>
    <s v="Financials"/>
  </r>
  <r>
    <x v="127"/>
    <n v="235.95941162109369"/>
    <n v="237.51127162055965"/>
    <n v="233.0302829019279"/>
    <n v="236.55105658093129"/>
    <n v="9491100"/>
    <x v="1"/>
    <n v="1.3666684452781075"/>
    <n v="117.93909766023707"/>
    <n v="231.24680694580078"/>
    <x v="569"/>
    <n v="0"/>
    <s v="JPMorgan Chase &amp; Co."/>
    <s v="Financials"/>
  </r>
  <r>
    <x v="128"/>
    <n v="234.80900573730469"/>
    <n v="239.52760527673689"/>
    <n v="234.54577371258085"/>
    <n v="237.587513105592"/>
    <n v="9917800"/>
    <x v="1"/>
    <n v="-0.48754397033178298"/>
    <n v="117.36409270093087"/>
    <n v="231.59546813964843"/>
    <x v="570"/>
    <n v="0"/>
    <s v="JPMorgan Chase &amp; Co."/>
    <s v="Financials"/>
  </r>
  <r>
    <x v="129"/>
    <n v="237.07080078125"/>
    <n v="239.1083757665875"/>
    <n v="234.85773282590424"/>
    <n v="236.06663646307629"/>
    <n v="8753400"/>
    <x v="1"/>
    <n v="0.96324884850274017"/>
    <n v="118.49460097242826"/>
    <n v="231.97268310546875"/>
    <x v="571"/>
    <n v="0"/>
    <s v="JPMorgan Chase &amp; Co."/>
    <s v="Financials"/>
  </r>
  <r>
    <x v="130"/>
    <n v="237.03181457519531"/>
    <n v="238.12371795861469"/>
    <n v="234.46777551298601"/>
    <n v="236.66134098036321"/>
    <n v="8675300"/>
    <x v="1"/>
    <n v="-1.6444963245665356E-2"/>
    <n v="118.47511457885025"/>
    <n v="232.4009112548828"/>
    <x v="572"/>
    <n v="0"/>
    <s v="JPMorgan Chase &amp; Co."/>
    <s v="Financials"/>
  </r>
  <r>
    <x v="131"/>
    <n v="233.85356140136719"/>
    <n v="237.69474046339533"/>
    <n v="232.75191424539267"/>
    <n v="236.99279835682839"/>
    <n v="10256800"/>
    <x v="1"/>
    <n v="-1.3408550997781155"/>
    <n v="116.88653496305174"/>
    <n v="232.70369445800782"/>
    <x v="573"/>
    <n v="0"/>
    <s v="JPMorgan Chase &amp; Co."/>
    <s v="Financials"/>
  </r>
  <r>
    <x v="132"/>
    <n v="238.084716796875"/>
    <n v="238.40642662630341"/>
    <n v="233.00538778135987"/>
    <n v="233.65858101637204"/>
    <n v="10005300"/>
    <x v="1"/>
    <n v="1.8093183486933562"/>
    <n v="119.00138448729012"/>
    <n v="233.14153564453125"/>
    <x v="574"/>
    <n v="0"/>
    <s v="JPMorgan Chase &amp; Co."/>
    <s v="Financials"/>
  </r>
  <r>
    <x v="133"/>
    <n v="241.26295471191409"/>
    <n v="241.50668420793559"/>
    <n v="236.11538894602401"/>
    <n v="236.57360158863"/>
    <n v="12407400"/>
    <x v="1"/>
    <n v="1.3349189136531825"/>
    <n v="120.5899564763201"/>
    <n v="233.6136505126953"/>
    <x v="575"/>
    <n v="0"/>
    <s v="JPMorgan Chase &amp; Co."/>
    <s v="Financials"/>
  </r>
  <r>
    <x v="134"/>
    <n v="246.02053833007807"/>
    <n v="247.30742222416936"/>
    <n v="237.567987035329"/>
    <n v="244.1194365217934"/>
    <n v="18448500"/>
    <x v="1"/>
    <n v="1.9719494954560712"/>
    <n v="122.96792951462558"/>
    <n v="234.22921813964842"/>
    <x v="576"/>
    <n v="0"/>
    <s v="JPMorgan Chase &amp; Co."/>
    <s v="Financials"/>
  </r>
  <r>
    <x v="135"/>
    <n v="247.89241027832031"/>
    <n v="250.59293737173945"/>
    <n v="246.0010669304408"/>
    <n v="247.62917824638129"/>
    <n v="15292300"/>
    <x v="1"/>
    <n v="0.76086003264117519"/>
    <n v="123.90354334326874"/>
    <n v="234.88222320556642"/>
    <x v="577"/>
    <n v="0"/>
    <s v="JPMorgan Chase &amp; Co."/>
    <s v="Financials"/>
  </r>
  <r>
    <x v="136"/>
    <n v="252.6597595214844"/>
    <n v="254.08313151072235"/>
    <n v="245.81583080464321"/>
    <n v="247.76566685921361"/>
    <n v="17678100"/>
    <x v="1"/>
    <n v="1.9231525635704516"/>
    <n v="126.28639751342942"/>
    <n v="235.67208770751952"/>
    <x v="578"/>
    <n v="0"/>
    <s v="JPMorgan Chase &amp; Co."/>
    <s v="Financials"/>
  </r>
  <r>
    <x v="137"/>
    <n v="256.4326171875"/>
    <n v="257.62201804462183"/>
    <n v="252.99115868525769"/>
    <n v="253.54686894889241"/>
    <n v="13712100"/>
    <x v="1"/>
    <n v="1.4932562562242069"/>
    <n v="128.1721770450589"/>
    <n v="236.50423828125"/>
    <x v="579"/>
    <n v="0"/>
    <s v="JPMorgan Chase &amp; Co."/>
    <s v="Financials"/>
  </r>
  <r>
    <x v="138"/>
    <n v="256.24746704101563"/>
    <n v="256.77393113987694"/>
    <n v="253.72243275979159"/>
    <n v="256.30595974620701"/>
    <n v="9021900"/>
    <x v="1"/>
    <n v="-7.2202260584108835E-2"/>
    <n v="128.07963383579249"/>
    <n v="236.83667449951173"/>
    <x v="580"/>
    <n v="0"/>
    <s v="JPMorgan Chase &amp; Co."/>
    <s v="Financials"/>
  </r>
  <r>
    <x v="139"/>
    <n v="259.27944946289063"/>
    <n v="260.1665986454837"/>
    <n v="257.19311069838079"/>
    <n v="258.05104328370686"/>
    <n v="10749700"/>
    <x v="1"/>
    <n v="1.1832243482780225"/>
    <n v="129.59510324852292"/>
    <n v="237.43692291259765"/>
    <x v="581"/>
    <n v="0"/>
    <s v="JPMorgan Chase &amp; Co."/>
    <s v="Financials"/>
  </r>
  <r>
    <x v="140"/>
    <n v="258.19729614257813"/>
    <n v="260.40062048485652"/>
    <n v="256.4132091788652"/>
    <n v="257.07614632095562"/>
    <n v="7666300"/>
    <x v="1"/>
    <n v="-0.41736949170257942"/>
    <n v="129.05421282482314"/>
    <n v="238.00388916015626"/>
    <x v="582"/>
    <n v="0"/>
    <s v="JPMorgan Chase &amp; Co."/>
    <s v="Financials"/>
  </r>
  <r>
    <x v="141"/>
    <n v="259.18194580078125"/>
    <n v="259.29893119572284"/>
    <n v="255.681993892148"/>
    <n v="257.54409076732867"/>
    <n v="7522300"/>
    <x v="1"/>
    <n v="0.38135552653479898"/>
    <n v="129.54636819765656"/>
    <n v="238.54573852539062"/>
    <x v="583"/>
    <n v="0"/>
    <s v="JPMorgan Chase &amp; Co."/>
    <s v="Financials"/>
  </r>
  <r>
    <x v="142"/>
    <n v="260.43960571289063"/>
    <n v="260.62481275872921"/>
    <n v="258.18751778762919"/>
    <n v="259.18195317720495"/>
    <n v="7375400"/>
    <x v="1"/>
    <n v="0.48524209825790976"/>
    <n v="130.17498171291578"/>
    <n v="239.10750396728517"/>
    <x v="584"/>
    <n v="0"/>
    <s v="JPMorgan Chase &amp; Co."/>
    <s v="Financials"/>
  </r>
  <r>
    <x v="143"/>
    <n v="259.89364624023438"/>
    <n v="263.89081628120829"/>
    <n v="258.94797452140983"/>
    <n v="260.50784938522139"/>
    <n v="7684900"/>
    <x v="1"/>
    <n v="-0.20962997204738709"/>
    <n v="129.90209593513833"/>
    <n v="239.62731323242187"/>
    <x v="585"/>
    <n v="0"/>
    <s v="JPMorgan Chase &amp; Co."/>
    <s v="Financials"/>
  </r>
  <r>
    <x v="144"/>
    <n v="261.50225830078125"/>
    <n v="262.93538890948997"/>
    <n v="259.93262489498824"/>
    <n v="261.89221953909521"/>
    <n v="8753500"/>
    <x v="1"/>
    <n v="0.61895012972341679"/>
    <n v="130.70612512644232"/>
    <n v="240.16552215576172"/>
    <x v="586"/>
    <n v="0"/>
    <s v="JPMorgan Chase &amp; Co."/>
    <s v="Financials"/>
  </r>
  <r>
    <x v="145"/>
    <n v="260.59555053710938"/>
    <n v="264.02728068876934"/>
    <n v="260.26408201148479"/>
    <n v="262.47716475181869"/>
    <n v="7193800"/>
    <x v="1"/>
    <n v="-0.34673037608301538"/>
    <n v="130.25292728722786"/>
    <n v="240.61886688232423"/>
    <x v="587"/>
    <n v="0"/>
    <s v="JPMorgan Chase &amp; Co."/>
    <s v="Financials"/>
  </r>
  <r>
    <x v="146"/>
    <n v="260.11782836914063"/>
    <n v="261.44373211212439"/>
    <n v="255.13601245216159"/>
    <n v="255.26272678047675"/>
    <n v="8381400"/>
    <x v="1"/>
    <n v="-0.18331938783456847"/>
    <n v="130.0141484182883"/>
    <n v="241.06808868408203"/>
    <x v="588"/>
    <n v="0"/>
    <s v="JPMorgan Chase &amp; Co."/>
    <s v="Financials"/>
  </r>
  <r>
    <x v="147"/>
    <n v="261.21954345703125"/>
    <n v="263.07188179280973"/>
    <n v="260.13736895555724"/>
    <n v="263.07188179280973"/>
    <n v="5626000"/>
    <x v="1"/>
    <n v="0.42354462775506807"/>
    <n v="130.56481635923546"/>
    <n v="241.57697723388671"/>
    <x v="589"/>
    <n v="0"/>
    <s v="JPMorgan Chase &amp; Co."/>
    <s v="Financials"/>
  </r>
  <r>
    <x v="148"/>
    <n v="263.64706420898438"/>
    <n v="263.85181840788931"/>
    <n v="261.59973048488587"/>
    <n v="262.16519957881019"/>
    <n v="5704400"/>
    <x v="1"/>
    <n v="0.92930288439634356"/>
    <n v="131.7781589636686"/>
    <n v="242.17922607421875"/>
    <x v="590"/>
    <n v="0"/>
    <s v="JPMorgan Chase &amp; Co."/>
    <s v="Financials"/>
  </r>
  <r>
    <x v="149"/>
    <n v="269.95477294921875"/>
    <n v="270.0327830459936"/>
    <n v="264.38799981532753"/>
    <n v="265.61640594638817"/>
    <n v="7264400"/>
    <x v="1"/>
    <n v="2.3924820703614902"/>
    <n v="134.93092778952683"/>
    <n v="242.90762908935548"/>
    <x v="591"/>
    <n v="0"/>
    <s v="JPMorgan Chase &amp; Co."/>
    <s v="Financials"/>
  </r>
  <r>
    <x v="150"/>
    <n v="268.88235473632813"/>
    <n v="271.56337905921515"/>
    <n v="267.81969775678539"/>
    <n v="270.31548529173858"/>
    <n v="6857900"/>
    <x v="1"/>
    <n v="-0.39725847451208551"/>
    <n v="134.39490324414515"/>
    <n v="243.46385986328124"/>
    <x v="592"/>
    <n v="0"/>
    <s v="JPMorgan Chase &amp; Co."/>
    <s v="Financials"/>
  </r>
  <r>
    <x v="151"/>
    <n v="264.24176025390625"/>
    <n v="269.25282287048054"/>
    <n v="262.8281173750097"/>
    <n v="269.22357652308909"/>
    <n v="8627400"/>
    <x v="1"/>
    <n v="-1.7258828631475431"/>
    <n v="132.07540464011075"/>
    <n v="243.89352600097655"/>
    <x v="593"/>
    <n v="0"/>
    <s v="JPMorgan Chase &amp; Co."/>
    <s v="Financials"/>
  </r>
  <r>
    <x v="152"/>
    <n v="268.09268188476563"/>
    <n v="269.29184169342403"/>
    <n v="262.89638221818285"/>
    <n v="263.4813389480683"/>
    <n v="7196400"/>
    <x v="1"/>
    <n v="1.4573478571892284"/>
    <n v="134.0002027195074"/>
    <n v="244.40641845703124"/>
    <x v="594"/>
    <n v="0"/>
    <s v="JPMorgan Chase &amp; Co."/>
    <s v="Financials"/>
  </r>
  <r>
    <x v="153"/>
    <n v="268.54110717773438"/>
    <n v="269.51602493150779"/>
    <n v="266.39627621858142"/>
    <n v="267.20544486327668"/>
    <n v="6683900"/>
    <x v="1"/>
    <n v="0.16726502559345491"/>
    <n v="134.22433819288145"/>
    <n v="244.93177062988281"/>
    <x v="595"/>
    <n v="0"/>
    <s v="JPMorgan Chase &amp; Co."/>
    <s v="Financials"/>
  </r>
  <r>
    <x v="154"/>
    <n v="269.38931274414063"/>
    <n v="270.02300340866191"/>
    <n v="266.94225937189088"/>
    <n v="268.58987295092561"/>
    <n v="8398700"/>
    <x v="1"/>
    <n v="0.3158568813991236"/>
    <n v="134.64829500157609"/>
    <n v="245.47544433593751"/>
    <x v="596"/>
    <n v="0"/>
    <s v="JPMorgan Chase &amp; Co."/>
    <s v="Financials"/>
  </r>
  <r>
    <x v="155"/>
    <n v="269.65255737304688"/>
    <n v="272.22635509125433"/>
    <n v="269.51608432854903"/>
    <n v="270.41299219849265"/>
    <n v="5688600"/>
    <x v="1"/>
    <n v="9.7719032067278278E-2"/>
    <n v="134.77987201214671"/>
    <n v="246.09169494628907"/>
    <x v="597"/>
    <n v="0"/>
    <s v="JPMorgan Chase &amp; Co."/>
    <s v="Financials"/>
  </r>
  <r>
    <x v="156"/>
    <n v="272.92828369140625"/>
    <n v="272.94777133904427"/>
    <n v="269.09683365296951"/>
    <n v="269.81829314544927"/>
    <n v="7919800"/>
    <x v="1"/>
    <n v="1.2147951980398419"/>
    <n v="136.41717142527449"/>
    <n v="246.80119903564454"/>
    <x v="598"/>
    <n v="0"/>
    <s v="JPMorgan Chase &amp; Co."/>
    <s v="Financials"/>
  </r>
  <r>
    <x v="157"/>
    <n v="272.24581909179688"/>
    <n v="273.22073697574245"/>
    <n v="270.2667369774727"/>
    <n v="271.39764529310548"/>
    <n v="8398700"/>
    <x v="1"/>
    <n v="-0.25005272094885678"/>
    <n v="136.07605657628415"/>
    <n v="247.524599609375"/>
    <x v="599"/>
    <n v="0"/>
    <s v="JPMorgan Chase &amp; Co."/>
    <s v="Financials"/>
  </r>
  <r>
    <x v="158"/>
    <n v="260.10809326171875"/>
    <n v="271.74861579046939"/>
    <n v="259.07468263037401"/>
    <n v="271.69012309451659"/>
    <n v="13846700"/>
    <x v="1"/>
    <n v="-4.4583699652649189"/>
    <n v="130.0092825399702"/>
    <n v="247.96489746093749"/>
    <x v="600"/>
    <n v="0"/>
    <s v="JPMorgan Chase &amp; Co."/>
    <s v="Financials"/>
  </r>
  <r>
    <x v="159"/>
    <n v="257.61233520507813"/>
    <n v="262.44795013948351"/>
    <n v="256.24745588977726"/>
    <n v="261.59001749782652"/>
    <n v="12835600"/>
    <x v="1"/>
    <n v="-0.95950803581087429"/>
    <n v="128.76183302669912"/>
    <n v="248.31881164550782"/>
    <x v="601"/>
    <n v="0"/>
    <s v="JPMorgan Chase &amp; Co."/>
    <s v="Financials"/>
  </r>
  <r>
    <x v="160"/>
    <n v="254.7850341796875"/>
    <n v="260.30307292888529"/>
    <n v="252.12349766706268"/>
    <n v="258.8309374152343"/>
    <n v="10372800"/>
    <x v="1"/>
    <n v="-1.0975021918651073"/>
    <n v="127.34866908694539"/>
    <n v="248.68504333496094"/>
    <x v="602"/>
    <n v="0"/>
    <s v="JPMorgan Chase &amp; Co."/>
    <s v="Financials"/>
  </r>
  <r>
    <x v="161"/>
    <n v="250.94386291503903"/>
    <n v="256.40340913604308"/>
    <n v="246.99545729877843"/>
    <n v="255.6527330596067"/>
    <n v="9608400"/>
    <x v="1"/>
    <n v="-1.5076125946783314"/>
    <n v="125.42874451263539"/>
    <n v="248.9744515991211"/>
    <x v="603"/>
    <n v="0"/>
    <s v="JPMorgan Chase &amp; Co."/>
    <s v="Financials"/>
  </r>
  <r>
    <x v="162"/>
    <n v="252.29902648925781"/>
    <n v="254.36584779830204"/>
    <n v="250.48566361764875"/>
    <n v="250.70990545858649"/>
    <n v="5943600"/>
    <x v="1"/>
    <n v="0.54002658541907334"/>
    <n v="126.10609307876098"/>
    <n v="249.29639465332031"/>
    <x v="604"/>
    <n v="0"/>
    <s v="JPMorgan Chase &amp; Co."/>
    <s v="Financials"/>
  </r>
  <r>
    <x v="163"/>
    <n v="252.55245971679688"/>
    <n v="257.02735887580104"/>
    <n v="251.39230508329683"/>
    <n v="253.65412165887105"/>
    <n v="8204400"/>
    <x v="1"/>
    <n v="0.10044954634411685"/>
    <n v="126.23276607717087"/>
    <n v="249.66220245361328"/>
    <x v="605"/>
    <n v="0"/>
    <s v="JPMorgan Chase &amp; Co."/>
    <s v="Financials"/>
  </r>
  <r>
    <x v="164"/>
    <n v="258.01202392578125"/>
    <n v="258.16801436465698"/>
    <n v="251.42159895805173"/>
    <n v="254.19036230579465"/>
    <n v="10467100"/>
    <x v="1"/>
    <n v="2.1617545182915698"/>
    <n v="128.96160860140856"/>
    <n v="250.16804473876954"/>
    <x v="606"/>
    <n v="0"/>
    <s v="JPMorgan Chase &amp; Co."/>
    <s v="Financials"/>
  </r>
  <r>
    <x v="165"/>
    <n v="254.08314514160159"/>
    <n v="259.64019009610251"/>
    <n v="251.35338641961368"/>
    <n v="257.37837301094754"/>
    <n v="9058300"/>
    <x v="1"/>
    <n v="-1.5227502673711979"/>
    <n v="126.9978453616244"/>
    <n v="250.60229278564452"/>
    <x v="607"/>
    <n v="0"/>
    <s v="JPMorgan Chase &amp; Co."/>
    <s v="Financials"/>
  </r>
  <r>
    <x v="166"/>
    <n v="243.97322082519531"/>
    <n v="250.7781589340054"/>
    <n v="239.7810705990394"/>
    <n v="248.87705700074719"/>
    <n v="13465600"/>
    <x v="1"/>
    <n v="-3.9789826715077803"/>
    <n v="121.94462310149711"/>
    <n v="250.85800781250001"/>
    <x v="608"/>
    <n v="0"/>
    <s v="JPMorgan Chase &amp; Co."/>
    <s v="Financials"/>
  </r>
  <r>
    <x v="167"/>
    <n v="245.22111511230469"/>
    <n v="246.70299458782361"/>
    <n v="241.61392160869329"/>
    <n v="244.94813927156011"/>
    <n v="7861400"/>
    <x v="1"/>
    <n v="0.51148822107958125"/>
    <n v="122.56835548490119"/>
    <n v="251.29367279052735"/>
    <x v="609"/>
    <n v="0"/>
    <s v="JPMorgan Chase &amp; Co."/>
    <s v="Financials"/>
  </r>
  <r>
    <x v="168"/>
    <n v="240.35629272460929"/>
    <n v="243.1055688029891"/>
    <n v="237.7337756308404"/>
    <n v="241.88692122414761"/>
    <n v="9983200"/>
    <x v="1"/>
    <n v="-1.9838513439054517"/>
    <n v="120.13678151741117"/>
    <n v="251.58179992675781"/>
    <x v="610"/>
    <n v="0"/>
    <s v="JPMorgan Chase &amp; Co."/>
    <s v="Financials"/>
  </r>
  <r>
    <x v="169"/>
    <n v="236.20310974121091"/>
    <n v="240.53174763621959"/>
    <n v="233.414843927151"/>
    <n v="239.07911459680213"/>
    <n v="20498700"/>
    <x v="1"/>
    <n v="-1.7279277094512935"/>
    <n v="118.06090478032887"/>
    <n v="251.69685577392579"/>
    <x v="611"/>
    <n v="1"/>
    <s v="JPMorgan Chase &amp; Co."/>
    <s v="Financials"/>
  </r>
  <r>
    <x v="170"/>
    <n v="226.39546203613281"/>
    <n v="231.55277177640727"/>
    <n v="222.96374646708685"/>
    <n v="230.28539026110545"/>
    <n v="18887200"/>
    <x v="1"/>
    <n v="-4.1522093912411018"/>
    <n v="113.15876880465584"/>
    <n v="251.60043395996092"/>
    <x v="612"/>
    <n v="1"/>
    <s v="JPMorgan Chase &amp; Co."/>
    <s v="Financials"/>
  </r>
  <r>
    <x v="171"/>
    <n v="223.3927001953125"/>
    <n v="227.46786499337821"/>
    <n v="221.00415417455685"/>
    <n v="225.9372366595305"/>
    <n v="18143000"/>
    <x v="1"/>
    <n v="-1.3263348186462687"/>
    <n v="111.65790465364825"/>
    <n v="251.36791595458985"/>
    <x v="613"/>
    <n v="0"/>
    <s v="JPMorgan Chase &amp; Co."/>
    <s v="Financials"/>
  </r>
  <r>
    <x v="172"/>
    <n v="222.18380737304688"/>
    <n v="228.44279405563543"/>
    <n v="221.55986044493463"/>
    <n v="228.1308131535452"/>
    <n v="16054000"/>
    <x v="1"/>
    <n v="-0.54115144371713608"/>
    <n v="111.05366629059073"/>
    <n v="251.09511962890625"/>
    <x v="614"/>
    <n v="0"/>
    <s v="JPMorgan Chase &amp; Co."/>
    <s v="Financials"/>
  </r>
  <r>
    <x v="173"/>
    <n v="219.54177856445313"/>
    <n v="223.74367260665568"/>
    <n v="218.6058507740928"/>
    <n v="223.54869198918365"/>
    <n v="16467900"/>
    <x v="1"/>
    <n v="-1.1891185230063939"/>
    <n v="109.73310657425159"/>
    <n v="250.80769775390624"/>
    <x v="615"/>
    <n v="0"/>
    <s v="JPMorgan Chase &amp; Co."/>
    <s v="Financials"/>
  </r>
  <r>
    <x v="174"/>
    <n v="226.60992431640625"/>
    <n v="227.29236388703421"/>
    <n v="221.87182261737931"/>
    <n v="222.39827175013039"/>
    <n v="11962100"/>
    <x v="1"/>
    <n v="3.2194991760431835"/>
    <n v="113.26596303625622"/>
    <n v="250.69752471923829"/>
    <x v="616"/>
    <n v="0"/>
    <s v="JPMorgan Chase &amp; Co."/>
    <s v="Financials"/>
  </r>
  <r>
    <x v="175"/>
    <n v="228.06256103515625"/>
    <n v="229.75892371378129"/>
    <n v="224.67960925467645"/>
    <n v="225.38153653003468"/>
    <n v="9586000"/>
    <x v="1"/>
    <n v="0.64102961206664588"/>
    <n v="113.9920313997111"/>
    <n v="250.60883911132814"/>
    <x v="617"/>
    <n v="0"/>
    <s v="JPMorgan Chase &amp; Co."/>
    <s v="Financials"/>
  </r>
  <r>
    <x v="176"/>
    <n v="229.07646179199219"/>
    <n v="230.24636030514881"/>
    <n v="227.66283380209185"/>
    <n v="228.44277110288519"/>
    <n v="10344900"/>
    <x v="1"/>
    <n v="0.44457132825042045"/>
    <n v="114.49880728780444"/>
    <n v="250.53480621337891"/>
    <x v="618"/>
    <n v="0"/>
    <s v="JPMorgan Chase &amp; Co."/>
    <s v="Financials"/>
  </r>
  <r>
    <x v="177"/>
    <n v="233.11262512207031"/>
    <n v="236.2518620236568"/>
    <n v="228.99847029765743"/>
    <n v="229.82715648248669"/>
    <n v="10120600"/>
    <x v="1"/>
    <n v="1.761928440183036"/>
    <n v="116.51619433707863"/>
    <n v="250.47787048339845"/>
    <x v="619"/>
    <n v="0"/>
    <s v="JPMorgan Chase &amp; Co."/>
    <s v="Financials"/>
  </r>
  <r>
    <x v="178"/>
    <n v="233.01512145996091"/>
    <n v="235.69614567962623"/>
    <n v="230.27560454658268"/>
    <n v="230.626575584927"/>
    <n v="8328500"/>
    <x v="1"/>
    <n v="-4.182684745553944E-2"/>
    <n v="116.46745928621228"/>
    <n v="250.44199279785155"/>
    <x v="620"/>
    <n v="0"/>
    <s v="JPMorgan Chase &amp; Co."/>
    <s v="Financials"/>
  </r>
  <r>
    <x v="179"/>
    <n v="235.5694274902344"/>
    <n v="236.22262072736771"/>
    <n v="230.5680936788464"/>
    <n v="231.8452338048883"/>
    <n v="19326900"/>
    <x v="1"/>
    <n v="1.0961975404297553"/>
    <n v="117.74417271030875"/>
    <n v="250.41196533203126"/>
    <x v="621"/>
    <n v="0"/>
    <s v="JPMorgan Chase &amp; Co."/>
    <s v="Financials"/>
  </r>
  <r>
    <x v="180"/>
    <n v="241.83816528320313"/>
    <n v="242.4523684053444"/>
    <n v="238.27972040733329"/>
    <n v="239.3228749688017"/>
    <n v="9422700"/>
    <x v="1"/>
    <n v="2.6610998972812716"/>
    <n v="120.87746276935746"/>
    <n v="250.5080923461914"/>
    <x v="622"/>
    <n v="0"/>
    <s v="JPMorgan Chase &amp; Co."/>
    <s v="Financials"/>
  </r>
  <r>
    <x v="181"/>
    <n v="244.8311462402344"/>
    <n v="245.50384199682816"/>
    <n v="241.40917476122533"/>
    <n v="243.0567884546642"/>
    <n v="9287700"/>
    <x v="1"/>
    <n v="1.2375966190143695"/>
    <n v="122.37343816174138"/>
    <n v="250.72764404296876"/>
    <x v="623"/>
    <n v="0"/>
    <s v="JPMorgan Chase &amp; Co."/>
    <s v="Financials"/>
  </r>
  <r>
    <x v="182"/>
    <n v="244.73367309570313"/>
    <n v="248.28237414747659"/>
    <n v="243.51502555215359"/>
    <n v="246.26430155091427"/>
    <n v="12779300"/>
    <x v="1"/>
    <n v="-3.9812395615557161E-2"/>
    <n v="122.32471836441205"/>
    <n v="250.86062316894532"/>
    <x v="624"/>
    <n v="0"/>
    <s v="JPMorgan Chase &amp; Co."/>
    <s v="Financials"/>
  </r>
  <r>
    <x v="183"/>
    <n v="241.89663696289065"/>
    <n v="244.35343436187699"/>
    <n v="240.9802117098364"/>
    <n v="243.271274842472"/>
    <n v="8022500"/>
    <x v="1"/>
    <n v="-1.159234075526272"/>
    <n v="120.90668854634023"/>
    <n v="250.87329681396486"/>
    <x v="625"/>
    <n v="0"/>
    <s v="JPMorgan Chase &amp; Co."/>
    <s v="Financials"/>
  </r>
  <r>
    <x v="184"/>
    <n v="236.75883483886719"/>
    <n v="243.25177720979863"/>
    <n v="235.06247221658609"/>
    <n v="240.7462457637879"/>
    <n v="11978400"/>
    <x v="1"/>
    <n v="-2.1239659172325176"/>
    <n v="118.3386716899615"/>
    <n v="250.68806274414064"/>
    <x v="626"/>
    <n v="0"/>
    <s v="JPMorgan Chase &amp; Co."/>
    <s v="Financials"/>
  </r>
  <r>
    <x v="185"/>
    <n v="239.14738464355469"/>
    <n v="239.6933363348648"/>
    <n v="231.40653346417213"/>
    <n v="233.4051183081998"/>
    <n v="13603000"/>
    <x v="1"/>
    <n v="1.0088535054301628"/>
    <n v="119.53253552758515"/>
    <n v="250.51316223144531"/>
    <x v="627"/>
    <n v="0"/>
    <s v="JPMorgan Chase &amp; Co."/>
    <s v="Financials"/>
  </r>
  <r>
    <x v="186"/>
    <n v="237.54852294921875"/>
    <n v="239.52760529495905"/>
    <n v="234.8382521050207"/>
    <n v="236.53459990075919"/>
    <n v="8054700"/>
    <x v="1"/>
    <n v="-0.66856750146735422"/>
    <n v="118.73337984136781"/>
    <n v="250.2109375"/>
    <x v="628"/>
    <n v="0"/>
    <s v="JPMorgan Chase &amp; Co."/>
    <s v="Financials"/>
  </r>
  <r>
    <x v="187"/>
    <n v="239.65434265136719"/>
    <n v="241.04846820868451"/>
    <n v="235.40369970489931"/>
    <n v="235.54018762572809"/>
    <n v="7758800"/>
    <x v="1"/>
    <n v="0.88647981305216561"/>
    <n v="119.78592728501609"/>
    <n v="249.87537200927736"/>
    <x v="629"/>
    <n v="0"/>
    <s v="JPMorgan Chase &amp; Co."/>
    <s v="Financials"/>
  </r>
  <r>
    <x v="188"/>
    <n v="222.9539794921875"/>
    <n v="229.24219704420537"/>
    <n v="221.59884419066404"/>
    <n v="228.39402322180391"/>
    <n v="17188500"/>
    <x v="1"/>
    <n v="-6.9685209850230967"/>
    <n v="111.43861980505523"/>
    <n v="249.20950225830077"/>
    <x v="630"/>
    <n v="0"/>
    <s v="JPMorgan Chase &amp; Co."/>
    <s v="Financials"/>
  </r>
  <r>
    <x v="189"/>
    <n v="206.26849365234369"/>
    <n v="213.54694074239663"/>
    <n v="204.94424157411399"/>
    <n v="211.20253529825251"/>
    <n v="27170700"/>
    <x v="1"/>
    <n v="-7.4838250825787433"/>
    <n v="103.09874842440495"/>
    <n v="248.14928314208984"/>
    <x v="631"/>
    <n v="1"/>
    <s v="JPMorgan Chase &amp; Co."/>
    <s v="Financials"/>
  </r>
  <r>
    <x v="190"/>
    <n v="210.34912109375"/>
    <n v="217.81394538812447"/>
    <n v="198.30338839066803"/>
    <n v="201.84452086077627"/>
    <n v="22914400"/>
    <x v="1"/>
    <n v="1.9783086447918707"/>
    <n v="105.13835987715719"/>
    <n v="247.19231964111327"/>
    <x v="632"/>
    <n v="0"/>
    <s v="JPMorgan Chase &amp; Co."/>
    <s v="Financials"/>
  </r>
  <r>
    <x v="191"/>
    <n v="212.73275756835929"/>
    <n v="223.49348363812959"/>
    <n v="209.18182124244129"/>
    <n v="219.25590423367711"/>
    <n v="19485700"/>
    <x v="1"/>
    <n v="1.13318109541658"/>
    <n v="106.32976789531617"/>
    <n v="246.26333587646485"/>
    <x v="633"/>
    <n v="0"/>
    <s v="JPMorgan Chase &amp; Co."/>
    <s v="Financials"/>
  </r>
  <r>
    <x v="192"/>
    <n v="229.86949157714844"/>
    <n v="232.9495891897229"/>
    <n v="206.97475241419519"/>
    <n v="208.4461369100307"/>
    <n v="24022400"/>
    <x v="1"/>
    <n v="8.0555219631760053"/>
    <n v="114.89518570151742"/>
    <n v="245.65193359374999"/>
    <x v="634"/>
    <n v="0"/>
    <s v="JPMorgan Chase &amp; Co."/>
    <s v="Financials"/>
  </r>
  <r>
    <x v="193"/>
    <n v="222.77742004394531"/>
    <n v="225.9556159083084"/>
    <n v="215.90115529753081"/>
    <n v="225.6122868759835"/>
    <n v="18896400"/>
    <x v="1"/>
    <n v="-3.0852600249576367"/>
    <n v="111.35037046646768"/>
    <n v="244.90960906982423"/>
    <x v="635"/>
    <n v="0"/>
    <s v="JPMorgan Chase &amp; Co."/>
    <s v="Financials"/>
  </r>
  <r>
    <x v="194"/>
    <n v="231.69400024414065"/>
    <n v="234.02860167946685"/>
    <n v="220.70766608161719"/>
    <n v="221.99267276486097"/>
    <n v="20284500"/>
    <x v="1"/>
    <n v="4.0024613798097075"/>
    <n v="115.80712604066305"/>
    <n v="244.3134439086914"/>
    <x v="636"/>
    <n v="0"/>
    <s v="JPMorgan Chase &amp; Co."/>
    <s v="Financials"/>
  </r>
  <r>
    <x v="195"/>
    <n v="230.24224853515625"/>
    <n v="235.20571653709089"/>
    <n v="229.17304605379189"/>
    <n v="232.57685007270544"/>
    <n v="13017800"/>
    <x v="1"/>
    <n v="-0.62658148569003647"/>
    <n v="115.08150002978255"/>
    <n v="243.70637786865234"/>
    <x v="637"/>
    <n v="0"/>
    <s v="JPMorgan Chase &amp; Co."/>
    <s v="Financials"/>
  </r>
  <r>
    <x v="196"/>
    <n v="228.68260192871091"/>
    <n v="234.09728654169723"/>
    <n v="228.37851816940929"/>
    <n v="231.59594466733969"/>
    <n v="10912900"/>
    <x v="1"/>
    <n v="-0.67739375217541475"/>
    <n v="114.30194513867104"/>
    <n v="243.07767333984376"/>
    <x v="638"/>
    <n v="0"/>
    <s v="JPMorgan Chase &amp; Co."/>
    <s v="Financials"/>
  </r>
  <r>
    <x v="197"/>
    <n v="225.229736328125"/>
    <n v="229.12400193408479"/>
    <n v="223.58177786322105"/>
    <n v="227.57414175874209"/>
    <n v="9322300"/>
    <x v="1"/>
    <n v="-1.5098943126693576"/>
    <n v="112.57610656975181"/>
    <n v="242.35787719726562"/>
    <x v="639"/>
    <n v="0"/>
    <s v="JPMorgan Chase &amp; Co."/>
    <s v="Financials"/>
  </r>
  <r>
    <x v="198"/>
    <n v="227.534912109375"/>
    <n v="229.86949873745439"/>
    <n v="226.15180704795927"/>
    <n v="226.39703780490407"/>
    <n v="9557900"/>
    <x v="1"/>
    <n v="1.0234775473393576"/>
    <n v="113.72829774416205"/>
    <n v="241.63563415527344"/>
    <x v="640"/>
    <n v="0"/>
    <s v="JPMorgan Chase &amp; Co."/>
    <s v="Financials"/>
  </r>
  <r>
    <x v="199"/>
    <n v="224.62156677246091"/>
    <n v="227.38776189376563"/>
    <n v="222.02211180001825"/>
    <n v="226.23027991963681"/>
    <n v="8716200"/>
    <x v="1"/>
    <n v="-1.2803948677175603"/>
    <n v="112.27212645670326"/>
    <n v="240.72897003173827"/>
    <x v="641"/>
    <n v="0"/>
    <s v="JPMorgan Chase &amp; Co."/>
    <s v="Financials"/>
  </r>
  <r>
    <x v="200"/>
    <n v="231.09564208984369"/>
    <n v="231.48802026386079"/>
    <n v="226.95614590207009"/>
    <n v="227.55450952071121"/>
    <n v="10701400"/>
    <x v="1"/>
    <n v="2.8822144776244674"/>
    <n v="115.50804993977522"/>
    <n v="239.9732357788086"/>
    <x v="642"/>
    <n v="0"/>
    <s v="JPMorgan Chase &amp; Co."/>
    <s v="Financials"/>
  </r>
  <r>
    <x v="201"/>
    <n v="236.28472900390625"/>
    <n v="242.08197236154456"/>
    <n v="235.42151200356361"/>
    <n v="235.63731625364929"/>
    <n v="8398700"/>
    <x v="1"/>
    <n v="2.2454282855083774"/>
    <n v="118.10170036516207"/>
    <n v="239.4140951538086"/>
    <x v="643"/>
    <n v="0"/>
    <s v="JPMorgan Chase &amp; Co."/>
    <s v="Financials"/>
  </r>
  <r>
    <x v="202"/>
    <n v="239.97300720214844"/>
    <n v="240.78717510551016"/>
    <n v="233.04769307035289"/>
    <n v="235.16649038746075"/>
    <n v="9055200"/>
    <x v="1"/>
    <n v="1.5609464961153785"/>
    <n v="119.94520471886474"/>
    <n v="238.85170166015624"/>
    <x v="644"/>
    <n v="0"/>
    <s v="JPMorgan Chase &amp; Co."/>
    <s v="Financials"/>
  </r>
  <r>
    <x v="203"/>
    <n v="238.90380859375"/>
    <n v="240.9343114966176"/>
    <n v="237.13814413406232"/>
    <n v="239.98281495355519"/>
    <n v="8588600"/>
    <x v="1"/>
    <n v="-0.44554953111779483"/>
    <n v="119.41078942164157"/>
    <n v="238.25895568847656"/>
    <x v="645"/>
    <n v="0"/>
    <s v="JPMorgan Chase &amp; Co."/>
    <s v="Financials"/>
  </r>
  <r>
    <x v="204"/>
    <n v="238.58009338378903"/>
    <n v="242.13102985600685"/>
    <n v="236.24549185288936"/>
    <n v="239.894526612238"/>
    <n v="7394300"/>
    <x v="1"/>
    <n v="-0.13550022993205069"/>
    <n v="119.24898752741156"/>
    <n v="237.64277130126953"/>
    <x v="646"/>
    <n v="0"/>
    <s v="JPMorgan Chase &amp; Co."/>
    <s v="Financials"/>
  </r>
  <r>
    <x v="205"/>
    <n v="239.953369140625"/>
    <n v="240.57135539368451"/>
    <n v="237.07927205884616"/>
    <n v="237.56973353773239"/>
    <n v="7216800"/>
    <x v="1"/>
    <n v="0.5756036630545136"/>
    <n v="119.93538906777476"/>
    <n v="237.04878753662109"/>
    <x v="647"/>
    <n v="0"/>
    <s v="JPMorgan Chase &amp; Co."/>
    <s v="Financials"/>
  </r>
  <r>
    <x v="206"/>
    <n v="239.953369140625"/>
    <n v="240.54192890236703"/>
    <n v="233.88145363718232"/>
    <n v="236.6084332300704"/>
    <n v="12991700"/>
    <x v="1"/>
    <n v="0"/>
    <n v="119.93538906777476"/>
    <n v="236.38928924560548"/>
    <x v="648"/>
    <n v="0"/>
    <s v="JPMorgan Chase &amp; Co."/>
    <s v="Financials"/>
  </r>
  <r>
    <x v="207"/>
    <n v="242.1800842285156"/>
    <n v="243.71032174753421"/>
    <n v="237.55012636868136"/>
    <n v="238.20734299709588"/>
    <n v="8689600"/>
    <x v="1"/>
    <n v="0.92797825505239739"/>
    <n v="121.04836339843618"/>
    <n v="235.78797454833983"/>
    <x v="649"/>
    <n v="0"/>
    <s v="JPMorgan Chase &amp; Co."/>
    <s v="Financials"/>
  </r>
  <r>
    <x v="208"/>
    <n v="247.69287109375"/>
    <n v="248.78169626532693"/>
    <n v="244.70106780011497"/>
    <n v="246.4667172954741"/>
    <n v="7165000"/>
    <x v="1"/>
    <n v="2.2763171805790128"/>
    <n v="123.80380809128451"/>
    <n v="235.53967010498047"/>
    <x v="650"/>
    <n v="0"/>
    <s v="JPMorgan Chase &amp; Co."/>
    <s v="Financials"/>
  </r>
  <r>
    <x v="209"/>
    <n v="247.74191284179688"/>
    <n v="250.29231865313628"/>
    <n v="245.80949331599908"/>
    <n v="246.38823429925699"/>
    <n v="5450700"/>
    <x v="1"/>
    <n v="1.9799418461396989E-2"/>
    <n v="123.82832052531963"/>
    <n v="235.34226165771486"/>
    <x v="651"/>
    <n v="0"/>
    <s v="JPMorgan Chase &amp; Co."/>
    <s v="Financials"/>
  </r>
  <r>
    <x v="210"/>
    <n v="244.49505615234369"/>
    <n v="247.83018834347143"/>
    <n v="244.2498254039462"/>
    <n v="245.23074839753639"/>
    <n v="6369900"/>
    <x v="1"/>
    <n v="-1.3105802939071376"/>
    <n v="122.20545095823863"/>
    <n v="235.13646209716796"/>
    <x v="652"/>
    <n v="0"/>
    <s v="JPMorgan Chase &amp; Co."/>
    <s v="Financials"/>
  </r>
  <r>
    <x v="211"/>
    <n v="244.63238525390625"/>
    <n v="247.63400722536448"/>
    <n v="244.08307077124687"/>
    <n v="245.08361641763199"/>
    <n v="8724100"/>
    <x v="1"/>
    <n v="5.6168457441940767E-2"/>
    <n v="122.27409187495182"/>
    <n v="235.01023254394531"/>
    <x v="653"/>
    <n v="0"/>
    <s v="JPMorgan Chase &amp; Co."/>
    <s v="Financials"/>
  </r>
  <r>
    <x v="212"/>
    <n v="248.63455200195313"/>
    <n v="250.9985800051324"/>
    <n v="246.75118165326785"/>
    <n v="246.7708043040648"/>
    <n v="8320100"/>
    <x v="1"/>
    <n v="1.6359922027056939"/>
    <n v="124.27448648395524"/>
    <n v="234.93694305419922"/>
    <x v="654"/>
    <n v="0"/>
    <s v="JPMorgan Chase &amp; Co."/>
    <s v="Financials"/>
  </r>
  <r>
    <x v="213"/>
    <n v="248.25199890136719"/>
    <n v="250.63563464782604"/>
    <n v="247.52611048052464"/>
    <n v="249.64490778917525"/>
    <n v="5087600"/>
    <x v="1"/>
    <n v="-0.15386160029075002"/>
    <n v="124.08327577029792"/>
    <n v="234.85093383789064"/>
    <x v="655"/>
    <n v="0"/>
    <s v="JPMorgan Chase &amp; Co."/>
    <s v="Financials"/>
  </r>
  <r>
    <x v="214"/>
    <n v="255.08900451660159"/>
    <n v="258.57129899597703"/>
    <n v="253.76478246506019"/>
    <n v="257.8846409478204"/>
    <n v="9603900"/>
    <x v="1"/>
    <n v="2.7540586361807229"/>
    <n v="127.50060194270576"/>
    <n v="234.79247344970702"/>
    <x v="656"/>
    <n v="0"/>
    <s v="JPMorgan Chase &amp; Co."/>
    <s v="Financials"/>
  </r>
  <r>
    <x v="215"/>
    <n v="257.99258422851563"/>
    <n v="258.63999704196561"/>
    <n v="255.42257059461764"/>
    <n v="256.05034578816554"/>
    <n v="8589000"/>
    <x v="1"/>
    <n v="1.1382614148408132"/>
    <n v="128.95189209830937"/>
    <n v="234.87066223144532"/>
    <x v="657"/>
    <n v="0"/>
    <s v="JPMorgan Chase &amp; Co."/>
    <s v="Financials"/>
  </r>
  <r>
    <x v="216"/>
    <n v="260.5723876953125"/>
    <n v="261.55331064865658"/>
    <n v="257.28628981453124"/>
    <n v="257.98273672949563"/>
    <n v="8643100"/>
    <x v="1"/>
    <n v="0.99995256627680718"/>
    <n v="130.24134985260892"/>
    <n v="235.20264556884766"/>
    <x v="658"/>
    <n v="0"/>
    <s v="JPMorgan Chase &amp; Co."/>
    <s v="Financials"/>
  </r>
  <r>
    <x v="217"/>
    <n v="262.3870849609375"/>
    <n v="264.37835746316188"/>
    <n v="259.70918431662562"/>
    <n v="261.87701577521011"/>
    <n v="9214600"/>
    <x v="1"/>
    <n v="0.69642730823302745"/>
    <n v="131.14838617959379"/>
    <n v="235.5459649658203"/>
    <x v="659"/>
    <n v="0"/>
    <s v="JPMorgan Chase &amp; Co."/>
    <s v="Financials"/>
  </r>
  <r>
    <x v="218"/>
    <n v="262.45574951171875"/>
    <n v="263.33857420454694"/>
    <n v="259.66011303826809"/>
    <n v="262.39689652788979"/>
    <n v="8932900"/>
    <x v="1"/>
    <n v="2.6169180846480344E-2"/>
    <n v="131.18270663795039"/>
    <n v="235.98795410156251"/>
    <x v="660"/>
    <n v="0"/>
    <s v="JPMorgan Chase &amp; Co."/>
    <s v="Financials"/>
  </r>
  <r>
    <x v="219"/>
    <n v="259.82687377929688"/>
    <n v="263.20125109607159"/>
    <n v="256.93313912498502"/>
    <n v="260.48407538690208"/>
    <n v="12145000"/>
    <x v="1"/>
    <n v="-1.0016453201397657"/>
    <n v="129.86872119607867"/>
    <n v="236.46042938232421"/>
    <x v="661"/>
    <n v="0"/>
    <s v="JPMorgan Chase &amp; Co."/>
    <s v="Financials"/>
  </r>
  <r>
    <x v="220"/>
    <n v="259.82687377929688"/>
    <n v="261.57288742305286"/>
    <n v="257.29604828542745"/>
    <n v="257.51185250707908"/>
    <n v="8436300"/>
    <x v="1"/>
    <n v="0"/>
    <n v="129.86872119607867"/>
    <n v="237.1290576171875"/>
    <x v="662"/>
    <n v="0"/>
    <s v="JPMorgan Chase &amp; Co."/>
    <s v="Financials"/>
  </r>
  <r>
    <x v="221"/>
    <n v="256.06015014648438"/>
    <n v="260.58219084007044"/>
    <n v="255.7560664091254"/>
    <n v="259.30700290504211"/>
    <n v="7464000"/>
    <x v="1"/>
    <n v="-1.4497051740737343"/>
    <n v="127.98600762539571"/>
    <n v="237.78240661621095"/>
    <x v="663"/>
    <n v="0"/>
    <s v="JPMorgan Chase &amp; Co."/>
    <s v="Financials"/>
  </r>
  <r>
    <x v="222"/>
    <n v="255.69720458984369"/>
    <n v="257.29608389039322"/>
    <n v="253.93152527688761"/>
    <n v="254.49065855609336"/>
    <n v="6514100"/>
    <x v="1"/>
    <n v="-0.14174230407700827"/>
    <n v="127.8045973092913"/>
    <n v="238.45267456054688"/>
    <x v="664"/>
    <n v="0"/>
    <s v="JPMorgan Chase &amp; Co."/>
    <s v="Financials"/>
  </r>
  <r>
    <x v="223"/>
    <n v="255.7364196777344"/>
    <n v="256.99199988462362"/>
    <n v="251.1162808609912"/>
    <n v="251.9108260735714"/>
    <n v="6671800"/>
    <x v="1"/>
    <n v="1.5336533676069131E-2"/>
    <n v="127.82419810439723"/>
    <n v="239.17656738281249"/>
    <x v="665"/>
    <n v="0"/>
    <s v="JPMorgan Chase &amp; Co."/>
    <s v="Financials"/>
  </r>
  <r>
    <x v="224"/>
    <n v="260.22906494140625"/>
    <n v="260.23885381510826"/>
    <n v="256.99200115617998"/>
    <n v="257.04106526626447"/>
    <n v="7506600"/>
    <x v="1"/>
    <n v="1.756748322876045"/>
    <n v="130.06974756082596"/>
    <n v="239.84895019531251"/>
    <x v="666"/>
    <n v="0"/>
    <s v="JPMorgan Chase &amp; Co."/>
    <s v="Financials"/>
  </r>
  <r>
    <x v="225"/>
    <n v="258.46340942382813"/>
    <n v="261.63180170795323"/>
    <n v="257.88466840636806"/>
    <n v="261.16094785890601"/>
    <n v="5535400"/>
    <x v="1"/>
    <n v="-0.67850050415224628"/>
    <n v="129.1872236678762"/>
    <n v="240.45696716308595"/>
    <x v="667"/>
    <n v="0"/>
    <s v="JPMorgan Chase &amp; Co."/>
    <s v="Financials"/>
  </r>
  <r>
    <x v="226"/>
    <n v="259.32659912109369"/>
    <n v="260.34676738524155"/>
    <n v="257.52170446015111"/>
    <n v="259.74838881098617"/>
    <n v="5081200"/>
    <x v="1"/>
    <n v="0.33396978674460343"/>
    <n v="129.61866996326108"/>
    <n v="241.06196990966797"/>
    <x v="668"/>
    <n v="0"/>
    <s v="JPMorgan Chase &amp; Co."/>
    <s v="Financials"/>
  </r>
  <r>
    <x v="227"/>
    <n v="258.96365356445313"/>
    <n v="260.26826789000449"/>
    <n v="257.71789221988047"/>
    <n v="258.4241579270174"/>
    <n v="10977700"/>
    <x v="1"/>
    <n v="-0.1399569337933948"/>
    <n v="129.43725964715674"/>
    <n v="241.57899047851564"/>
    <x v="669"/>
    <n v="0"/>
    <s v="JPMorgan Chase &amp; Co."/>
    <s v="Financials"/>
  </r>
  <r>
    <x v="228"/>
    <n v="259.611083984375"/>
    <n v="259.97402070361045"/>
    <n v="256.90372693326515"/>
    <n v="258.00235590026801"/>
    <n v="6011200"/>
    <x v="1"/>
    <n v="0.25000821969045628"/>
    <n v="129.7608634356167"/>
    <n v="242.11090972900391"/>
    <x v="670"/>
    <n v="0"/>
    <s v="JPMorgan Chase &amp; Co."/>
    <s v="Financials"/>
  </r>
  <r>
    <x v="229"/>
    <n v="261.19033813476563"/>
    <n v="261.49442184863057"/>
    <n v="257.86502496413567"/>
    <n v="258.69881544280082"/>
    <n v="6998400"/>
    <x v="1"/>
    <n v="0.60831537935632785"/>
    <n v="130.55021872428111"/>
    <n v="242.62332794189453"/>
    <x v="671"/>
    <n v="0"/>
    <s v="JPMorgan Chase &amp; Co."/>
    <s v="Financials"/>
  </r>
  <r>
    <x v="230"/>
    <n v="259.17947387695313"/>
    <n v="262.02414456374709"/>
    <n v="259.14022857540323"/>
    <n v="260.84705493579474"/>
    <n v="5915700"/>
    <x v="1"/>
    <n v="-0.76988462596765395"/>
    <n v="129.54513266115572"/>
    <n v="242.97015411376952"/>
    <x v="672"/>
    <n v="0"/>
    <s v="JPMorgan Chase &amp; Co."/>
    <s v="Financials"/>
  </r>
  <r>
    <x v="231"/>
    <n v="256.95278930664063"/>
    <n v="259.68954289634314"/>
    <n v="255.34406123341304"/>
    <n v="259.68954289634314"/>
    <n v="8173800"/>
    <x v="1"/>
    <n v="-0.85912843984304876"/>
    <n v="128.43217358403135"/>
    <n v="243.21258697509765"/>
    <x v="673"/>
    <n v="0"/>
    <s v="JPMorgan Chase &amp; Co."/>
    <s v="Financials"/>
  </r>
  <r>
    <x v="232"/>
    <n v="260.66064453125"/>
    <n v="261.56307680613298"/>
    <n v="259.21868671764832"/>
    <n v="259.28732856752248"/>
    <n v="7738100"/>
    <x v="1"/>
    <n v="1.4430103034158925"/>
    <n v="130.2854630817499"/>
    <n v="243.5311264038086"/>
    <x v="674"/>
    <n v="0"/>
    <s v="JPMorgan Chase &amp; Co."/>
    <s v="Financials"/>
  </r>
  <r>
    <x v="233"/>
    <n v="261.6513671875"/>
    <n v="262.78924135427468"/>
    <n v="258.32605409213727"/>
    <n v="260.9254938141093"/>
    <n v="8285000"/>
    <x v="1"/>
    <n v="0.38008141122785055"/>
    <n v="130.78065390845578"/>
    <n v="243.92622100830081"/>
    <x v="675"/>
    <n v="0"/>
    <s v="JPMorgan Chase &amp; Co."/>
    <s v="Financials"/>
  </r>
  <r>
    <x v="234"/>
    <n v="263.47592163085938"/>
    <n v="263.7701865542935"/>
    <n v="260.77838340293533"/>
    <n v="260.80780989527875"/>
    <n v="7538100"/>
    <x v="1"/>
    <n v="0.69732272488065572"/>
    <n v="131.69261712790694"/>
    <n v="244.46056274414062"/>
    <x v="676"/>
    <n v="0"/>
    <s v="JPMorgan Chase &amp; Co."/>
    <s v="Financials"/>
  </r>
  <r>
    <x v="235"/>
    <n v="263.03448486328125"/>
    <n v="264.47644280710767"/>
    <n v="260.71952105435884"/>
    <n v="263.55437283293878"/>
    <n v="7434100"/>
    <x v="1"/>
    <n v="-0.16754349499784604"/>
    <n v="131.47197471451673"/>
    <n v="244.93830474853516"/>
    <x v="677"/>
    <n v="0"/>
    <s v="JPMorgan Chase &amp; Co."/>
    <s v="Financials"/>
  </r>
  <r>
    <x v="236"/>
    <n v="263.12274169921875"/>
    <n v="263.17180580407035"/>
    <n v="260.08190474325323"/>
    <n v="261.76906334571646"/>
    <n v="6618000"/>
    <x v="1"/>
    <n v="3.3553332743951891E-2"/>
    <n v="131.51608794365771"/>
    <n v="245.44978912353517"/>
    <x v="678"/>
    <n v="0"/>
    <s v="JPMorgan Chase &amp; Co."/>
    <s v="Financials"/>
  </r>
  <r>
    <x v="237"/>
    <n v="259.89556884765625"/>
    <n v="261.92605676944186"/>
    <n v="257.69828090375347"/>
    <n v="260.02306369586108"/>
    <n v="8398700"/>
    <x v="1"/>
    <n v="-1.2264895199562642"/>
    <n v="129.90305690797231"/>
    <n v="245.85461364746095"/>
    <x v="679"/>
    <n v="0"/>
    <s v="JPMorgan Chase &amp; Co."/>
    <s v="Financials"/>
  </r>
  <r>
    <x v="238"/>
    <n v="265.20230102539063"/>
    <n v="266.54619054488131"/>
    <n v="261.75928200050441"/>
    <n v="261.90641444850962"/>
    <n v="8566000"/>
    <x v="1"/>
    <n v="2.0418709719691508"/>
    <n v="132.55550971867675"/>
    <n v="246.699580078125"/>
    <x v="680"/>
    <n v="0"/>
    <s v="JPMorgan Chase &amp; Co."/>
    <s v="Financials"/>
  </r>
  <r>
    <x v="239"/>
    <n v="264.37838745117188"/>
    <n v="265.42798236980167"/>
    <n v="262.69119849421304"/>
    <n v="263.05416519287212"/>
    <n v="6739300"/>
    <x v="1"/>
    <n v="-0.31067361445701325"/>
    <n v="132.14369472547182"/>
    <n v="247.86177795410157"/>
    <x v="681"/>
    <n v="0"/>
    <s v="JPMorgan Chase &amp; Co."/>
    <s v="Financials"/>
  </r>
  <r>
    <x v="240"/>
    <n v="268.73367309570313"/>
    <n v="272.42195338008111"/>
    <n v="264.57456890124871"/>
    <n v="264.84922616059202"/>
    <n v="9586400"/>
    <x v="1"/>
    <n v="1.6473682612712093"/>
    <n v="134.32058801165036"/>
    <n v="249.02946899414061"/>
    <x v="682"/>
    <n v="0"/>
    <s v="JPMorgan Chase &amp; Co."/>
    <s v="Financials"/>
  </r>
  <r>
    <x v="241"/>
    <n v="269.75381469726563"/>
    <n v="272.00992553694005"/>
    <n v="268.58651397701692"/>
    <n v="270.31294797040522"/>
    <n v="13969700"/>
    <x v="1"/>
    <n v="0.37961063450324684"/>
    <n v="134.8304832480699"/>
    <n v="250.16989013671875"/>
    <x v="683"/>
    <n v="0"/>
    <s v="JPMorgan Chase &amp; Co."/>
    <s v="Financials"/>
  </r>
  <r>
    <x v="242"/>
    <n v="272.96142578125"/>
    <n v="273.23608301714091"/>
    <n v="266.91893665625679"/>
    <n v="269.81267140989485"/>
    <n v="8094600"/>
    <x v="1"/>
    <n v="1.1890883128322649"/>
    <n v="136.43373676650793"/>
    <n v="251.03172882080079"/>
    <x v="684"/>
    <n v="0"/>
    <s v="JPMorgan Chase &amp; Co."/>
    <s v="Financials"/>
  </r>
  <r>
    <x v="243"/>
    <n v="275.89443969726563"/>
    <n v="277.31676022593348"/>
    <n v="274.17782427841331"/>
    <n v="274.86445248471591"/>
    <n v="9267900"/>
    <x v="1"/>
    <n v="1.0745158982156333"/>
    <n v="137.89973895859376"/>
    <n v="252.09406921386719"/>
    <x v="685"/>
    <n v="0"/>
    <s v="JPMorgan Chase &amp; Co."/>
    <s v="Financials"/>
  </r>
  <r>
    <x v="244"/>
    <n v="278.6409912109375"/>
    <n v="278.85679547317505"/>
    <n v="275.55108967897763"/>
    <n v="276.12983066966132"/>
    <n v="6826900"/>
    <x v="1"/>
    <n v="0.99550810689972291"/>
    <n v="139.27254203932014"/>
    <n v="253.03300903320311"/>
    <x v="686"/>
    <n v="0"/>
    <s v="JPMorgan Chase &amp; Co."/>
    <s v="Financials"/>
  </r>
  <r>
    <x v="245"/>
    <n v="283.24154663085938"/>
    <n v="283.88895947254906"/>
    <n v="279.04319693795463"/>
    <n v="279.26882002889721"/>
    <n v="8942100"/>
    <x v="1"/>
    <n v="1.6510691409503231"/>
    <n v="141.5720280027484"/>
    <n v="254.09299499511718"/>
    <x v="687"/>
    <n v="0"/>
    <s v="JPMorgan Chase &amp; Co."/>
    <s v="Financials"/>
  </r>
  <r>
    <x v="246"/>
    <n v="281.63278198242188"/>
    <n v="283.19247586135162"/>
    <n v="279.60229416786729"/>
    <n v="280.35759408455522"/>
    <n v="17868600"/>
    <x v="1"/>
    <n v="-0.56798328761216155"/>
    <n v="140.76792254375917"/>
    <n v="255.15199859619142"/>
    <x v="688"/>
    <n v="1"/>
    <s v="JPMorgan Chase &amp; Co."/>
    <s v="Financials"/>
  </r>
  <r>
    <x v="247"/>
    <n v="284.37936401367188"/>
    <n v="287.06708320380852"/>
    <n v="283.40825991352006"/>
    <n v="284.86000665954231"/>
    <n v="12689200"/>
    <x v="1"/>
    <n v="0.97523520234992223"/>
    <n v="142.1407408780226"/>
    <n v="256.33499114990235"/>
    <x v="689"/>
    <n v="0"/>
    <s v="JPMorgan Chase &amp; Co."/>
    <s v="Financials"/>
  </r>
  <r>
    <x v="248"/>
    <n v="284.86984252929688"/>
    <n v="285.57610826317722"/>
    <n v="281.12270960967101"/>
    <n v="285.34069633034818"/>
    <n v="9338300"/>
    <x v="1"/>
    <n v="0.17247331476606398"/>
    <n v="142.38589572544797"/>
    <n v="257.48168975830077"/>
    <x v="690"/>
    <n v="0"/>
    <s v="JPMorgan Chase &amp; Co."/>
    <s v="Financials"/>
  </r>
  <r>
    <x v="249"/>
    <n v="286.42950439453125"/>
    <n v="287.23386840643491"/>
    <n v="284.17339356010143"/>
    <n v="286.46874969485151"/>
    <n v="8158700"/>
    <x v="1"/>
    <n v="0.54749981654305113"/>
    <n v="143.16545824332795"/>
    <n v="258.71784851074221"/>
    <x v="691"/>
    <n v="0"/>
    <s v="JPMorgan Chase &amp; Co."/>
    <s v="Financials"/>
  </r>
  <r>
    <x v="250"/>
    <n v="291.75201416015625"/>
    <n v="292.14626762282882"/>
    <n v="287.03074848169234"/>
    <n v="287.95726066275904"/>
    <n v="6541600"/>
    <x v="1"/>
    <n v="1.8582267831926069"/>
    <n v="145.82579713268589"/>
    <n v="259.93097595214846"/>
    <x v="692"/>
    <n v="0"/>
    <s v="JPMorgan Chase &amp; Co."/>
    <s v="Financials"/>
  </r>
  <r>
    <x v="251"/>
    <n v="287.77984619140625"/>
    <n v="291.79144353656022"/>
    <n v="285.91695574871414"/>
    <n v="291.01277265737059"/>
    <n v="8825700"/>
    <x v="1"/>
    <n v="-1.3614877621957011"/>
    <n v="143.84039675060004"/>
    <n v="260.96087829589845"/>
    <x v="693"/>
    <n v="0"/>
    <s v="JPMorgan Chase &amp; Co."/>
    <s v="Financials"/>
  </r>
  <r>
    <x v="252"/>
    <n v="278.72174072265625"/>
    <n v="285.54244302383853"/>
    <n v="276.28718720828704"/>
    <n v="285.11859121847169"/>
    <n v="15440900"/>
    <x v="1"/>
    <n v="-3.1475815935787743"/>
    <n v="139.31290289834749"/>
    <n v="261.73585296630858"/>
    <x v="694"/>
    <n v="0"/>
    <s v="JPMorgan Chase &amp; Co."/>
    <s v="Financials"/>
  </r>
  <r>
    <x v="253"/>
    <n v="279.09628295898438"/>
    <n v="283.07831203592889"/>
    <n v="278.42604907780265"/>
    <n v="283.05857981144027"/>
    <n v="11273800"/>
    <x v="1"/>
    <n v="0.13437855093652029"/>
    <n v="139.50010955852989"/>
    <n v="262.5397024536133"/>
    <x v="695"/>
    <n v="0"/>
    <s v="JPMorgan Chase &amp; Co."/>
    <s v="Financials"/>
  </r>
  <r>
    <x v="254"/>
    <n v="284.05410766601563"/>
    <n v="284.17238069994539"/>
    <n v="278.93858839126966"/>
    <n v="278.93858839126966"/>
    <n v="8410900"/>
    <x v="1"/>
    <n v="1.7763850720146745"/>
    <n v="141.97816868017171"/>
    <n v="263.44918273925782"/>
    <x v="696"/>
    <n v="0"/>
    <s v="JPMorgan Chase &amp; Co."/>
    <s v="Financials"/>
  </r>
  <r>
    <x v="255"/>
    <n v="282.7431640625"/>
    <n v="283.25572062370782"/>
    <n v="279.5792402426265"/>
    <n v="281.42239844946749"/>
    <n v="7384700"/>
    <x v="1"/>
    <n v="-0.46151193316203987"/>
    <n v="141.32292248922778"/>
    <n v="264.30497863769529"/>
    <x v="697"/>
    <n v="0"/>
    <s v="JPMorgan Chase &amp; Co."/>
    <s v="Financials"/>
  </r>
  <r>
    <x v="256"/>
    <n v="284.55679321289063"/>
    <n v="285.14815837230037"/>
    <n v="281.16615926075519"/>
    <n v="282.95018101073435"/>
    <n v="9079900"/>
    <x v="1"/>
    <n v="0.64144049473455755"/>
    <n v="142.22942494241602"/>
    <n v="265.19704711914062"/>
    <x v="698"/>
    <n v="0"/>
    <s v="JPMorgan Chase &amp; Co."/>
    <s v="Financials"/>
  </r>
  <r>
    <x v="257"/>
    <n v="282.4376220703125"/>
    <n v="287.76014909736432"/>
    <n v="281.38300082511358"/>
    <n v="283.86682471268961"/>
    <n v="12526100"/>
    <x v="1"/>
    <n v="-0.74472695543510437"/>
    <n v="141.17020407630949"/>
    <n v="266.00219787597655"/>
    <x v="699"/>
    <n v="0"/>
    <s v="JPMorgan Chase &amp; Co."/>
    <s v="Financials"/>
  </r>
  <r>
    <x v="258"/>
    <n v="281.71810913085938"/>
    <n v="286.5576476938333"/>
    <n v="278.94843878384489"/>
    <n v="284.26106945587679"/>
    <n v="9979800"/>
    <x v="1"/>
    <n v="-0.25475109660638706"/>
    <n v="140.81057143334363"/>
    <n v="266.68270263671877"/>
    <x v="700"/>
    <n v="0"/>
    <s v="JPMorgan Chase &amp; Co."/>
    <s v="Financials"/>
  </r>
  <r>
    <x v="259"/>
    <n v="285.73956298828125"/>
    <n v="286.13381646736286"/>
    <n v="279.3722805662569"/>
    <n v="279.3722805662569"/>
    <n v="8509500"/>
    <x v="1"/>
    <n v="1.4274743891433239"/>
    <n v="142.82060627776099"/>
    <n v="267.44265563964842"/>
    <x v="701"/>
    <n v="0"/>
    <s v="JPMorgan Chase &amp; Co."/>
    <s v="Financials"/>
  </r>
  <r>
    <x v="260"/>
    <n v="287.08990478515625"/>
    <n v="288.30226359405867"/>
    <n v="284.09355419862834"/>
    <n v="285.365019447414"/>
    <n v="12217000"/>
    <x v="1"/>
    <n v="0.47257781972962487"/>
    <n v="143.49554478503305"/>
    <n v="268.2945526123047"/>
    <x v="702"/>
    <n v="0"/>
    <s v="JPMorgan Chase &amp; Co."/>
    <s v="Financials"/>
  </r>
  <r>
    <x v="261"/>
    <n v="286.794189453125"/>
    <n v="289.95811320350606"/>
    <n v="286.40977204066252"/>
    <n v="286.8237577094983"/>
    <n v="7898100"/>
    <x v="1"/>
    <n v="-0.10300443418675975"/>
    <n v="143.34773801104404"/>
    <n v="269.13778869628908"/>
    <x v="703"/>
    <n v="0"/>
    <s v="JPMorgan Chase &amp; Co."/>
    <s v="Financials"/>
  </r>
  <r>
    <x v="262"/>
    <n v="287.24758911132813"/>
    <n v="289.41602825063205"/>
    <n v="285.02987956960806"/>
    <n v="287.31659173839932"/>
    <n v="6717500"/>
    <x v="1"/>
    <n v="0.15809234457213606"/>
    <n v="143.57435981095682"/>
    <n v="269.91004943847656"/>
    <x v="704"/>
    <n v="0"/>
    <s v="JPMorgan Chase &amp; Co."/>
    <s v="Financials"/>
  </r>
  <r>
    <x v="263"/>
    <n v="292.50112915039063"/>
    <n v="292.72780910920665"/>
    <n v="288.35152630557849"/>
    <n v="288.6373728619252"/>
    <n v="7083500"/>
    <x v="1"/>
    <n v="1.8289239799420542"/>
    <n v="146.2002257065877"/>
    <n v="270.79503204345701"/>
    <x v="705"/>
    <n v="0"/>
    <s v="JPMorgan Chase &amp; Co."/>
    <s v="Financials"/>
  </r>
  <r>
    <x v="264"/>
    <n v="292.29412841796875"/>
    <n v="295.29050907754731"/>
    <n v="291.94917541486632"/>
    <n v="293.15166810801469"/>
    <n v="7001200"/>
    <x v="1"/>
    <n v="-7.076920797643993E-2"/>
    <n v="146.09676096479538"/>
    <n v="271.53913452148436"/>
    <x v="706"/>
    <n v="0"/>
    <s v="JPMorgan Chase &amp; Co."/>
    <s v="Financials"/>
  </r>
  <r>
    <x v="265"/>
    <n v="294.33441162109369"/>
    <n v="294.61039205544688"/>
    <n v="291.71258245493334"/>
    <n v="292.44198295113267"/>
    <n v="5918500"/>
    <x v="1"/>
    <n v="0.69802401237681888"/>
    <n v="147.11655143763443"/>
    <n v="272.26597106933593"/>
    <x v="707"/>
    <n v="0"/>
    <s v="JPMorgan Chase &amp; Co."/>
    <s v="Financials"/>
  </r>
  <r>
    <x v="266"/>
    <n v="293.99929809570313"/>
    <n v="295.13278810430046"/>
    <n v="292.56025939121292"/>
    <n v="293.38820070391739"/>
    <n v="5840400"/>
    <x v="1"/>
    <n v="-0.11385468778348784"/>
    <n v="146.94905234731726"/>
    <n v="272.93450927734375"/>
    <x v="708"/>
    <n v="0"/>
    <s v="JPMorgan Chase &amp; Co."/>
    <s v="Financials"/>
  </r>
  <r>
    <x v="267"/>
    <n v="292.77713012695313"/>
    <n v="296.96613755775309"/>
    <n v="291.94918873841937"/>
    <n v="295.69464217411235"/>
    <n v="7635700"/>
    <x v="1"/>
    <n v="-0.41570438319623593"/>
    <n v="146.33817869564413"/>
    <n v="273.54231018066406"/>
    <x v="709"/>
    <n v="0"/>
    <s v="JPMorgan Chase &amp; Co."/>
    <s v="Financials"/>
  </r>
  <r>
    <x v="268"/>
    <n v="295.32992553710938"/>
    <n v="296.29584201458954"/>
    <n v="293.11221595652722"/>
    <n v="293.1516503269176"/>
    <n v="8061700"/>
    <x v="1"/>
    <n v="0.87192445975863286"/>
    <n v="147.61413706965675"/>
    <n v="274.19979370117187"/>
    <x v="710"/>
    <n v="0"/>
    <s v="JPMorgan Chase &amp; Co."/>
    <s v="Financials"/>
  </r>
  <r>
    <x v="269"/>
    <n v="291.98855590820313"/>
    <n v="296.66055111466642"/>
    <n v="291.25918550905351"/>
    <n v="294.84696114947627"/>
    <n v="14749700"/>
    <x v="1"/>
    <n v="-1.1314023199069267"/>
    <n v="145.94402729834007"/>
    <n v="274.84302734375001"/>
    <x v="711"/>
    <n v="0"/>
    <s v="JPMorgan Chase &amp; Co."/>
    <s v="Financials"/>
  </r>
  <r>
    <x v="270"/>
    <n v="285.21719360351563"/>
    <n v="287.61231301174155"/>
    <n v="280.16081035529538"/>
    <n v="286.23241068269874"/>
    <n v="12007100"/>
    <x v="1"/>
    <n v="-2.3190505818372897"/>
    <n v="142.55951148412112"/>
    <n v="275.35083374023435"/>
    <x v="712"/>
    <n v="0"/>
    <s v="JPMorgan Chase &amp; Co."/>
    <s v="Financials"/>
  </r>
  <r>
    <x v="271"/>
    <n v="290.0369873046875"/>
    <n v="290.09612381852781"/>
    <n v="286.09439262407562"/>
    <n v="286.09439262407562"/>
    <n v="6649500"/>
    <x v="1"/>
    <n v="1.689867865354544"/>
    <n v="144.96857885769771"/>
    <n v="276.03037048339843"/>
    <x v="713"/>
    <n v="0"/>
    <s v="JPMorgan Chase &amp; Co."/>
    <s v="Financials"/>
  </r>
  <r>
    <x v="272"/>
    <n v="287.18844604492188"/>
    <n v="291.54502636918687"/>
    <n v="283.11771225513746"/>
    <n v="290.4608068242693"/>
    <n v="7182300"/>
    <x v="1"/>
    <n v="-0.98213034352518935"/>
    <n v="143.54479845615904"/>
    <n v="276.66019531249998"/>
    <x v="714"/>
    <n v="0"/>
    <s v="JPMorgan Chase &amp; Co."/>
    <s v="Financials"/>
  </r>
  <r>
    <x v="273"/>
    <n v="287.16876220703125"/>
    <n v="289.08092314098127"/>
    <n v="285.99583781724914"/>
    <n v="288.10511044854343"/>
    <n v="6330200"/>
    <x v="1"/>
    <n v="-6.8539797341116149E-3"/>
    <n v="143.53495992476348"/>
    <n v="277.28884216308592"/>
    <x v="715"/>
    <n v="0"/>
    <s v="JPMorgan Chase &amp; Co."/>
    <s v="Financials"/>
  </r>
  <r>
    <x v="274"/>
    <n v="287.16876220703125"/>
    <n v="289.24847096127343"/>
    <n v="282.29965937267906"/>
    <n v="288.7359444448802"/>
    <n v="8057100"/>
    <x v="1"/>
    <n v="0"/>
    <n v="143.53495992476348"/>
    <n v="277.82763610839845"/>
    <x v="716"/>
    <n v="0"/>
    <s v="JPMorgan Chase &amp; Co."/>
    <s v="Financials"/>
  </r>
  <r>
    <x v="275"/>
    <n v="284.61590576171875"/>
    <n v="287.05045906164958"/>
    <n v="280.62401079418692"/>
    <n v="284.8327496617793"/>
    <n v="6634100"/>
    <x v="1"/>
    <n v="-0.8889742831680425"/>
    <n v="142.25897104367678"/>
    <n v="278.35068603515623"/>
    <x v="717"/>
    <n v="0"/>
    <s v="JPMorgan Chase &amp; Co."/>
    <s v="Financials"/>
  </r>
  <r>
    <x v="276"/>
    <n v="285.4044189453125"/>
    <n v="287.13917018419738"/>
    <n v="284.63561420619021"/>
    <n v="285.2467115527221"/>
    <n v="5510100"/>
    <x v="1"/>
    <n v="0.27704466533009509"/>
    <n v="142.65309193390675"/>
    <n v="278.87224243164064"/>
    <x v="718"/>
    <n v="0"/>
    <s v="JPMorgan Chase &amp; Co."/>
    <s v="Financials"/>
  </r>
  <r>
    <x v="277"/>
    <n v="288.64724731445313"/>
    <n v="290.51997395506868"/>
    <n v="286.1732592848133"/>
    <n v="287.31661546362176"/>
    <n v="8570900"/>
    <x v="1"/>
    <n v="1.136222200456527"/>
    <n v="144.27394803409749"/>
    <n v="279.46591430664063"/>
    <x v="719"/>
    <n v="0"/>
    <s v="JPMorgan Chase &amp; Co."/>
    <s v="Financials"/>
  </r>
  <r>
    <x v="278"/>
    <n v="286.36053466796875"/>
    <n v="290.32283187703922"/>
    <n v="283.0389031406188"/>
    <n v="289.7314666813669"/>
    <n v="8420400"/>
    <x v="1"/>
    <n v="-0.79221702883354173"/>
    <n v="143.13098524960088"/>
    <n v="280.00090332031249"/>
    <x v="720"/>
    <n v="0"/>
    <s v="JPMorgan Chase &amp; Co."/>
    <s v="Financials"/>
  </r>
  <r>
    <x v="279"/>
    <n v="289.93844604492188"/>
    <n v="289.9778804180479"/>
    <n v="285.48332442930791"/>
    <n v="286.40980660066941"/>
    <n v="6322400"/>
    <x v="1"/>
    <n v="1.2494429028433229"/>
    <n v="144.91932518657177"/>
    <n v="280.57586547851565"/>
    <x v="721"/>
    <n v="0"/>
    <s v="JPMorgan Chase &amp; Co."/>
    <s v="Financials"/>
  </r>
  <r>
    <x v="280"/>
    <n v="286.32107543945313"/>
    <n v="291.25918495193082"/>
    <n v="285.66070766840801"/>
    <n v="290.60865321355089"/>
    <n v="7340500"/>
    <x v="1"/>
    <n v="-1.2476339908741529"/>
    <n v="143.11126242619864"/>
    <n v="281.11869750976564"/>
    <x v="722"/>
    <n v="0"/>
    <s v="JPMorgan Chase &amp; Co."/>
    <s v="Financials"/>
  </r>
  <r>
    <x v="281"/>
    <n v="287.34616088867188"/>
    <n v="287.71084609059471"/>
    <n v="284.27094179400183"/>
    <n v="285.83811959880057"/>
    <n v="5386900"/>
    <x v="1"/>
    <n v="0.35801955816401332"/>
    <n v="143.62362873561983"/>
    <n v="281.72656494140625"/>
    <x v="723"/>
    <n v="0"/>
    <s v="JPMorgan Chase &amp; Co."/>
    <s v="Financials"/>
  </r>
  <r>
    <x v="282"/>
    <n v="286.48867797851563"/>
    <n v="288.2825659770611"/>
    <n v="285.37489004447787"/>
    <n v="286.65622142651688"/>
    <n v="6031500"/>
    <x v="1"/>
    <n v="-0.29841460470685366"/>
    <n v="143.1950348516628"/>
    <n v="282.24312561035157"/>
    <x v="724"/>
    <n v="0"/>
    <s v="JPMorgan Chase &amp; Co."/>
    <s v="Financials"/>
  </r>
  <r>
    <x v="283"/>
    <n v="288.04595947265625"/>
    <n v="289.12031292003212"/>
    <n v="283.14728434934551"/>
    <n v="286.63648908496583"/>
    <n v="7374200"/>
    <x v="1"/>
    <n v="0.54357523135954988"/>
    <n v="143.97340759365312"/>
    <n v="282.77101745605466"/>
    <x v="725"/>
    <n v="0"/>
    <s v="JPMorgan Chase &amp; Co."/>
    <s v="Financials"/>
  </r>
  <r>
    <x v="284"/>
    <n v="287.28704833984369"/>
    <n v="288.56837970964409"/>
    <n v="285.31575079885044"/>
    <n v="287.75030446516172"/>
    <n v="6624000"/>
    <x v="1"/>
    <n v="-0.26346876526299745"/>
    <n v="143.59408263435907"/>
    <n v="283.24723999023439"/>
    <x v="726"/>
    <n v="0"/>
    <s v="JPMorgan Chase &amp; Co."/>
    <s v="Financials"/>
  </r>
  <r>
    <x v="285"/>
    <n v="291.98855590820313"/>
    <n v="292.89536593060348"/>
    <n v="285.96625689985001"/>
    <n v="288.99220557246861"/>
    <n v="8552800"/>
    <x v="1"/>
    <n v="1.6365191523697975"/>
    <n v="145.94402729834007"/>
    <n v="283.82632141113282"/>
    <x v="727"/>
    <n v="0"/>
    <s v="JPMorgan Chase &amp; Co."/>
    <s v="Financials"/>
  </r>
  <r>
    <x v="286"/>
    <n v="290.66781616210938"/>
    <n v="293.08266767966575"/>
    <n v="289.91874355129119"/>
    <n v="291.98858190392423"/>
    <n v="5856300"/>
    <x v="1"/>
    <n v="-0.45232585982204476"/>
    <n v="145.28388472200393"/>
    <n v="284.37722290039062"/>
    <x v="728"/>
    <n v="0"/>
    <s v="JPMorgan Chase &amp; Co."/>
    <s v="Financials"/>
  </r>
  <r>
    <x v="287"/>
    <n v="294.28512573242188"/>
    <n v="294.45266915895689"/>
    <n v="289.28787983942829"/>
    <n v="289.93841156037507"/>
    <n v="6714700"/>
    <x v="1"/>
    <n v="1.2444823159558416"/>
    <n v="147.09191697530295"/>
    <n v="285.06501403808596"/>
    <x v="729"/>
    <n v="0"/>
    <s v="JPMorgan Chase &amp; Co."/>
    <s v="Financials"/>
  </r>
  <r>
    <x v="288"/>
    <n v="294.98495483398438"/>
    <n v="296.74927450763425"/>
    <n v="292.77711127340297"/>
    <n v="292.98408908730443"/>
    <n v="6056500"/>
    <x v="1"/>
    <n v="0.23780648098361556"/>
    <n v="147.44171108687328"/>
    <n v="285.66066711425782"/>
    <x v="730"/>
    <n v="0"/>
    <s v="JPMorgan Chase &amp; Co."/>
    <s v="Financials"/>
  </r>
  <r>
    <x v="289"/>
    <n v="296.749267578125"/>
    <n v="296.91681101607145"/>
    <n v="294.41328492266325"/>
    <n v="295.71431837356056"/>
    <n v="6410500"/>
    <x v="1"/>
    <n v="0.59810262022805816"/>
    <n v="148.32356382419295"/>
    <n v="286.30808471679688"/>
    <x v="731"/>
    <n v="0"/>
    <s v="JPMorgan Chase &amp; Co."/>
    <s v="Financials"/>
  </r>
  <r>
    <x v="290"/>
    <n v="297.09423828125"/>
    <n v="298.60227955806266"/>
    <n v="295.42848960612622"/>
    <n v="297.70533564994906"/>
    <n v="6796400"/>
    <x v="1"/>
    <n v="0.11624989201841629"/>
    <n v="148.49598980697641"/>
    <n v="286.87529602050779"/>
    <x v="732"/>
    <n v="0"/>
    <s v="JPMorgan Chase &amp; Co."/>
    <s v="Financials"/>
  </r>
  <r>
    <x v="291"/>
    <n v="295.39895629882813"/>
    <n v="296.14802892991878"/>
    <n v="290.27357052594709"/>
    <n v="295.95091721841663"/>
    <n v="7221900"/>
    <x v="1"/>
    <n v="-0.57062095590592055"/>
    <n v="147.6486405704579"/>
    <n v="287.38819885253906"/>
    <x v="733"/>
    <n v="0"/>
    <s v="JPMorgan Chase &amp; Co."/>
    <s v="Financials"/>
  </r>
  <r>
    <x v="292"/>
    <n v="295.21163940429688"/>
    <n v="296.25642457619108"/>
    <n v="292.1265542897072"/>
    <n v="296.25642457619108"/>
    <n v="6316900"/>
    <x v="1"/>
    <n v="-6.3411495043252941E-2"/>
    <n v="147.55501436006114"/>
    <n v="287.83320312500001"/>
    <x v="734"/>
    <n v="0"/>
    <s v="JPMorgan Chase &amp; Co."/>
    <s v="Financials"/>
  </r>
  <r>
    <x v="293"/>
    <n v="299.45980834960938"/>
    <n v="300.06103964469008"/>
    <n v="293.99930589051002"/>
    <n v="295.69462293183699"/>
    <n v="6605800"/>
    <x v="1"/>
    <n v="1.4390248819067031"/>
    <n v="149.67836773120342"/>
    <n v="288.30451049804685"/>
    <x v="735"/>
    <n v="0"/>
    <s v="JPMorgan Chase &amp; Co."/>
    <s v="Financials"/>
  </r>
  <r>
    <x v="294"/>
    <n v="290.1552734375"/>
    <n v="300.77069926584329"/>
    <n v="290.08627080836624"/>
    <n v="299.29222619383722"/>
    <n v="9837700"/>
    <x v="1"/>
    <n v="-3.107106413841898"/>
    <n v="145.02770156729332"/>
    <n v="288.5347961425781"/>
    <x v="736"/>
    <n v="0"/>
    <s v="JPMorgan Chase &amp; Co."/>
    <s v="Financials"/>
  </r>
  <r>
    <x v="295"/>
    <n v="288.70635986328125"/>
    <n v="292.20540066234315"/>
    <n v="287.25745509349622"/>
    <n v="290.65795508777052"/>
    <n v="8188500"/>
    <x v="1"/>
    <n v="-0.49935800133953379"/>
    <n v="144.30349413535822"/>
    <n v="288.64409240722654"/>
    <x v="737"/>
    <n v="0"/>
    <s v="JPMorgan Chase &amp; Co."/>
    <s v="Financials"/>
  </r>
  <r>
    <x v="296"/>
    <n v="293.57546997070313"/>
    <n v="294.70895995460631"/>
    <n v="288.11496777534006"/>
    <n v="288.40081431932629"/>
    <n v="7848200"/>
    <x v="1"/>
    <n v="1.6865267913487081"/>
    <n v="146.73721122480336"/>
    <n v="288.88294616699221"/>
    <x v="738"/>
    <n v="0"/>
    <s v="JPMorgan Chase &amp; Co."/>
    <s v="Financials"/>
  </r>
  <r>
    <x v="297"/>
    <n v="296.22686767578125"/>
    <n v="297.2125163723058"/>
    <n v="291.16061893743171"/>
    <n v="292.44198029068025"/>
    <n v="7787300"/>
    <x v="1"/>
    <n v="0.90314007002789687"/>
    <n v="148.06245377701603"/>
    <n v="289.11989624023437"/>
    <x v="739"/>
    <n v="0"/>
    <s v="JPMorgan Chase &amp; Co."/>
    <s v="Financials"/>
  </r>
  <r>
    <x v="298"/>
    <n v="301.17483520507813"/>
    <n v="301.34240873070212"/>
    <n v="296.47330140942091"/>
    <n v="296.91682530734334"/>
    <n v="7942500"/>
    <x v="1"/>
    <n v="1.6703304356282755"/>
    <n v="150.53558600619158"/>
    <n v="289.44599609375001"/>
    <x v="740"/>
    <n v="0"/>
    <s v="JPMorgan Chase &amp; Co."/>
    <s v="Financials"/>
  </r>
  <r>
    <x v="299"/>
    <n v="302.50546264648438"/>
    <n v="303.13626220753474"/>
    <n v="299.34153856899252"/>
    <n v="300.62286991712199"/>
    <n v="6846700"/>
    <x v="1"/>
    <n v="0.44181229168771541"/>
    <n v="151.20067072853107"/>
    <n v="289.76751525878905"/>
    <x v="741"/>
    <n v="0"/>
    <s v="JPMorgan Chase &amp; Co."/>
    <s v="Financials"/>
  </r>
  <r>
    <x v="300"/>
    <n v="304.46685791015625"/>
    <n v="305.50180702662493"/>
    <n v="302.76170501933825"/>
    <n v="302.76170501933825"/>
    <n v="7122000"/>
    <x v="1"/>
    <n v="0.64838341976125591"/>
    <n v="152.18103080810269"/>
    <n v="290.02181213378907"/>
    <x v="742"/>
    <n v="0"/>
    <s v="JPMorgan Chase &amp; Co."/>
    <s v="Financials"/>
  </r>
  <r>
    <x v="301"/>
    <n v="304.75271606445313"/>
    <n v="306.43816687549872"/>
    <n v="302.72228220142239"/>
    <n v="305.55108908440161"/>
    <n v="10525600"/>
    <x v="1"/>
    <n v="9.3888102061079337E-2"/>
    <n v="152.32391068962542"/>
    <n v="290.36126953125"/>
    <x v="743"/>
    <n v="0"/>
    <s v="JPMorgan Chase &amp; Co."/>
    <s v="Financials"/>
  </r>
  <r>
    <x v="302"/>
    <n v="307.27597045898438"/>
    <n v="308.41932651675705"/>
    <n v="304.33872661679538"/>
    <n v="305.93550271652612"/>
    <n v="8657800"/>
    <x v="1"/>
    <n v="0.82796781177747469"/>
    <n v="153.58510363977615"/>
    <n v="290.93235412597659"/>
    <x v="744"/>
    <n v="0"/>
    <s v="JPMorgan Chase &amp; Co."/>
    <s v="Financials"/>
  </r>
  <r>
    <x v="303"/>
    <n v="308.7347412109375"/>
    <n v="308.94171900765593"/>
    <n v="305.16666778780973"/>
    <n v="307.31540473136209"/>
    <n v="8050700"/>
    <x v="1"/>
    <n v="0.47474286706314928"/>
    <n v="154.31423796417755"/>
    <n v="291.52512329101563"/>
    <x v="745"/>
    <n v="0"/>
    <s v="JPMorgan Chase &amp; Co."/>
    <s v="Financials"/>
  </r>
  <r>
    <x v="304"/>
    <n v="310.26251220703125"/>
    <n v="311.26786310299872"/>
    <n v="304.68373667454165"/>
    <n v="309.09945390156849"/>
    <n v="23568600"/>
    <x v="1"/>
    <n v="0.49484907014398782"/>
    <n v="155.07786053584306"/>
    <n v="292.04929138183593"/>
    <x v="746"/>
    <n v="1"/>
    <s v="JPMorgan Chase &amp; Co."/>
    <s v="Financials"/>
  </r>
  <r>
    <x v="305"/>
    <n v="307.95611572265625"/>
    <n v="309.19804284518358"/>
    <n v="305.11744234523064"/>
    <n v="305.35398843347792"/>
    <n v="7520200"/>
    <x v="1"/>
    <n v="-0.74336937065603292"/>
    <n v="153.92505921995092"/>
    <n v="292.55355041503907"/>
    <x v="747"/>
    <n v="0"/>
    <s v="JPMorgan Chase &amp; Co."/>
    <s v="Financials"/>
  </r>
  <r>
    <x v="306"/>
    <n v="308.25177001953125"/>
    <n v="311.77054315707727"/>
    <n v="306.12276518201463"/>
    <n v="307.34499004479613"/>
    <n v="8584400"/>
    <x v="1"/>
    <n v="9.6005333805826432E-2"/>
    <n v="154.07283548686587"/>
    <n v="293.02744995117189"/>
    <x v="748"/>
    <n v="0"/>
    <s v="JPMorgan Chase &amp; Co."/>
    <s v="Financials"/>
  </r>
  <r>
    <x v="307"/>
    <n v="308.92205810546875"/>
    <n v="312.036681822986"/>
    <n v="307.1971727167786"/>
    <n v="309.54299157852137"/>
    <n v="7310500"/>
    <x v="1"/>
    <n v="0.21744825208791507"/>
    <n v="154.40786417457431"/>
    <n v="293.55713867187501"/>
    <x v="749"/>
    <n v="0"/>
    <s v="JPMorgan Chase &amp; Co."/>
    <s v="Financials"/>
  </r>
  <r>
    <x v="308"/>
    <n v="308.95159912109369"/>
    <n v="311.12000822788536"/>
    <n v="307.32525469148578"/>
    <n v="309.61196690994507"/>
    <n v="7083200"/>
    <x v="1"/>
    <n v="9.5626112962321486E-3"/>
    <n v="154.42262959843615"/>
    <n v="294.1018084716797"/>
    <x v="750"/>
    <n v="0"/>
    <s v="JPMorgan Chase &amp; Co."/>
    <s v="Financials"/>
  </r>
  <r>
    <x v="309"/>
    <n v="311.52410888671875"/>
    <n v="313.24899401853833"/>
    <n v="309.19799251859178"/>
    <n v="310.38075284693087"/>
    <n v="7258100"/>
    <x v="1"/>
    <n v="0.83265785739363718"/>
    <n v="155.70844175738139"/>
    <n v="294.61749938964846"/>
    <x v="751"/>
    <n v="0"/>
    <s v="JPMorgan Chase &amp; Co."/>
    <s v="Financials"/>
  </r>
  <r>
    <x v="310"/>
    <n v="311.15945434570313"/>
    <n v="313.44616665049313"/>
    <n v="309.158588598915"/>
    <n v="312.50978831201064"/>
    <n v="6462400"/>
    <x v="1"/>
    <n v="-0.11705499850999113"/>
    <n v="155.52617724320234"/>
    <n v="295.09889038085936"/>
    <x v="752"/>
    <n v="0"/>
    <s v="JPMorgan Chase &amp; Co."/>
    <s v="Financials"/>
  </r>
  <r>
    <x v="311"/>
    <n v="310.90316772460938"/>
    <n v="312.8547630138109"/>
    <n v="305.65950932869447"/>
    <n v="311.71140689202122"/>
    <n v="11823300"/>
    <x v="1"/>
    <n v="-8.2365043875221033E-2"/>
    <n v="155.39807803907851"/>
    <n v="295.58106994628906"/>
    <x v="753"/>
    <n v="0"/>
    <s v="JPMorgan Chase &amp; Co."/>
    <s v="Financials"/>
  </r>
  <r>
    <x v="312"/>
    <n v="306.25091552734369"/>
    <n v="310.07523750053559"/>
    <n v="302.99828667529783"/>
    <n v="309.46414008660315"/>
    <n v="9235200"/>
    <x v="1"/>
    <n v="-1.4963669335741669"/>
    <n v="153.07275258389197"/>
    <n v="295.96113647460936"/>
    <x v="754"/>
    <n v="0"/>
    <s v="JPMorgan Chase &amp; Co."/>
    <s v="Financials"/>
  </r>
  <r>
    <x v="313"/>
    <n v="303.13623046875"/>
    <n v="306.10304253261489"/>
    <n v="301.74649234142129"/>
    <n v="305.5510816946321"/>
    <n v="7600000"/>
    <x v="1"/>
    <n v="-1.0170369787239397"/>
    <n v="151.51594608576318"/>
    <n v="296.1738385009765"/>
    <x v="755"/>
    <n v="0"/>
    <s v="JPMorgan Chase &amp; Co."/>
    <s v="Financials"/>
  </r>
  <r>
    <x v="314"/>
    <n v="305.5806884765625"/>
    <n v="307.18730079237451"/>
    <n v="303.78680048715194"/>
    <n v="304.08251316738762"/>
    <n v="6029900"/>
    <x v="1"/>
    <n v="0.80638926070715211"/>
    <n v="152.73775440325764"/>
    <n v="296.43956970214839"/>
    <x v="756"/>
    <n v="0"/>
    <s v="JPMorgan Chase &amp; Co."/>
    <s v="Financials"/>
  </r>
  <r>
    <x v="315"/>
    <n v="306.22442626953125"/>
    <n v="308.76986593901421"/>
    <n v="302.21315381439217"/>
    <n v="307.21486689804453"/>
    <n v="7214500"/>
    <x v="1"/>
    <n v="0.21066049565436895"/>
    <n v="153.05951251373489"/>
    <n v="296.67736999511715"/>
    <x v="757"/>
    <n v="0"/>
    <s v="JPMorgan Chase &amp; Co."/>
    <s v="Financials"/>
  </r>
  <r>
    <x v="316"/>
    <n v="304.74871826171875"/>
    <n v="307.04654806705378"/>
    <n v="301.78731007714714"/>
    <n v="306.39285354178503"/>
    <n v="8454200"/>
    <x v="1"/>
    <n v="-0.48190408119619388"/>
    <n v="152.32191247627219"/>
    <n v="296.89235839843747"/>
    <x v="758"/>
    <n v="0"/>
    <s v="JPMorgan Chase &amp; Co."/>
    <s v="Financials"/>
  </r>
  <r>
    <x v="317"/>
    <n v="301.1236572265625"/>
    <n v="305.82825012058311"/>
    <n v="300.64823485280857"/>
    <n v="305.26369171909693"/>
    <n v="6489900"/>
    <x v="1"/>
    <n v="-1.1895246207542787"/>
    <n v="150.51000582456317"/>
    <n v="297.05928894042967"/>
    <x v="759"/>
    <n v="0"/>
    <s v="JPMorgan Chase &amp; Co."/>
    <s v="Financials"/>
  </r>
  <r>
    <x v="318"/>
    <n v="301.1236572265625"/>
    <n v="305.09536030036105"/>
    <n v="300.4898171115272"/>
    <n v="302.13392206728275"/>
    <n v="7060300"/>
    <x v="1"/>
    <n v="0"/>
    <n v="150.51000582456317"/>
    <n v="297.17516357421869"/>
    <x v="760"/>
    <n v="0"/>
    <s v="JPMorgan Chase &amp; Co."/>
    <s v="Financials"/>
  </r>
  <r>
    <x v="319"/>
    <n v="298.01370239257813"/>
    <n v="307.50211054267186"/>
    <n v="297.93445021391449"/>
    <n v="302.73809342295908"/>
    <n v="8597400"/>
    <x v="1"/>
    <n v="-1.0327832966124162"/>
    <n v="148.95556362467667"/>
    <n v="297.2956665039062"/>
    <x v="761"/>
    <n v="0"/>
    <s v="JPMorgan Chase &amp; Co."/>
    <s v="Financials"/>
  </r>
  <r>
    <x v="320"/>
    <n v="305.02603149414063"/>
    <n v="306.50177850311871"/>
    <n v="302.53013174675482"/>
    <n v="302.67869181043511"/>
    <n v="10788700"/>
    <x v="1"/>
    <n v="2.3530223762412872"/>
    <n v="152.46052136742165"/>
    <n v="297.6918432617187"/>
    <x v="762"/>
    <n v="0"/>
    <s v="JPMorgan Chase &amp; Co."/>
    <s v="Financials"/>
  </r>
  <r>
    <x v="321"/>
    <n v="299.19232177734369"/>
    <n v="304.06530345786763"/>
    <n v="291.39755808509767"/>
    <n v="302.91638858642943"/>
    <n v="16178800"/>
    <x v="1"/>
    <n v="-1.9125284777240403"/>
    <n v="149.54467047898316"/>
    <n v="297.87494995117186"/>
    <x v="763"/>
    <n v="0"/>
    <s v="JPMorgan Chase &amp; Co."/>
    <s v="Financials"/>
  </r>
  <r>
    <x v="322"/>
    <n v="302.767822265625"/>
    <n v="309.13634876005415"/>
    <n v="302.52021208877301"/>
    <n v="303.46114285115129"/>
    <n v="11354800"/>
    <x v="1"/>
    <n v="1.1950508846755081"/>
    <n v="151.33180538652732"/>
    <n v="298.18653747558591"/>
    <x v="764"/>
    <n v="0"/>
    <s v="JPMorgan Chase &amp; Co."/>
    <s v="Financials"/>
  </r>
  <r>
    <x v="323"/>
    <n v="295.6861572265625"/>
    <n v="305.72920960203999"/>
    <n v="294.23020827624731"/>
    <n v="302.43105556912377"/>
    <n v="10549400"/>
    <x v="1"/>
    <n v="-2.3389754519057115"/>
    <n v="147.79219160761073"/>
    <n v="298.3568853759765"/>
    <x v="765"/>
    <n v="0"/>
    <s v="JPMorgan Chase &amp; Co."/>
    <s v="Financials"/>
  </r>
  <r>
    <x v="324"/>
    <n v="294.71554565429688"/>
    <n v="296.68651306450823"/>
    <n v="291.3876792596173"/>
    <n v="296.30025689141456"/>
    <n v="10153500"/>
    <x v="1"/>
    <n v="-0.32825735954961077"/>
    <n v="147.30705286181907"/>
    <n v="298.50782104492185"/>
    <x v="766"/>
    <n v="0"/>
    <s v="JPMorgan Chase &amp; Co."/>
    <s v="Financials"/>
  </r>
  <r>
    <x v="325"/>
    <n v="299.46963500976563"/>
    <n v="300.78693806489423"/>
    <n v="295.30980221269169"/>
    <n v="295.64654842298921"/>
    <n v="6894900"/>
    <x v="1"/>
    <n v="1.6131111594110958"/>
    <n v="149.68327937013265"/>
    <n v="298.80489562988276"/>
    <x v="767"/>
    <n v="0"/>
    <s v="JPMorgan Chase &amp; Co."/>
    <s v="Financials"/>
  </r>
  <r>
    <x v="326"/>
    <n v="294.25"/>
    <n v="301.14345824801012"/>
    <n v="294.16086397135297"/>
    <n v="298.77632088500872"/>
    <n v="7372700"/>
    <x v="1"/>
    <n v="-1.742959685911194"/>
    <n v="147.07436015416141"/>
    <n v="298.98180725097654"/>
    <x v="768"/>
    <n v="0"/>
    <s v="JPMorgan Chase &amp; Co."/>
    <s v="Financials"/>
  </r>
  <r>
    <x v="327"/>
    <n v="291.29852294921875"/>
    <n v="295.21077611588424"/>
    <n v="287.76267234049385"/>
    <n v="294.92353982678844"/>
    <n v="8054100"/>
    <x v="1"/>
    <n v="-1.0030508243946468"/>
    <n v="145.59912957216196"/>
    <n v="299.03483276367183"/>
    <x v="769"/>
    <n v="0"/>
    <s v="JPMorgan Chase &amp; Co."/>
    <s v="Financials"/>
  </r>
  <r>
    <x v="328"/>
    <n v="291.72442626953125"/>
    <n v="293.53691953831486"/>
    <n v="289.7138327608809"/>
    <n v="291.56595212280843"/>
    <n v="5438800"/>
    <x v="1"/>
    <n v="0.1462085409841718"/>
    <n v="145.81200793519506"/>
    <n v="299.14211059570312"/>
    <x v="770"/>
    <n v="0"/>
    <s v="JPMorgan Chase &amp; Co."/>
    <s v="Financials"/>
  </r>
  <r>
    <x v="329"/>
    <n v="297.5679931640625"/>
    <n v="299.70734860853685"/>
    <n v="292.62570396194189"/>
    <n v="293.24965618562811"/>
    <n v="7228300"/>
    <x v="1"/>
    <n v="2.0031119674333464"/>
    <n v="148.73278571609981"/>
    <n v="299.29470153808592"/>
    <x v="771"/>
    <n v="0"/>
    <s v="JPMorgan Chase &amp; Co."/>
    <s v="Financials"/>
  </r>
  <r>
    <x v="330"/>
    <n v="301.24252319335938"/>
    <n v="301.61889548341833"/>
    <n v="298.13255521259686"/>
    <n v="299.27155593587759"/>
    <n v="5642200"/>
    <x v="1"/>
    <n v="1.2348539203512088"/>
    <n v="150.56941835136266"/>
    <n v="299.59313049316404"/>
    <x v="772"/>
    <n v="0"/>
    <s v="JPMorgan Chase &amp; Co."/>
    <s v="Financials"/>
  </r>
  <r>
    <x v="331"/>
    <n v="302.44097900390625"/>
    <n v="305.02604513092291"/>
    <n v="300.26202744552563"/>
    <n v="301.9457586189306"/>
    <n v="6336000"/>
    <x v="1"/>
    <n v="0.39783752899242852"/>
    <n v="151.16844000474998"/>
    <n v="299.8950268554687"/>
    <x v="773"/>
    <n v="0"/>
    <s v="JPMorgan Chase &amp; Co."/>
    <s v="Financials"/>
  </r>
  <r>
    <x v="332"/>
    <n v="302.58956909179688"/>
    <n v="305.30336712732219"/>
    <n v="300.11346716862317"/>
    <n v="300.60868755325788"/>
    <n v="7520300"/>
    <x v="1"/>
    <n v="4.9130276055842081E-2"/>
    <n v="151.24270947663362"/>
    <n v="300.21704467773435"/>
    <x v="774"/>
    <n v="0"/>
    <s v="JPMorgan Chase &amp; Co."/>
    <s v="Financials"/>
  </r>
  <r>
    <x v="333"/>
    <n v="306.48196411132813"/>
    <n v="309.62164411662417"/>
    <n v="302.18345521985231"/>
    <n v="302.86686170193389"/>
    <n v="7514600"/>
    <x v="1"/>
    <n v="1.2863612685704906"/>
    <n v="153.18823711287763"/>
    <n v="300.58576477050775"/>
    <x v="775"/>
    <n v="0"/>
    <s v="JPMorgan Chase &amp; Co."/>
    <s v="Financials"/>
  </r>
  <r>
    <x v="334"/>
    <n v="308.14590454101563"/>
    <n v="309.87917575922728"/>
    <n v="304.3129038831637"/>
    <n v="305.59058084439812"/>
    <n v="7721300"/>
    <x v="1"/>
    <n v="0.54291626409803673"/>
    <n v="154.0199209668485"/>
    <n v="301.0029418945312"/>
    <x v="776"/>
    <n v="0"/>
    <s v="JPMorgan Chase &amp; Co."/>
    <s v="Financials"/>
  </r>
  <r>
    <x v="335"/>
    <n v="306.39285278320313"/>
    <n v="309.33446302670291"/>
    <n v="303.28285431242927"/>
    <n v="308.02707397940242"/>
    <n v="7770000"/>
    <x v="1"/>
    <n v="-0.56890315009173742"/>
    <n v="153.14369678469933"/>
    <n v="301.2910278320312"/>
    <x v="777"/>
    <n v="0"/>
    <s v="JPMorgan Chase &amp; Co."/>
    <s v="Financials"/>
  </r>
  <r>
    <x v="336"/>
    <n v="306.29379272460938"/>
    <n v="309.23540287266394"/>
    <n v="302.18346978091279"/>
    <n v="303.77806483204012"/>
    <n v="7085200"/>
    <x v="1"/>
    <n v="-3.2331060497625685E-2"/>
    <n v="153.09418380344354"/>
    <n v="301.60354736328122"/>
    <x v="778"/>
    <n v="0"/>
    <s v="JPMorgan Chase &amp; Co."/>
    <s v="Financials"/>
  </r>
  <r>
    <x v="337"/>
    <n v="308.7005615234375"/>
    <n v="310.10700066875802"/>
    <n v="302.70840715746203"/>
    <n v="306.65034194450971"/>
    <n v="6865200"/>
    <x v="1"/>
    <n v="0.78577132674446659"/>
    <n v="154.29715400268449"/>
    <n v="301.8918560791015"/>
    <x v="779"/>
    <n v="0"/>
    <s v="JPMorgan Chase &amp; Co."/>
    <s v="Financials"/>
  </r>
  <r>
    <x v="338"/>
    <n v="310.4239501953125"/>
    <n v="311.83035912038315"/>
    <n v="307.29415382814523"/>
    <n v="308.01715622418413"/>
    <n v="7206100"/>
    <x v="1"/>
    <n v="0.55827195887498959"/>
    <n v="155.15855174682366"/>
    <n v="302.20063598632811"/>
    <x v="780"/>
    <n v="0"/>
    <s v="JPMorgan Chase &amp; Co."/>
    <s v="Financials"/>
  </r>
  <r>
    <x v="339"/>
    <n v="311.20635986328125"/>
    <n v="311.42425802350027"/>
    <n v="304.69918751999461"/>
    <n v="308.90856044061366"/>
    <n v="7302300"/>
    <x v="1"/>
    <n v="0.25204552273638825"/>
    <n v="155.54962192964413"/>
    <n v="302.48977783203122"/>
    <x v="781"/>
    <n v="0"/>
    <s v="JPMorgan Chase &amp; Co."/>
    <s v="Financials"/>
  </r>
  <r>
    <x v="340"/>
    <n v="313.86077880859369"/>
    <n v="316.50523864276357"/>
    <n v="311.20637466895539"/>
    <n v="311.98883131231071"/>
    <n v="5794100"/>
    <x v="1"/>
    <n v="0.85294495474919074"/>
    <n v="156.87637458202448"/>
    <n v="302.82510864257807"/>
    <x v="782"/>
    <n v="0"/>
    <s v="JPMorgan Chase &amp; Co."/>
    <s v="Financials"/>
  </r>
  <r>
    <x v="341"/>
    <n v="312.6029052734375"/>
    <n v="316.00010979819439"/>
    <n v="312.26615904489938"/>
    <n v="314.46493872311561"/>
    <n v="5030200"/>
    <x v="1"/>
    <n v="-0.40077436241987563"/>
    <n v="156.24765429200596"/>
    <n v="303.1691876220703"/>
    <x v="783"/>
    <n v="0"/>
    <s v="JPMorgan Chase &amp; Co."/>
    <s v="Financials"/>
  </r>
  <r>
    <x v="342"/>
    <n v="317.34710693359369"/>
    <n v="319.16951418656384"/>
    <n v="313.18724392134919"/>
    <n v="313.23678409164449"/>
    <n v="10578300"/>
    <x v="1"/>
    <n v="1.5176447755680167"/>
    <n v="158.61893865431617"/>
    <n v="303.61189697265621"/>
    <x v="784"/>
    <n v="0"/>
    <s v="JPMorgan Chase &amp; Co."/>
    <s v="Financials"/>
  </r>
  <r>
    <x v="343"/>
    <n v="306.5216064453125"/>
    <n v="317.56501448356801"/>
    <n v="306.14523413368721"/>
    <n v="316.17840351377919"/>
    <n v="8973300"/>
    <x v="1"/>
    <n v="-3.4112491501447573"/>
    <n v="153.20805145750219"/>
    <n v="303.75313293457026"/>
    <x v="785"/>
    <n v="0"/>
    <s v="JPMorgan Chase &amp; Co."/>
    <s v="Financials"/>
  </r>
  <r>
    <x v="344"/>
    <n v="300.70770263671875"/>
    <n v="304.69920788981074"/>
    <n v="298.35047903330133"/>
    <n v="304.57044575573002"/>
    <n v="10327000"/>
    <x v="1"/>
    <n v="-1.8967353968996736"/>
    <n v="150.30210011460747"/>
    <n v="303.96418151855465"/>
    <x v="786"/>
    <n v="0"/>
    <s v="JPMorgan Chase &amp; Co."/>
    <s v="Financials"/>
  </r>
  <r>
    <x v="345"/>
    <n v="297.4986572265625"/>
    <n v="302.66875869849656"/>
    <n v="294.82448557091749"/>
    <n v="301.09396167080718"/>
    <n v="8344000"/>
    <x v="1"/>
    <n v="-1.0671643532966124"/>
    <n v="148.6981296799282"/>
    <n v="304.14002746582025"/>
    <x v="787"/>
    <n v="0"/>
    <s v="JPMorgan Chase &amp; Co."/>
    <s v="Financials"/>
  </r>
  <r>
    <x v="346"/>
    <n v="296.5478515625"/>
    <n v="300.05402007948175"/>
    <n v="294.18068379746808"/>
    <n v="296.63698759778117"/>
    <n v="8077300"/>
    <x v="1"/>
    <n v="-0.31959998506426723"/>
    <n v="148.2228904796803"/>
    <n v="304.1994750976562"/>
    <x v="788"/>
    <n v="0"/>
    <s v="JPMorgan Chase &amp; Co."/>
    <s v="Financials"/>
  </r>
  <r>
    <x v="347"/>
    <n v="300.37094116210938"/>
    <n v="301.5396841634701"/>
    <n v="296.40917834952103"/>
    <n v="296.87468668903421"/>
    <n v="5546600"/>
    <x v="1"/>
    <n v="1.2891982118452994"/>
    <n v="150.13377733328971"/>
    <n v="304.28235656738275"/>
    <x v="789"/>
    <n v="0"/>
    <s v="JPMorgan Chase &amp; Co."/>
    <s v="Financials"/>
  </r>
  <r>
    <x v="348"/>
    <n v="295.5277099609375"/>
    <n v="306.95740445253"/>
    <n v="295.30981179122421"/>
    <n v="303.41160971136401"/>
    <n v="7501600"/>
    <x v="1"/>
    <n v="-1.6124166946488994"/>
    <n v="147.71299524326076"/>
    <n v="304.16941406249998"/>
    <x v="790"/>
    <n v="0"/>
    <s v="JPMorgan Chase &amp; Co."/>
    <s v="Financials"/>
  </r>
  <r>
    <x v="349"/>
    <n v="295.17111206054688"/>
    <n v="298.79612847191561"/>
    <n v="290.01092472978763"/>
    <n v="298.40987233529643"/>
    <n v="11766800"/>
    <x v="1"/>
    <n v="-0.12066479330745672"/>
    <n v="147.53475766286223"/>
    <n v="304.02272705078121"/>
    <x v="791"/>
    <n v="0"/>
    <s v="JPMorgan Chase &amp; Co."/>
    <s v="Financials"/>
  </r>
  <r>
    <x v="350"/>
    <n v="295.15133666992188"/>
    <n v="296.9539460474125"/>
    <n v="291.69470820468445"/>
    <n v="295.38903277214843"/>
    <n v="10940200"/>
    <x v="1"/>
    <n v="-6.6996361828719486E-3"/>
    <n v="147.52487337085554"/>
    <n v="303.83641662597654"/>
    <x v="792"/>
    <n v="0"/>
    <s v="JPMorgan Chase &amp; Co."/>
    <s v="Financials"/>
  </r>
  <r>
    <x v="351"/>
    <n v="300.103515625"/>
    <n v="301.58917659344058"/>
    <n v="292.73463480346669"/>
    <n v="297.18170363006027"/>
    <n v="8877200"/>
    <x v="1"/>
    <n v="1.6778439870717365"/>
    <n v="150.00011058814363"/>
    <n v="303.74343261718747"/>
    <x v="793"/>
    <n v="0"/>
    <s v="JPMorgan Chase &amp; Co."/>
    <s v="Financials"/>
  </r>
  <r>
    <x v="352"/>
    <n v="304.69918823242188"/>
    <n v="305.58066472865232"/>
    <n v="300.30162915288383"/>
    <n v="302.08441030367982"/>
    <n v="7910900"/>
    <x v="1"/>
    <n v="1.5313624693302552"/>
    <n v="152.29715598564431"/>
    <n v="303.6918969726562"/>
    <x v="794"/>
    <n v="0"/>
    <s v="JPMorgan Chase &amp; Co."/>
    <s v="Financials"/>
  </r>
  <r>
    <x v="353"/>
    <n v="310.08718872070313"/>
    <n v="310.72108533366418"/>
    <n v="305.29345893213809"/>
    <n v="306.14525372757282"/>
    <n v="4322400"/>
    <x v="1"/>
    <n v="1.7683015565408411"/>
    <n v="154.99022896550591"/>
    <n v="303.7189459228515"/>
    <x v="795"/>
    <n v="0"/>
    <s v="JPMorgan Chase &amp; Co."/>
    <s v="Financials"/>
  </r>
  <r>
    <x v="354"/>
    <n v="305.96697998046875"/>
    <n v="311.03803195323798"/>
    <n v="305.59060764679617"/>
    <n v="309.95845512688197"/>
    <n v="7727300"/>
    <x v="1"/>
    <n v="-1.3287258842368588"/>
    <n v="152.93083367520325"/>
    <n v="303.63303527832028"/>
    <x v="796"/>
    <n v="0"/>
    <s v="JPMorgan Chase &amp; Co."/>
    <s v="Financials"/>
  </r>
  <r>
    <x v="355"/>
    <n v="304.9368896484375"/>
    <n v="307.51204153131079"/>
    <n v="304.15443302682007"/>
    <n v="305.7886541478843"/>
    <n v="7249000"/>
    <x v="1"/>
    <n v="-0.33666715672946435"/>
    <n v="152.41596578570628"/>
    <n v="303.57265075683591"/>
    <x v="797"/>
    <n v="0"/>
    <s v="JPMorgan Chase &amp; Co."/>
    <s v="Financials"/>
  </r>
  <r>
    <x v="356"/>
    <n v="309.14627075195313"/>
    <n v="309.37405277594195"/>
    <n v="303.86720471987456"/>
    <n v="304.26340519365976"/>
    <n v="8535300"/>
    <x v="1"/>
    <n v="1.3804105854062554"/>
    <n v="154.51993191126135"/>
    <n v="303.59054077148431"/>
    <x v="798"/>
    <n v="0"/>
    <s v="JPMorgan Chase &amp; Co."/>
    <s v="Financials"/>
  </r>
  <r>
    <x v="357"/>
    <n v="313.07830810546875"/>
    <n v="315.44544563675794"/>
    <n v="310.0079359217761"/>
    <n v="310.26546017340843"/>
    <n v="9627800"/>
    <x v="1"/>
    <n v="1.2719019200689408"/>
    <n v="156.48527389212992"/>
    <n v="303.67366577148437"/>
    <x v="799"/>
    <n v="0"/>
    <s v="JPMorgan Chase &amp; Co."/>
    <s v="Financials"/>
  </r>
  <r>
    <x v="358"/>
    <n v="312.02847290039063"/>
    <n v="315.43559161373508"/>
    <n v="311.67189850088278"/>
    <n v="312.62274341566774"/>
    <n v="6518900"/>
    <x v="1"/>
    <n v="-0.33532671472226161"/>
    <n v="155.96053696416328"/>
    <n v="303.73520324707033"/>
    <x v="800"/>
    <n v="0"/>
    <s v="JPMorgan Chase &amp; Co."/>
    <s v="Financials"/>
  </r>
  <r>
    <x v="359"/>
    <n v="312.19680786132813"/>
    <n v="313.44477282870224"/>
    <n v="310.35460264839662"/>
    <n v="312.04824779993879"/>
    <n v="7417200"/>
    <x v="1"/>
    <n v="5.3948589810670633E-2"/>
    <n v="156.04467547451659"/>
    <n v="303.7486572265625"/>
    <x v="801"/>
    <n v="0"/>
    <s v="JPMorgan Chase &amp; Co."/>
    <s v="Financials"/>
  </r>
  <r>
    <x v="360"/>
    <n v="297.63735961914063"/>
    <n v="315.7524991840304"/>
    <n v="297.15202309779249"/>
    <n v="311.93932647510701"/>
    <n v="18049200"/>
    <x v="1"/>
    <n v="-4.6635480810727987"/>
    <n v="148.7674570058085"/>
    <n v="303.47821533203125"/>
    <x v="802"/>
    <n v="1"/>
    <s v="JPMorgan Chase &amp; Co."/>
    <s v="Financials"/>
  </r>
  <r>
    <x v="361"/>
    <n v="307.14553833007813"/>
    <n v="308.21523116853888"/>
    <n v="295.60691069504315"/>
    <n v="297.62741810314122"/>
    <n v="18874100"/>
    <x v="1"/>
    <n v="3.1945514914875739"/>
    <n v="153.51991002243568"/>
    <n v="303.40306274414064"/>
    <x v="803"/>
    <n v="1"/>
    <s v="JPMorgan Chase &amp; Co."/>
    <s v="Financials"/>
  </r>
  <r>
    <x v="362"/>
    <n v="314.3460693359375"/>
    <n v="314.96013772429524"/>
    <n v="306.28386765433481"/>
    <n v="306.28386765433481"/>
    <n v="9721900"/>
    <x v="1"/>
    <n v="2.3443384673624168"/>
    <n v="157.11893632815182"/>
    <n v="303.56496582031252"/>
    <x v="804"/>
    <n v="0"/>
    <s v="JPMorgan Chase &amp; Co."/>
    <s v="Financials"/>
  </r>
  <r>
    <x v="363"/>
    <n v="315.47515869140625"/>
    <n v="317.20842990436694"/>
    <n v="313.57352948709178"/>
    <n v="316.62407352252808"/>
    <n v="8982900"/>
    <x v="1"/>
    <n v="0.35918672622627934"/>
    <n v="157.68328669183046"/>
    <n v="303.81174438476563"/>
    <x v="805"/>
    <n v="0"/>
    <s v="JPMorgan Chase &amp; Co."/>
    <s v="Financials"/>
  </r>
  <r>
    <x v="364"/>
    <n v="316.96084594726563"/>
    <n v="319.79352228132637"/>
    <n v="315.34645287366618"/>
    <n v="316.53496366820298"/>
    <n v="10864100"/>
    <x v="1"/>
    <n v="0.47093636849950826"/>
    <n v="158.42587463590763"/>
    <n v="304.03934753417968"/>
    <x v="806"/>
    <n v="0"/>
    <s v="JPMorgan Chase &amp; Co."/>
    <s v="Financials"/>
  </r>
  <r>
    <x v="365"/>
    <n v="312.53353881835938"/>
    <n v="316.46558945571707"/>
    <n v="311.39453810217623"/>
    <n v="316.03970722524122"/>
    <n v="8331300"/>
    <x v="1"/>
    <n v="-1.3967993793286504"/>
    <n v="156.21298300229728"/>
    <n v="304.16552978515625"/>
    <x v="807"/>
    <n v="0"/>
    <s v="JPMorgan Chase &amp; Co."/>
    <s v="Financials"/>
  </r>
  <r>
    <x v="366"/>
    <n v="311.96902465820313"/>
    <n v="316.31704364290192"/>
    <n v="311.65207637787449"/>
    <n v="315.38602696059388"/>
    <n v="8718700"/>
    <x v="1"/>
    <n v="-0.18062514579734179"/>
    <n v="155.93082307399501"/>
    <n v="304.30993591308595"/>
    <x v="808"/>
    <n v="0"/>
    <s v="JPMorgan Chase &amp; Co."/>
    <s v="Financials"/>
  </r>
  <r>
    <x v="367"/>
    <n v="310.0079345703125"/>
    <n v="314.66301788263524"/>
    <n v="309.23539204463458"/>
    <n v="312.97925662689698"/>
    <n v="11444900"/>
    <x v="1"/>
    <n v="-0.62861692440113748"/>
    <n v="154.95061552979388"/>
    <n v="304.48762145996096"/>
    <x v="809"/>
    <n v="0"/>
    <s v="JPMorgan Chase &amp; Co."/>
    <s v="Financials"/>
  </r>
  <r>
    <x v="368"/>
    <n v="314.17767333984369"/>
    <n v="315.51477427620307"/>
    <n v="310.19611276738613"/>
    <n v="310.79038320864026"/>
    <n v="24494400"/>
    <x v="1"/>
    <n v="1.3450425955421563"/>
    <n v="157.03476731072439"/>
    <n v="304.74870178222659"/>
    <x v="810"/>
    <n v="1"/>
    <s v="JPMorgan Chase &amp; Co."/>
    <s v="Financials"/>
  </r>
  <r>
    <x v="369"/>
    <n v="320.00146484375"/>
    <n v="320.14014104266494"/>
    <n v="314.47481933577194"/>
    <n v="314.47481933577194"/>
    <n v="8354600"/>
    <x v="1"/>
    <n v="1.8536617965232649"/>
    <n v="159.94566079962246"/>
    <n v="305.18845703124998"/>
    <x v="811"/>
    <n v="0"/>
    <s v="JPMorgan Chase &amp; Co."/>
    <s v="Financials"/>
  </r>
  <r>
    <x v="370"/>
    <n v="322.8143310546875"/>
    <n v="324.6466524002949"/>
    <n v="320.00148308544306"/>
    <n v="320.51650136966475"/>
    <n v="6668300"/>
    <x v="1"/>
    <n v="0.8790166670989974"/>
    <n v="161.35160981635278"/>
    <n v="305.54422302246093"/>
    <x v="812"/>
    <n v="0"/>
    <s v="JPMorgan Chase &amp; Co."/>
    <s v="Financials"/>
  </r>
  <r>
    <x v="371"/>
    <n v="326.02337646484369"/>
    <n v="326.8355148620812"/>
    <n v="322.38844581936451"/>
    <n v="323.12136226047562"/>
    <n v="4289300"/>
    <x v="1"/>
    <n v="0.99408393663060757"/>
    <n v="162.95558025103202"/>
    <n v="306.08084411621093"/>
    <x v="813"/>
    <n v="0"/>
    <s v="JPMorgan Chase &amp; Co."/>
    <s v="Financials"/>
  </r>
  <r>
    <x v="372"/>
    <n v="324.77542114257813"/>
    <n v="327.69720314024562"/>
    <n v="323.41852218805178"/>
    <n v="325.96393187480061"/>
    <n v="4158300"/>
    <x v="1"/>
    <n v="-0.38278093301084004"/>
    <n v="162.33181736055391"/>
    <n v="306.52099609375"/>
    <x v="814"/>
    <n v="0"/>
    <s v="JPMorgan Chase &amp; Co."/>
    <s v="Financials"/>
  </r>
  <r>
    <x v="373"/>
    <n v="320.65518188476563"/>
    <n v="324.6367426827693"/>
    <n v="320.43728371815735"/>
    <n v="323.87411421256638"/>
    <n v="8635300"/>
    <x v="1"/>
    <n v="-1.2686425725559114"/>
    <n v="160.27240681671421"/>
    <n v="307.02037658691404"/>
    <x v="815"/>
    <n v="0"/>
    <s v="JPMorgan Chase &amp; Co."/>
    <s v="Financials"/>
  </r>
  <r>
    <x v="374"/>
    <n v="320.32833862304688"/>
    <n v="321.83379757815135"/>
    <n v="319.40720581728044"/>
    <n v="321.70503545337482"/>
    <n v="7904300"/>
    <x v="1"/>
    <n v="-0.10192982374325199"/>
    <n v="160.10904143493687"/>
    <n v="307.53263244628909"/>
    <x v="816"/>
    <n v="0"/>
    <s v="JPMorgan Chase &amp; Co."/>
    <s v="Financials"/>
  </r>
  <r>
    <x v="375"/>
    <n v="319.13980102539063"/>
    <n v="321.77437689354394"/>
    <n v="318.96152895501251"/>
    <n v="321.23953045655838"/>
    <n v="5048500"/>
    <x v="1"/>
    <n v="-0.37103729341126934"/>
    <n v="159.51497718108993"/>
    <n v="307.92603576660156"/>
    <x v="817"/>
    <n v="0"/>
    <s v="JPMorgan Chase &amp; Co."/>
    <s v="Financials"/>
  </r>
  <r>
    <x v="376"/>
    <n v="322.36865234375"/>
    <n v="322.61626252061376"/>
    <n v="317.67394283683433"/>
    <n v="319.41712815422761"/>
    <n v="8054000"/>
    <x v="1"/>
    <n v="1.0117357057894738"/>
    <n v="161.12884716131296"/>
    <n v="308.48840881347655"/>
    <x v="818"/>
    <n v="0"/>
    <s v="JPMorgan Chase &amp; Co."/>
    <s v="Financials"/>
  </r>
  <r>
    <x v="377"/>
    <n v="330.84683227539063"/>
    <n v="334.02613857815902"/>
    <n v="322.08142570711647"/>
    <n v="322.38845991754118"/>
    <n v="10752600"/>
    <x v="1"/>
    <n v="2.629964132678797"/>
    <n v="165.36647804905434"/>
    <n v="309.27937500000002"/>
    <x v="819"/>
    <n v="0"/>
    <s v="JPMorgan Chase &amp; Co."/>
    <s v="Financials"/>
  </r>
  <r>
    <x v="378"/>
    <n v="332.90625"/>
    <n v="334.15984416754071"/>
    <n v="328.9664216534041"/>
    <n v="330.92639220894705"/>
    <n v="7660800"/>
    <x v="1"/>
    <n v="0.62246862405959114"/>
    <n v="166.39583248962208"/>
    <n v="310.10301147460939"/>
    <x v="820"/>
    <n v="0"/>
    <s v="JPMorgan Chase &amp; Co."/>
    <s v="Financials"/>
  </r>
  <r>
    <x v="379"/>
    <n v="325.3250732421875"/>
    <n v="330.45880399676645"/>
    <n v="322.94725806239501"/>
    <n v="329.45396720464191"/>
    <n v="9815200"/>
    <x v="1"/>
    <n v="-2.2772707805313042"/>
    <n v="162.6065488163141"/>
    <n v="310.65815307617186"/>
    <x v="821"/>
    <n v="0"/>
    <s v="JPMorgan Chase &amp; Co."/>
    <s v="Financials"/>
  </r>
  <r>
    <x v="380"/>
    <n v="328.11083984375"/>
    <n v="329.7126277455971"/>
    <n v="323.99190461809644"/>
    <n v="324.72815745818838"/>
    <n v="11737100"/>
    <x v="1"/>
    <n v="0.85630245889121159"/>
    <n v="163.99895269214636"/>
    <n v="311.19551940917967"/>
    <x v="822"/>
    <n v="0"/>
    <s v="JPMorgan Chase &amp; Co."/>
    <s v="Financials"/>
  </r>
  <r>
    <x v="381"/>
    <n v="327.51388549804688"/>
    <n v="330.21007865256746"/>
    <n v="326.49908990111049"/>
    <n v="327.66311567962669"/>
    <n v="6738100"/>
    <x v="1"/>
    <n v="-0.18193679489144632"/>
    <n v="163.7005782539627"/>
    <n v="311.69697753906252"/>
    <x v="823"/>
    <n v="0"/>
    <s v="JPMorgan Chase &amp; Co."/>
    <s v="Financials"/>
  </r>
  <r>
    <x v="382"/>
    <n v="327.51388549804688"/>
    <n v="324.36000762524651"/>
    <n v="319.59441851466954"/>
    <n v="320.2411028663189"/>
    <n v="12805100"/>
    <x v="1"/>
    <n v="0"/>
    <n v="163.7005782539627"/>
    <n v="312.19546386718753"/>
    <x v="824"/>
    <n v="0"/>
    <s v="JPMorgan Chase &amp; Co."/>
    <s v="Financials"/>
  </r>
  <r>
    <x v="383"/>
    <n v="309.31698608398438"/>
    <n v="325.19571413714289"/>
    <n v="308.98867970255878"/>
    <n v="322.64875130423195"/>
    <n v="19371200"/>
    <x v="1"/>
    <n v="-5.5560695957640576"/>
    <n v="154.60526019750432"/>
    <n v="312.25216430664062"/>
    <x v="825"/>
    <n v="0"/>
    <s v="JPMorgan Chase &amp; Co."/>
    <s v="Financials"/>
  </r>
  <r>
    <x v="384"/>
    <n v="306.30242919921875"/>
    <n v="310.17263725890126"/>
    <n v="304.56133958477091"/>
    <n v="306.63076595791432"/>
    <n v="25951500"/>
    <x v="1"/>
    <n v="-0.97458497928953891"/>
    <n v="153.09850055442794"/>
    <n v="312.21529479980467"/>
    <x v="826"/>
    <n v="1"/>
    <s v="JPMorgan Chase &amp; Co."/>
    <s v="Financials"/>
  </r>
  <r>
    <x v="385"/>
    <n v="307.68536376953125"/>
    <n v="311.34661918362463"/>
    <n v="306.18304245620016"/>
    <n v="306.89937767740912"/>
    <n v="14751400"/>
    <x v="1"/>
    <n v="0.45149317748736095"/>
    <n v="153.78972983926664"/>
    <n v="312.24114501953125"/>
    <x v="827"/>
    <n v="0"/>
    <s v="JPMorgan Chase &amp; Co."/>
    <s v="Financials"/>
  </r>
  <r>
    <x v="386"/>
    <n v="310.87899780273438"/>
    <n v="315.59485343015649"/>
    <n v="308.42157308655703"/>
    <n v="308.76979706409315"/>
    <n v="14652500"/>
    <x v="1"/>
    <n v="1.0379544850873224"/>
    <n v="155.385997237737"/>
    <n v="312.33284912109377"/>
    <x v="828"/>
    <n v="0"/>
    <s v="JPMorgan Chase &amp; Co."/>
    <s v="Financials"/>
  </r>
  <r>
    <x v="387"/>
    <n v="301.19854736328125"/>
    <n v="309.56573031914434"/>
    <n v="300.32302314802803"/>
    <n v="304.65088058894946"/>
    <n v="12900600"/>
    <x v="1"/>
    <n v="-3.1138965667908414"/>
    <n v="150.54743800447739"/>
    <n v="312.1828088378906"/>
    <x v="829"/>
    <n v="0"/>
    <s v="JPMorgan Chase &amp; Co."/>
    <s v="Financials"/>
  </r>
  <r>
    <x v="388"/>
    <n v="300.50213623046875"/>
    <n v="303.8450138204667"/>
    <n v="299.61665319654776"/>
    <n v="301.88504309324475"/>
    <n v="10270100"/>
    <x v="1"/>
    <n v="-0.23121331059161587"/>
    <n v="150.19935228905638"/>
    <n v="311.98437255859375"/>
    <x v="830"/>
    <n v="0"/>
    <s v="JPMorgan Chase &amp; Co."/>
    <s v="Financials"/>
  </r>
  <r>
    <x v="389"/>
    <n v="302.08401489257813"/>
    <n v="306.63075315423742"/>
    <n v="301.35772089620315"/>
    <n v="303.30773268154582"/>
    <n v="10535800"/>
    <x v="1"/>
    <n v="0.52641178593690885"/>
    <n v="150.99001938190688"/>
    <n v="311.80192565917969"/>
    <x v="831"/>
    <n v="0"/>
    <s v="JPMorgan Chase &amp; Co."/>
    <s v="Financials"/>
  </r>
  <r>
    <x v="390"/>
    <n v="296.2041015625"/>
    <n v="300.83041910492881"/>
    <n v="295.00027101574398"/>
    <n v="300.46230789029869"/>
    <n v="11107900"/>
    <x v="1"/>
    <n v="-1.9464496763157202"/>
    <n v="148.05107463837871"/>
    <n v="311.4487921142578"/>
    <x v="832"/>
    <n v="0"/>
    <s v="JPMorgan Chase &amp; Co."/>
    <s v="Financials"/>
  </r>
  <r>
    <x v="391"/>
    <n v="299.5072021484375"/>
    <n v="300.24342457211498"/>
    <n v="295.93548500664667"/>
    <n v="296.2936374196168"/>
    <n v="11752700"/>
    <x v="1"/>
    <n v="1.1151434326916343"/>
    <n v="149.70205647423796"/>
    <n v="311.18687805175779"/>
    <x v="833"/>
    <n v="0"/>
    <s v="JPMorgan Chase &amp; Co."/>
    <s v="Financials"/>
  </r>
  <r>
    <x v="392"/>
    <n v="298.78091430664063"/>
    <n v="300.43246575664068"/>
    <n v="296.63190869804509"/>
    <n v="299.7957098597862"/>
    <n v="11527400"/>
    <x v="1"/>
    <n v="-0.24249428280422869"/>
    <n v="149.33903754604759"/>
    <n v="310.81555419921875"/>
    <x v="834"/>
    <n v="0"/>
    <s v="JPMorgan Chase &amp; Co."/>
    <s v="Financials"/>
  </r>
  <r>
    <x v="393"/>
    <n v="299.23855590820313"/>
    <n v="300.38272473319722"/>
    <n v="296.53240414079806"/>
    <n v="298.74110176244625"/>
    <n v="9556700"/>
    <x v="1"/>
    <n v="0.15316962350975238"/>
    <n v="149.56777958760995"/>
    <n v="310.66989318847658"/>
    <x v="835"/>
    <n v="0"/>
    <s v="JPMorgan Chase &amp; Co."/>
    <s v="Financials"/>
  </r>
  <r>
    <x v="394"/>
    <n v="304.85983276367188"/>
    <n v="305.26771847218441"/>
    <n v="300.68120551045268"/>
    <n v="300.86028172816947"/>
    <n v="11580000"/>
    <x v="1"/>
    <n v="1.8785269292614704"/>
    <n v="152.37745060466168"/>
    <n v="310.7529357910156"/>
    <x v="836"/>
    <n v="0"/>
    <s v="JPMorgan Chase &amp; Co."/>
    <s v="Financials"/>
  </r>
  <r>
    <x v="395"/>
    <n v="304.33251953125"/>
    <n v="306.36211063628639"/>
    <n v="301.01945783422462"/>
    <n v="303.6957636347891"/>
    <n v="11953200"/>
    <x v="1"/>
    <n v="-0.17296907488322244"/>
    <n v="152.11388473802015"/>
    <n v="310.88961303710937"/>
    <x v="837"/>
    <n v="0"/>
    <s v="JPMorgan Chase &amp; Co."/>
    <s v="Financials"/>
  </r>
  <r>
    <x v="396"/>
    <n v="306.57107543945313"/>
    <n v="307.72514241386267"/>
    <n v="299.83552643648"/>
    <n v="302.90978961353568"/>
    <n v="9839400"/>
    <x v="1"/>
    <n v="0.73556250631745534"/>
    <n v="153.23277744105596"/>
    <n v="311.09007751464844"/>
    <x v="838"/>
    <n v="0"/>
    <s v="JPMorgan Chase &amp; Co."/>
    <s v="Financials"/>
  </r>
  <r>
    <x v="397"/>
    <n v="313.24688720703125"/>
    <n v="314.63975276739711"/>
    <n v="307.52616442944219"/>
    <n v="308.15296152215484"/>
    <n v="12688000"/>
    <x v="1"/>
    <n v="2.1775739143063966"/>
    <n v="156.56953443077958"/>
    <n v="311.34759643554685"/>
    <x v="839"/>
    <n v="0"/>
    <s v="JPMorgan Chase &amp; Co."/>
    <s v="Financials"/>
  </r>
  <r>
    <x v="398"/>
    <n v="315.654541015625"/>
    <n v="317.68416242077944"/>
    <n v="312.80911789109501"/>
    <n v="312.80911789109501"/>
    <n v="9848800"/>
    <x v="1"/>
    <n v="0.76861220555481946"/>
    <n v="157.7729469825949"/>
    <n v="311.75013305664061"/>
    <x v="840"/>
    <n v="0"/>
    <s v="JPMorgan Chase &amp; Co."/>
    <s v="Financials"/>
  </r>
  <r>
    <x v="399"/>
    <n v="308.58078002929688"/>
    <n v="314.4009999973286"/>
    <n v="303.98430827226679"/>
    <n v="313.39613283962342"/>
    <n v="9388000"/>
    <x v="1"/>
    <n v="-2.2409818542664217"/>
    <n v="154.23728386977356"/>
    <n v="312.01832641601561"/>
    <x v="841"/>
    <n v="0"/>
    <s v="JPMorgan Chase &amp; Co."/>
    <s v="Financials"/>
  </r>
  <r>
    <x v="400"/>
    <n v="320.75845336914063"/>
    <n v="322.59903993155126"/>
    <n v="313.10760555211999"/>
    <n v="313.10760555211999"/>
    <n v="17797400"/>
    <x v="1"/>
    <n v="3.9463486153245242"/>
    <n v="160.32402478608253"/>
    <n v="312.53046875000001"/>
    <x v="842"/>
    <n v="0"/>
    <s v="JPMorgan Chase &amp; Co."/>
    <s v="Financials"/>
  </r>
  <r>
    <x v="401"/>
    <n v="320.45999145507813"/>
    <n v="324.73808529326595"/>
    <n v="318.48010315615841"/>
    <n v="319.70385137937853"/>
    <n v="11477500"/>
    <x v="1"/>
    <n v="-9.3048806953499597E-2"/>
    <n v="160.17484519375921"/>
    <n v="312.93759826660158"/>
    <x v="843"/>
    <n v="0"/>
    <s v="JPMorgan Chase &amp; Co."/>
    <s v="Financials"/>
  </r>
  <r>
    <x v="402"/>
    <n v="316.659423828125"/>
    <n v="324.46946033472381"/>
    <n v="313.51550984428656"/>
    <n v="320.90767149058451"/>
    <n v="9902200"/>
    <x v="1"/>
    <n v="-1.1859725795086873"/>
    <n v="158.27521545049075"/>
    <n v="313.17680297851564"/>
    <x v="844"/>
    <n v="0"/>
    <s v="JPMorgan Chase &amp; Co."/>
    <s v="Financials"/>
  </r>
  <r>
    <x v="403"/>
    <n v="309.2374267578125"/>
    <n v="323.62379328229429"/>
    <n v="307.15807190859783"/>
    <n v="321.59417170668718"/>
    <n v="8703500"/>
    <x v="1"/>
    <n v="-2.3438421571628232"/>
    <n v="154.56549422642186"/>
    <n v="313.15980773925781"/>
    <x v="845"/>
    <n v="0"/>
    <s v="JPMorgan Chase &amp; Co."/>
    <s v="Financials"/>
  </r>
  <r>
    <x v="404"/>
    <n v="309.2374267578125"/>
    <n v="312.02313367272848"/>
    <n v="298.49237482936599"/>
    <n v="310.68996020493864"/>
    <n v="13443400"/>
    <x v="1"/>
    <n v="0"/>
    <n v="154.56549422642186"/>
    <n v="313.2252166748047"/>
    <x v="846"/>
    <n v="0"/>
    <s v="JPMorgan Chase &amp; Co."/>
    <s v="Financials"/>
  </r>
  <r>
    <x v="405"/>
    <n v="301.00949096679688"/>
    <n v="302.74065203752701"/>
    <n v="295.01019519313911"/>
    <n v="297.00001177295519"/>
    <n v="9114500"/>
    <x v="1"/>
    <n v="-2.6607179723622365"/>
    <n v="150.45294234246893"/>
    <n v="313.14666870117185"/>
    <x v="847"/>
    <n v="0"/>
    <s v="JPMorgan Chase &amp; Co."/>
    <s v="Financials"/>
  </r>
  <r>
    <x v="406"/>
    <n v="305.56619262695313"/>
    <n v="306.67052627184739"/>
    <n v="300.95976231603305"/>
    <n v="301.21844819128046"/>
    <n v="8896800"/>
    <x v="1"/>
    <n v="1.5138066396248151"/>
    <n v="152.73050897316011"/>
    <n v="313.0750671386719"/>
    <x v="848"/>
    <n v="0"/>
    <s v="JPMorgan Chase &amp; Co."/>
    <s v="Financials"/>
  </r>
  <r>
    <x v="407"/>
    <n v="307.20779418945313"/>
    <n v="310.68997335880931"/>
    <n v="305.65573961722981"/>
    <n v="306.88941623561431"/>
    <n v="8398700"/>
    <x v="1"/>
    <n v="0.53723271818362228"/>
    <n v="153.55102723801232"/>
    <n v="312.95765686035156"/>
    <x v="849"/>
    <n v="0"/>
    <s v="JPMorgan Chase &amp; Co."/>
    <s v="Financials"/>
  </r>
  <r>
    <x v="408"/>
    <n v="306.48150634765625"/>
    <n v="307.60575764578431"/>
    <n v="303.56643215695527"/>
    <n v="305.60601250025638"/>
    <n v="6737700"/>
    <x v="1"/>
    <n v="-0.23641582522772042"/>
    <n v="153.18800830982192"/>
    <n v="312.84671752929688"/>
    <x v="850"/>
    <n v="0"/>
    <s v="JPMorgan Chase &amp; Co."/>
    <s v="Financials"/>
  </r>
  <r>
    <x v="409"/>
    <n v="309.20758056640625"/>
    <n v="309.41650282252482"/>
    <n v="304.12358301143166"/>
    <n v="306.82973499015498"/>
    <n v="7792700"/>
    <x v="1"/>
    <n v="0.8894742952802126"/>
    <n v="154.55057626718951"/>
    <n v="312.78693298339846"/>
    <x v="851"/>
    <n v="0"/>
    <s v="JPMorgan Chase &amp; Co."/>
    <s v="Financials"/>
  </r>
  <r>
    <x v="410"/>
    <n v="296.15438842773438"/>
    <n v="309.41650366601527"/>
    <n v="293.59746662498259"/>
    <n v="307.22769310292153"/>
    <n v="12955400"/>
    <x v="1"/>
    <n v="-4.2214981000016412"/>
    <n v="148.02622662652854"/>
    <n v="312.75727355957031"/>
    <x v="852"/>
    <n v="0"/>
    <s v="JPMorgan Chase &amp; Co."/>
    <s v="Financials"/>
  </r>
  <r>
    <x v="411"/>
    <n v="295.78622436523438"/>
    <n v="298.22376183621185"/>
    <n v="289.89638425356503"/>
    <n v="295.30868781478051"/>
    <n v="13554100"/>
    <x v="1"/>
    <n v="-0.12431491035961306"/>
    <n v="147.84220795558903"/>
    <n v="312.53008728027345"/>
    <x v="853"/>
    <n v="0"/>
    <s v="JPMorgan Chase &amp; Co."/>
    <s v="Financials"/>
  </r>
  <r>
    <x v="412"/>
    <n v="301.75567626953125"/>
    <n v="302.11385904708698"/>
    <n v="295.4977249020647"/>
    <n v="297.11943029452078"/>
    <n v="8095500"/>
    <x v="1"/>
    <n v="2.0181642728992921"/>
    <n v="150.82590657681422"/>
    <n v="312.27827941894532"/>
    <x v="854"/>
    <n v="0"/>
    <s v="JPMorgan Chase &amp; Co."/>
    <s v="Financials"/>
  </r>
  <r>
    <x v="413"/>
    <n v="304.5712890625"/>
    <n v="307.43662988396011"/>
    <n v="302.09397705995082"/>
    <n v="303.02916294815697"/>
    <n v="7007800"/>
    <x v="1"/>
    <n v="0.93307699387030762"/>
    <n v="152.2332284118788"/>
    <n v="312.06020202636716"/>
    <x v="855"/>
    <n v="0"/>
    <s v="JPMorgan Chase &amp; Co."/>
    <s v="Financials"/>
  </r>
  <r>
    <x v="414"/>
    <n v="298.77096557617188"/>
    <n v="301.40749699533308"/>
    <n v="292.95077601421781"/>
    <n v="298.47250521583339"/>
    <n v="18620800"/>
    <x v="1"/>
    <n v="-1.9044222796515298"/>
    <n v="149.33406489297013"/>
    <n v="311.69640441894529"/>
    <x v="856"/>
    <n v="0"/>
    <s v="JPMorgan Chase &amp; Co."/>
    <s v="Financials"/>
  </r>
  <r>
    <x v="415"/>
    <n v="296.044921875"/>
    <n v="298.45261340621465"/>
    <n v="291.7170645432447"/>
    <n v="293.30892395244342"/>
    <n v="8508900"/>
    <x v="1"/>
    <n v="-0.91241921580792473"/>
    <n v="147.97151218913962"/>
    <n v="311.36663208007815"/>
    <x v="857"/>
    <n v="0"/>
    <s v="JPMorgan Chase &amp; Co."/>
    <s v="Financials"/>
  </r>
  <r>
    <x v="416"/>
    <n v="298.73117065429688"/>
    <n v="300.85033015422039"/>
    <n v="288.02594781744341"/>
    <n v="290.80175042735664"/>
    <n v="10278200"/>
    <x v="1"/>
    <n v="0.90737877288471491"/>
    <n v="149.31417428066038"/>
    <n v="311.10187500000001"/>
    <x v="858"/>
    <n v="0"/>
    <s v="JPMorgan Chase &amp; Co."/>
    <s v="Financials"/>
  </r>
  <r>
    <x v="417"/>
    <n v="297.86563110351563"/>
    <n v="299.46741900340169"/>
    <n v="294.31380094003714"/>
    <n v="298.46255183502979"/>
    <n v="8055700"/>
    <x v="1"/>
    <n v="-0.28973861311007987"/>
    <n v="148.88155346292282"/>
    <n v="310.85902893066407"/>
    <x v="859"/>
    <n v="0"/>
    <s v="JPMorgan Chase &amp; Co."/>
    <s v="Financials"/>
  </r>
  <r>
    <x v="418"/>
    <n v="292.05532836914063"/>
    <n v="299.70617586216918"/>
    <n v="290.94103589656618"/>
    <n v="296.46279534996694"/>
    <n v="12732500"/>
    <x v="1"/>
    <n v="-1.9506455688926949"/>
    <n v="145.97740203739971"/>
    <n v="310.41658203125002"/>
    <x v="860"/>
    <n v="0"/>
    <s v="JPMorgan Chase &amp; Co."/>
    <s v="Financials"/>
  </r>
  <r>
    <x v="419"/>
    <n v="288.00607299804688"/>
    <n v="288.51345559776433"/>
    <n v="282.26543252807039"/>
    <n v="284.88204628210366"/>
    <n v="13496500"/>
    <x v="1"/>
    <n v="-1.3864685824104273"/>
    <n v="143.95347122073221"/>
    <n v="309.77667419433595"/>
    <x v="861"/>
    <n v="0"/>
    <s v="JPMorgan Chase &amp; Co."/>
    <s v="Financials"/>
  </r>
  <r>
    <x v="420"/>
    <n v="288.44384765625"/>
    <n v="289.61783224456605"/>
    <n v="279.02206418875625"/>
    <n v="284.04633930656934"/>
    <n v="12241100"/>
    <x v="1"/>
    <n v="0.15200188442070495"/>
    <n v="144.17228320967675"/>
    <n v="309.08926452636717"/>
    <x v="862"/>
    <n v="0"/>
    <s v="JPMorgan Chase &amp; Co."/>
    <s v="Financials"/>
  </r>
  <r>
    <x v="421"/>
    <n v="287.2598876953125"/>
    <n v="291.25940817695187"/>
    <n v="285.7177615952499"/>
    <n v="287.81703392074905"/>
    <n v="8344900"/>
    <x v="1"/>
    <n v="-0.41046462615089707"/>
    <n v="143.58050698638692"/>
    <n v="308.31399475097658"/>
    <x v="863"/>
    <n v="0"/>
    <s v="JPMorgan Chase &amp; Co."/>
    <s v="Financials"/>
  </r>
  <r>
    <x v="422"/>
    <n v="286.0560302734375"/>
    <n v="289.00098077209634"/>
    <n v="283.40957048917664"/>
    <n v="287.33947051230598"/>
    <n v="10205000"/>
    <x v="1"/>
    <n v="-0.41908302322803959"/>
    <n v="142.97878545694223"/>
    <n v="307.53960693359375"/>
    <x v="864"/>
    <n v="0"/>
    <s v="JPMorgan Chase &amp; Co."/>
    <s v="Financials"/>
  </r>
  <r>
    <x v="423"/>
    <n v="281.44964599609369"/>
    <n v="282.43459557570583"/>
    <n v="277.67893473710473"/>
    <n v="281.38992356011664"/>
    <n v="13760500"/>
    <x v="1"/>
    <n v="-1.6103083976032995"/>
    <n v="140.67638606793787"/>
    <n v="306.7554962158203"/>
    <x v="865"/>
    <n v="0"/>
    <s v="JPMorgan Chase &amp; Co."/>
    <s v="Financials"/>
  </r>
  <r>
    <x v="424"/>
    <n v="281.996826171875"/>
    <n v="285.72773249785536"/>
    <n v="281.50933079451545"/>
    <n v="283.22057437718621"/>
    <n v="9091200"/>
    <x v="1"/>
    <n v="0.19441494546732496"/>
    <n v="140.94988198719727"/>
    <n v="305.98886596679688"/>
    <x v="866"/>
    <n v="0"/>
    <s v="JPMorgan Chase &amp; Co."/>
    <s v="Financials"/>
  </r>
  <r>
    <x v="425"/>
    <n v="284.70297241210938"/>
    <n v="287.7971227560318"/>
    <n v="283.16084627757465"/>
    <n v="284.88204862524725"/>
    <n v="8149000"/>
    <x v="1"/>
    <n v="0.95963712676148116"/>
    <n v="142.3024893848729"/>
    <n v="305.30012939453127"/>
    <x v="867"/>
    <n v="0"/>
    <s v="JPMorgan Chase &amp; Co."/>
    <s v="Financials"/>
  </r>
  <r>
    <x v="426"/>
    <n v="285.42926025390625"/>
    <n v="290.27445887625061"/>
    <n v="284.49404401148581"/>
    <n v="287.52850221874451"/>
    <n v="8961200"/>
    <x v="1"/>
    <n v="0.25510370883854439"/>
    <n v="142.6655083130633"/>
    <n v="304.56134155273435"/>
    <x v="868"/>
    <n v="0"/>
    <s v="JPMorgan Chase &amp; Co."/>
    <s v="Financials"/>
  </r>
  <r>
    <x v="427"/>
    <n v="286.27490234375"/>
    <n v="287.93641255144826"/>
    <n v="283.66824747557189"/>
    <n v="285.36953215418885"/>
    <n v="10057000"/>
    <x v="1"/>
    <n v="0.29627028745808914"/>
    <n v="143.08818382464597"/>
    <n v="303.66990295410159"/>
    <x v="869"/>
    <n v="0"/>
    <s v="JPMorgan Chase &amp; Co."/>
    <s v="Financials"/>
  </r>
  <r>
    <x v="428"/>
    <n v="286.50375366210938"/>
    <n v="288.03592099523962"/>
    <n v="283.17080467652181"/>
    <n v="285.41930722338373"/>
    <n v="9846700"/>
    <x v="1"/>
    <n v="7.9941104332159618E-2"/>
    <n v="143.2025700989642"/>
    <n v="302.74185302734372"/>
    <x v="870"/>
    <n v="0"/>
    <s v="JPMorgan Chase &amp; Co."/>
    <s v="Financials"/>
  </r>
  <r>
    <x v="429"/>
    <n v="285.10092163085938"/>
    <n v="289.22978502676381"/>
    <n v="283.81748141518966"/>
    <n v="286.61317132501995"/>
    <n v="22436500"/>
    <x v="1"/>
    <n v="-0.48963827290878781"/>
    <n v="142.50139550797064"/>
    <n v="301.93736999511719"/>
    <x v="871"/>
    <n v="1"/>
    <s v="JPMorgan Chase &amp; Co."/>
    <s v="Financials"/>
  </r>
  <r>
    <x v="430"/>
    <n v="288.43386840820313"/>
    <n v="294.24412922690453"/>
    <n v="286.50374388049511"/>
    <n v="292.81145884835439"/>
    <n v="11470800"/>
    <x v="1"/>
    <n v="1.169041039319807"/>
    <n v="144.16729530306225"/>
    <n v="301.14383056640622"/>
    <x v="872"/>
    <n v="0"/>
    <s v="JPMorgan Chase &amp; Co."/>
    <s v="Financials"/>
  </r>
  <r>
    <x v="431"/>
    <n v="290.91119384765625"/>
    <n v="293.97552855142112"/>
    <n v="283.91698940059041"/>
    <n v="284.71293429347423"/>
    <n v="11092300"/>
    <x v="1"/>
    <n v="0.85888853938163034"/>
    <n v="145.40553167995671"/>
    <n v="300.41177673339843"/>
    <x v="873"/>
    <n v="0"/>
    <s v="JPMorgan Chase &amp; Co."/>
    <s v="Financials"/>
  </r>
  <r>
    <x v="432"/>
    <n v="293.91583251953125"/>
    <n v="296.12453022896028"/>
    <n v="290.95099476259901"/>
    <n v="292.65227950728848"/>
    <n v="12188200"/>
    <x v="1"/>
    <n v="1.0328370772313633"/>
    <n v="146.9073339234927"/>
    <n v="299.7398156738281"/>
    <x v="874"/>
    <n v="0"/>
    <s v="JPMorgan Chase &amp; Co."/>
    <s v="Financials"/>
  </r>
  <r>
    <x v="433"/>
    <n v="290.17495727539063"/>
    <n v="293.48798854194115"/>
    <n v="289.24969984697105"/>
    <n v="291.09025590494821"/>
    <n v="8669200"/>
    <x v="1"/>
    <n v="-1.2727709195087478"/>
    <n v="145.03754009868888"/>
    <n v="299.35697509765623"/>
    <x v="875"/>
    <n v="0"/>
    <s v="JPMorgan Chase &amp; Co."/>
    <s v="Financials"/>
  </r>
  <r>
    <x v="434"/>
    <n v="281.39987182617188"/>
    <n v="288.63284454259417"/>
    <n v="280.31542537678433"/>
    <n v="287.66781259849654"/>
    <n v="9873300"/>
    <x v="1"/>
    <n v="-3.0240671116531836"/>
    <n v="140.65150754901364"/>
    <n v="298.85892395019533"/>
    <x v="876"/>
    <n v="0"/>
    <s v="JPMorgan Chase &amp; Co."/>
    <s v="Financials"/>
  </r>
  <r>
    <x v="435"/>
    <n v="282.32513427734369"/>
    <n v="285.787426299191"/>
    <n v="280.89246381052374"/>
    <n v="283.29019660065728"/>
    <n v="11734400"/>
    <x v="1"/>
    <n v="0.32880699097950217"/>
    <n v="141.11397953875286"/>
    <n v="298.35171936035158"/>
    <x v="877"/>
    <n v="0"/>
    <s v="JPMorgan Chase &amp; Co."/>
    <s v="Financials"/>
  </r>
  <r>
    <x v="436"/>
    <n v="292.6622314453125"/>
    <n v="293.56760164880984"/>
    <n v="283.4991344325332"/>
    <n v="287.00120074535357"/>
    <n v="12956900"/>
    <x v="1"/>
    <n v="3.6614158333540647"/>
    <n v="146.28074912866077"/>
    <n v="297.98738403320311"/>
    <x v="878"/>
    <n v="0"/>
    <s v="JPMorgan Chase &amp; Co."/>
    <s v="Financials"/>
  </r>
  <r>
    <x v="437"/>
    <n v="293.87603759765625"/>
    <n v="297.19902789200404"/>
    <n v="291.41861272257177"/>
    <n v="293.88599639720439"/>
    <n v="11267200"/>
    <x v="1"/>
    <n v="0.41474642845076293"/>
    <n v="146.88744331118292"/>
    <n v="297.84093383789065"/>
    <x v="879"/>
    <n v="0"/>
    <s v="JPMorgan Chase &amp; Co."/>
    <s v="Financials"/>
  </r>
  <r>
    <x v="438"/>
    <n v="293.10000610351563"/>
    <n v="294.11480169054528"/>
    <n v="287.24994014514812"/>
    <n v="290.4237002119346"/>
    <n v="6669300"/>
    <x v="1"/>
    <n v="-0.26406763221814566"/>
    <n v="146.49956111760531"/>
    <n v="297.69289123535157"/>
    <x v="880"/>
    <n v="0"/>
    <s v="JPMorgan Chase &amp; Co."/>
    <s v="Financials"/>
  </r>
  <r>
    <x v="439"/>
    <n v="295.45001220703125"/>
    <n v="296.82998657226563"/>
    <n v="293.20001220703125"/>
    <n v="294.05999755859369"/>
    <n v="7142600"/>
    <x v="1"/>
    <n v="0.80177620422350326"/>
    <n v="147.67415973793817"/>
    <n v="297.56021118164063"/>
    <x v="881"/>
    <n v="0"/>
    <s v="JPMorgan Chase &amp; Co."/>
    <s v="Financials"/>
  </r>
  <r>
    <x v="440"/>
    <n v="297.39999389648438"/>
    <n v="298.17999267578125"/>
    <n v="292.70001220703125"/>
    <n v="293.1400146484375"/>
    <n v="7849100"/>
    <x v="1"/>
    <n v="0.66000392922194173"/>
    <n v="148.64881499465403"/>
    <n v="297.58412902832032"/>
    <x v="882"/>
    <n v="0"/>
    <s v="JPMorgan Chase &amp; Co."/>
    <s v="Financials"/>
  </r>
  <r>
    <x v="441"/>
    <n v="297.39999389648438"/>
    <n v="311.260009765625"/>
    <n v="305.32998657226563"/>
    <n v="307.97000122070313"/>
    <n v="10590200"/>
    <x v="1"/>
    <n v="0"/>
    <n v="148.64881499465403"/>
    <n v="297.54198486328124"/>
    <x v="883"/>
    <n v="0"/>
    <s v="JPMorgan Chase &amp; Co."/>
    <s v="Financials"/>
  </r>
  <r>
    <x v="442"/>
    <n v="310.32998657226563"/>
    <n v="311.260009765625"/>
    <n v="306.1099853515625"/>
    <n v="306.95001220703125"/>
    <n v="6586600"/>
    <x v="1"/>
    <n v="4.3476775188777461"/>
    <n v="155.1115861062548"/>
    <n v="297.77296630859377"/>
    <x v="884"/>
    <n v="0"/>
    <s v="JPMorgan Chase &amp; Co."/>
    <s v="Financials"/>
  </r>
  <r>
    <x v="443"/>
    <n v="309.8699951171875"/>
    <n v="310.35000610351563"/>
    <n v="306.72000122070313"/>
    <n v="310"/>
    <n v="6069700"/>
    <x v="1"/>
    <n v="-0.14822655720735378"/>
    <n v="154.88166954233975"/>
    <n v="297.98559509277345"/>
    <x v="885"/>
    <n v="0"/>
    <s v="JPMorgan Chase &amp; Co."/>
    <s v="Financials"/>
  </r>
  <r>
    <x v="444"/>
    <n v="313.67999267578125"/>
    <n v="313.739990234375"/>
    <n v="305.45999145507813"/>
    <n v="307.47000122070313"/>
    <n v="8318200"/>
    <x v="1"/>
    <n v="1.2295471064092123"/>
    <n v="156.78601262855588"/>
    <n v="298.16199829101561"/>
    <x v="886"/>
    <n v="0"/>
    <s v="JPMorgan Chase &amp; Co."/>
    <s v="Financials"/>
  </r>
  <r>
    <x v="445"/>
    <n v="313.67999267578125"/>
    <n v="314.32000732421875"/>
    <n v="308.8699951171875"/>
    <n v="309.82000732421875"/>
    <n v="11455500"/>
    <x v="1"/>
    <n v="0"/>
    <n v="156.78601262855588"/>
    <n v="298.34894775390626"/>
    <x v="887"/>
    <n v="0"/>
    <s v="JPMorgan Chase &amp; Co."/>
    <s v="Financials"/>
  </r>
  <r>
    <x v="446"/>
    <n v="305.92999267578125"/>
    <n v="314.239990234375"/>
    <n v="304.260009765625"/>
    <n v="313.95001220703125"/>
    <n v="9885800"/>
    <x v="1"/>
    <n v="-2.4706708049468729"/>
    <n v="152.91234638830184"/>
    <n v="298.3361260986328"/>
    <x v="888"/>
    <n v="0"/>
    <s v="JPMorgan Chase &amp; Co."/>
    <s v="Financials"/>
  </r>
  <r>
    <x v="447"/>
    <n v="309.95001220703125"/>
    <n v="309.95001220703125"/>
    <n v="305.20001220703125"/>
    <n v="305.35000610351563"/>
    <n v="8208600"/>
    <x v="1"/>
    <n v="1.3140325000793096"/>
    <n v="154.92166431647797"/>
    <n v="298.27018859863279"/>
    <x v="889"/>
    <n v="0"/>
    <s v="JPMorgan Chase &amp; Co."/>
    <s v="Financials"/>
  </r>
  <r>
    <x v="448"/>
    <n v="310.29000854492188"/>
    <n v="314.89999389648438"/>
    <n v="310.08999633789063"/>
    <n v="312.47000122070313"/>
    <n v="11082400"/>
    <x v="1"/>
    <n v="0.10969392627850905"/>
    <n v="155.09160397272274"/>
    <n v="298.16289794921875"/>
    <x v="890"/>
    <n v="0"/>
    <s v="JPMorgan Chase &amp; Co."/>
    <s v="Financials"/>
  </r>
  <r>
    <x v="449"/>
    <n v="316.989990234375"/>
    <n v="317.1300048828125"/>
    <n v="310.3699951171875"/>
    <n v="310.85000610351563"/>
    <n v="10772000"/>
    <x v="1"/>
    <n v="2.1592643994152727"/>
    <n v="158.44044176378787"/>
    <n v="298.33108215332032"/>
    <x v="891"/>
    <n v="0"/>
    <s v="JPMorgan Chase &amp; Co."/>
    <s v="Financials"/>
  </r>
  <r>
    <x v="450"/>
    <n v="313"/>
    <n v="320.239990234375"/>
    <n v="312.75"/>
    <n v="317.489990234375"/>
    <n v="7084300"/>
    <x v="1"/>
    <n v="-1.2587117439969986"/>
    <n v="156.44613331606635"/>
    <n v="298.17591308593751"/>
    <x v="892"/>
    <n v="0"/>
    <s v="JPMorgan Chase &amp; Co."/>
    <s v="Financials"/>
  </r>
  <r>
    <x v="451"/>
    <n v="313.01998901367188"/>
    <n v="315.14999389648438"/>
    <n v="311.94000244140625"/>
    <n v="314.85000610351563"/>
    <n v="5545900"/>
    <x v="1"/>
    <n v="6.3862663488345461E-3"/>
    <n v="156.45612438283237"/>
    <n v="298.02711303710936"/>
    <x v="893"/>
    <n v="0"/>
    <s v="JPMorgan Chase &amp; Co."/>
    <s v="Financials"/>
  </r>
  <r>
    <x v="452"/>
    <n v="311.69000244140625"/>
    <n v="314.989990234375"/>
    <n v="308.8900146484375"/>
    <n v="313.51998901367188"/>
    <n v="6969700"/>
    <x v="1"/>
    <n v="-0.42488870326027328"/>
    <n v="155.79135998477091"/>
    <n v="297.92772460937499"/>
    <x v="894"/>
    <n v="0"/>
    <s v="JPMorgan Chase &amp; Co."/>
    <s v="Financials"/>
  </r>
  <r>
    <x v="453"/>
    <n v="308.27999877929688"/>
    <n v="311.14999389648438"/>
    <n v="307.8900146484375"/>
    <n v="311.14999389648438"/>
    <n v="5215300"/>
    <x v="1"/>
    <n v="-1.0940369069907585"/>
    <n v="154.08694500863467"/>
    <n v="297.90857604980471"/>
    <x v="895"/>
    <n v="0"/>
    <s v="JPMorgan Chase &amp; Co."/>
    <s v="Financials"/>
  </r>
  <r>
    <x v="454"/>
    <n v="311.6300048828125"/>
    <n v="312.57998657226563"/>
    <n v="306.8800048828125"/>
    <n v="306.8800048828125"/>
    <n v="7925300"/>
    <x v="1"/>
    <n v="1.0866764359610537"/>
    <n v="155.76137153093578"/>
    <n v="297.95642761230471"/>
    <x v="896"/>
    <n v="0"/>
    <s v="JPMorgan Chase &amp; Co."/>
    <s v="Financials"/>
  </r>
  <r>
    <x v="455"/>
    <n v="311.45001220703125"/>
    <n v="315.45001220703125"/>
    <n v="311.17001342773438"/>
    <n v="315.20001220703125"/>
    <n v="7398600"/>
    <x v="1"/>
    <n v="-5.775845488592557E-2"/>
    <n v="155.67140616943036"/>
    <n v="298.16523803710936"/>
    <x v="897"/>
    <n v="0"/>
    <s v="JPMorgan Chase &amp; Co."/>
    <s v="Financials"/>
  </r>
  <r>
    <x v="456"/>
    <n v="309.25"/>
    <n v="312.04998779296875"/>
    <n v="307.29000854492188"/>
    <n v="310.57000732421875"/>
    <n v="8031800"/>
    <x v="1"/>
    <n v="-0.70637730640665808"/>
    <n v="154.57177868368538"/>
    <n v="298.23891418457032"/>
    <x v="898"/>
    <n v="0"/>
    <s v="JPMorgan Chase &amp; Co."/>
    <s v="Financials"/>
  </r>
  <r>
    <x v="457"/>
    <n v="313.23001098632813"/>
    <n v="314.10000610351563"/>
    <n v="306.57000732421875"/>
    <n v="307.07000732421875"/>
    <n v="8865400"/>
    <x v="1"/>
    <n v="1.2869881928304405"/>
    <n v="156.5610992247924"/>
    <n v="298.35935852050784"/>
    <x v="899"/>
    <n v="0"/>
    <s v="JPMorgan Chase &amp; Co."/>
    <s v="Financials"/>
  </r>
  <r>
    <x v="458"/>
    <n v="312.47000122070313"/>
    <n v="316.07998657226563"/>
    <n v="311.82998657226563"/>
    <n v="313.95001220703125"/>
    <n v="6135400"/>
    <x v="1"/>
    <n v="-0.24263631803089769"/>
    <n v="156.18122513816465"/>
    <n v="298.47912841796875"/>
    <x v="900"/>
    <n v="0"/>
    <s v="JPMorgan Chase &amp; Co."/>
    <s v="Financials"/>
  </r>
  <r>
    <x v="459"/>
    <n v="307.64999389648438"/>
    <n v="310.64999389648438"/>
    <n v="306.510009765625"/>
    <n v="310.6199951171875"/>
    <n v="7338200"/>
    <x v="1"/>
    <n v="-1.5425504225649811"/>
    <n v="153.77205098982873"/>
    <n v="298.44797668457034"/>
    <x v="901"/>
    <n v="0"/>
    <s v="JPMorgan Chase &amp; Co."/>
    <s v="Financials"/>
  </r>
  <r>
    <x v="460"/>
    <n v="309.39999389648438"/>
    <n v="310.97000122070313"/>
    <n v="306.79998779296875"/>
    <n v="307.70999145507813"/>
    <n v="6316800"/>
    <x v="1"/>
    <n v="0.56882822516448606"/>
    <n v="154.64674981827321"/>
    <n v="298.7128887939453"/>
    <x v="902"/>
    <n v="0"/>
    <s v="JPMorgan Chase &amp; Co."/>
    <s v="Financials"/>
  </r>
  <r>
    <x v="461"/>
    <n v="314.89999389648438"/>
    <n v="316.260009765625"/>
    <n v="311.35000610351563"/>
    <n v="311.45001220703125"/>
    <n v="8629500"/>
    <x v="1"/>
    <n v="1.7776341656425831"/>
    <n v="157.39580327909863"/>
    <n v="299.09516418457031"/>
    <x v="903"/>
    <n v="0"/>
    <s v="JPMorgan Chase &amp; Co."/>
    <s v="Financials"/>
  </r>
  <r>
    <x v="462"/>
    <n v="306.26998901367188"/>
    <n v="316.29998779296875"/>
    <n v="306.1400146484375"/>
    <n v="314.64999389648438"/>
    <n v="8359600"/>
    <x v="1"/>
    <n v="-2.7405541600770578"/>
    <n v="153.08228604454661"/>
    <n v="299.18545043945312"/>
    <x v="904"/>
    <n v="0"/>
    <s v="JPMorgan Chase &amp; Co."/>
    <s v="Financials"/>
  </r>
  <r>
    <x v="463"/>
    <n v="302.10000610351563"/>
    <n v="308.989990234375"/>
    <n v="300.5"/>
    <n v="308.25"/>
    <n v="9464300"/>
    <x v="1"/>
    <n v="-1.3615382047668101"/>
    <n v="150.99801223531969"/>
    <n v="299.13602478027343"/>
    <x v="905"/>
    <n v="0"/>
    <s v="JPMorgan Chase &amp; Co."/>
    <s v="Financials"/>
  </r>
  <r>
    <x v="464"/>
    <n v="300"/>
    <n v="303.19000244140625"/>
    <n v="298.8800048828125"/>
    <n v="302.10000610351563"/>
    <n v="9512000"/>
    <x v="1"/>
    <n v="-0.69513606788741411"/>
    <n v="149.94837059047893"/>
    <n v="299.16060546875002"/>
    <x v="906"/>
    <n v="0"/>
    <s v="JPMorgan Chase &amp; Co."/>
    <s v="Financials"/>
  </r>
  <r>
    <x v="465"/>
    <n v="304.8800048828125"/>
    <n v="306.05999755859369"/>
    <n v="295.54998779296875"/>
    <n v="300.01998901367188"/>
    <n v="9498200"/>
    <x v="1"/>
    <n v="1.6266682942708277"/>
    <n v="152.38753319264998"/>
    <n v="299.33730712890628"/>
    <x v="907"/>
    <n v="0"/>
    <s v="JPMorgan Chase &amp; Co."/>
    <s v="Financials"/>
  </r>
  <r>
    <x v="466"/>
    <n v="300.25"/>
    <n v="303"/>
    <n v="300.07000732421875"/>
    <n v="302.26998901367188"/>
    <n v="7709500"/>
    <x v="1"/>
    <n v="-1.5186318579967661"/>
    <n v="150.073327565971"/>
    <n v="299.36768371582031"/>
    <x v="908"/>
    <n v="0"/>
    <s v="JPMorgan Chase &amp; Co."/>
    <s v="Financials"/>
  </r>
  <r>
    <x v="467"/>
    <n v="299.91000366210938"/>
    <n v="303.75"/>
    <n v="298.80999755859369"/>
    <n v="302.25"/>
    <n v="7364300"/>
    <x v="1"/>
    <n v="-0.11323774784034457"/>
    <n v="149.90338790972623"/>
    <n v="299.4085711669922"/>
    <x v="909"/>
    <n v="0"/>
    <s v="JPMorgan Chase &amp; Co."/>
    <s v="Financials"/>
  </r>
  <r>
    <x v="468"/>
    <n v="297.80999755859369"/>
    <n v="300.79000854492188"/>
    <n v="296.45001220703125"/>
    <n v="300.20999145507813"/>
    <n v="8699300"/>
    <x v="1"/>
    <n v="-0.70021208958459535"/>
    <n v="148.85374626488544"/>
    <n v="299.52366455078123"/>
    <x v="910"/>
    <n v="0"/>
    <s v="JPMorgan Chase &amp; Co."/>
    <s v="Financials"/>
  </r>
  <r>
    <x v="469"/>
    <n v="300.73001098632813"/>
    <n v="301.260009765625"/>
    <n v="297.22000122070313"/>
    <n v="298"/>
    <n v="7546300"/>
    <x v="1"/>
    <n v="0.98049543389151506"/>
    <n v="150.31325045018912"/>
    <n v="299.77814331054685"/>
    <x v="911"/>
    <n v="0"/>
    <s v="JPMorgan Chase &amp; Co."/>
    <s v="Financials"/>
  </r>
  <r>
    <x v="470"/>
    <n v="295.70001220703125"/>
    <n v="301.79000854492188"/>
    <n v="295.260009765625"/>
    <n v="301.08999633789063"/>
    <n v="8066900"/>
    <x v="1"/>
    <n v="-1.6725962143916306"/>
    <n v="147.79911671343024"/>
    <n v="299.92326660156249"/>
    <x v="912"/>
    <n v="0"/>
    <s v="JPMorgan Chase &amp; Co."/>
    <s v="Financials"/>
  </r>
  <r>
    <x v="471"/>
    <n v="301.98001098632813"/>
    <n v="302.92999267578125"/>
    <n v="293.67001342773438"/>
    <n v="296.70001220703125"/>
    <n v="9327000"/>
    <x v="1"/>
    <n v="2.1237735948756109"/>
    <n v="150.93803532764943"/>
    <n v="300.21766906738281"/>
    <x v="913"/>
    <n v="0"/>
    <s v="JPMorgan Chase &amp; Co."/>
    <s v="Financials"/>
  </r>
  <r>
    <x v="472"/>
    <n v="303"/>
    <n v="303.98001098632813"/>
    <n v="300.20999145507813"/>
    <n v="301.23001098632813"/>
    <n v="7874400"/>
    <x v="1"/>
    <n v="0.33776706290604697"/>
    <n v="151.44785429638372"/>
    <n v="300.55654846191408"/>
    <x v="914"/>
    <n v="0"/>
    <s v="JPMorgan Chase &amp; Co."/>
    <s v="Financials"/>
  </r>
  <r>
    <x v="473"/>
    <n v="306.3800048828125"/>
    <n v="307.45001220703125"/>
    <n v="303.83999633789063"/>
    <n v="304.67999267578125"/>
    <n v="5973900"/>
    <x v="1"/>
    <n v="1.1155131626443993"/>
    <n v="153.13727504560237"/>
    <n v="301.05515563964843"/>
    <x v="915"/>
    <n v="0"/>
    <s v="JPMorgan Chase &amp; Co."/>
    <s v="Financials"/>
  </r>
  <r>
    <x v="474"/>
    <n v="306.739990234375"/>
    <n v="309.92999267578125"/>
    <n v="305.44000244140625"/>
    <n v="308.489990234375"/>
    <n v="7725400"/>
    <x v="1"/>
    <n v="0.11749635936593172"/>
    <n v="153.31720576861315"/>
    <n v="301.55001892089842"/>
    <x v="916"/>
    <n v="0"/>
    <s v="JPMorgan Chase &amp; Co."/>
    <s v="Financials"/>
  </r>
  <r>
    <x v="475"/>
    <n v="299.27999877929688"/>
    <n v="305.89999389648438"/>
    <n v="295.75"/>
    <n v="305"/>
    <n v="11779200"/>
    <x v="1"/>
    <n v="-2.4320244156551207"/>
    <n v="149.58849389092029"/>
    <n v="301.84155944824221"/>
    <x v="917"/>
    <n v="0"/>
    <s v="JPMorgan Chase &amp; Co."/>
    <s v="Financials"/>
  </r>
  <r>
    <x v="476"/>
    <n v="296.73001098632813"/>
    <n v="301.07000732421875"/>
    <n v="295.75"/>
    <n v="297.57000732421875"/>
    <n v="9757700"/>
    <x v="1"/>
    <n v="-0.85204083245443707"/>
    <n v="148.31393884231605"/>
    <n v="302.0675744628906"/>
    <x v="918"/>
    <n v="0"/>
    <s v="JPMorgan Chase &amp; Co."/>
    <s v="Financials"/>
  </r>
  <r>
    <x v="477"/>
    <n v="299.30999755859369"/>
    <n v="299.8800048828125"/>
    <n v="295.20001220703125"/>
    <n v="296.39999389648438"/>
    <n v="13969000"/>
    <x v="1"/>
    <n v="0.86947274516984141"/>
    <n v="149.60348811783783"/>
    <n v="302.32827636718753"/>
    <x v="919"/>
    <n v="0"/>
    <s v="JPMorgan Chase &amp; Co."/>
    <s v="Financials"/>
  </r>
  <r>
    <x v="478"/>
    <n v="296.57998657226563"/>
    <n v="299.54998779296875"/>
    <n v="295.26998901367188"/>
    <n v="297.69000244140625"/>
    <n v="7930000"/>
    <x v="1"/>
    <n v="-0.91210150298892678"/>
    <n v="148.23895245419118"/>
    <n v="302.52980102539061"/>
    <x v="920"/>
    <n v="0"/>
    <s v="JPMorgan Chase &amp; Co."/>
    <s v="Financials"/>
  </r>
  <r>
    <x v="479"/>
    <n v="300.95999145507813"/>
    <n v="302.07000732421875"/>
    <n v="295.26998901367188"/>
    <n v="296.5"/>
    <n v="8296200"/>
    <x v="1"/>
    <n v="1.4768376428344165"/>
    <n v="150.42820110537809"/>
    <n v="302.846982421875"/>
    <x v="921"/>
    <n v="0"/>
    <s v="JPMorgan Chase &amp; Co."/>
    <s v="Financials"/>
  </r>
  <r>
    <x v="480"/>
    <n v="300.85000610351563"/>
    <n v="301.95999145507813"/>
    <n v="296.55999755859369"/>
    <n v="299.92001342773438"/>
    <n v="7003900"/>
    <x v="1"/>
    <n v="-3.6544841402585959E-2"/>
    <n v="150.37322735785935"/>
    <n v="303.09530517578128"/>
    <x v="922"/>
    <n v="0"/>
    <s v="JPMorgan Chase &amp; Co."/>
    <s v="Financials"/>
  </r>
  <r>
    <x v="481"/>
    <n v="310.8900146484375"/>
    <n v="312.91000366210938"/>
    <n v="304.44000244140625"/>
    <n v="305.739990234375"/>
    <n v="10345200"/>
    <x v="1"/>
    <n v="3.3372140073905543"/>
    <n v="155.39150376461112"/>
    <n v="303.49488159179685"/>
    <x v="923"/>
    <n v="0"/>
    <s v="JPMorgan Chase &amp; Co."/>
    <s v="Financials"/>
  </r>
  <r>
    <x v="482"/>
    <n v="312.3699951171875"/>
    <n v="315"/>
    <n v="309.60000610351563"/>
    <n v="314.29000854492188"/>
    <n v="9118800"/>
    <x v="1"/>
    <n v="0.47604631831730249"/>
    <n v="156.13123929726044"/>
    <n v="303.86396484375001"/>
    <x v="924"/>
    <n v="0"/>
    <s v="JPMorgan Chase &amp; Co."/>
    <s v="Financials"/>
  </r>
  <r>
    <x v="483"/>
    <n v="311.1099853515625"/>
    <n v="316.29998779296875"/>
    <n v="310.77999877929688"/>
    <n v="313.25"/>
    <n v="6827000"/>
    <x v="1"/>
    <n v="-0.40337093361105802"/>
    <n v="155.50145125964855"/>
    <n v="304.28266540527346"/>
    <x v="925"/>
    <n v="0"/>
    <s v="JPMorgan Chase &amp; Co."/>
    <s v="Financials"/>
  </r>
  <r>
    <x v="484"/>
    <n v="312.70001220703125"/>
    <n v="316.42001342773438"/>
    <n v="309.010009765625"/>
    <n v="313.510009765625"/>
    <n v="11594600"/>
    <x v="1"/>
    <n v="0.5110819100428321"/>
    <n v="156.2961910468907"/>
    <n v="304.90866821289063"/>
    <x v="926"/>
    <n v="0"/>
    <s v="JPMorgan Chase &amp; Co."/>
    <s v="Financials"/>
  </r>
  <r>
    <x v="485"/>
    <n v="309.1400146484375"/>
    <n v="314.75"/>
    <n v="309.02999877929688"/>
    <n v="312.55999755859369"/>
    <n v="7446200"/>
    <x v="1"/>
    <n v="-1.1384705531244932"/>
    <n v="154.51680493616664"/>
    <n v="305.44496582031252"/>
    <x v="927"/>
    <n v="0"/>
    <s v="JPMorgan Chase &amp; Co."/>
    <s v="Financials"/>
  </r>
  <r>
    <x v="486"/>
    <n v="313.489990234375"/>
    <n v="314.72000122070313"/>
    <n v="308.8800048828125"/>
    <n v="309.55999755859369"/>
    <n v="9116600"/>
    <x v="1"/>
    <n v="1.4071214918212505"/>
    <n v="156.69104410689894"/>
    <n v="305.86152099609376"/>
    <x v="928"/>
    <n v="0"/>
    <s v="JPMorgan Chase &amp; Co."/>
    <s v="Financials"/>
  </r>
  <r>
    <x v="487"/>
    <n v="320.72000122070313"/>
    <n v="321.29998779296875"/>
    <n v="315.54998779296875"/>
    <n v="315.97000122070313"/>
    <n v="7426200"/>
    <x v="1"/>
    <n v="2.3062972380466507"/>
    <n v="160.30480532940283"/>
    <n v="306.39840026855467"/>
    <x v="929"/>
    <n v="0"/>
    <s v="JPMorgan Chase &amp; Co."/>
    <s v="Financials"/>
  </r>
  <r>
    <x v="488"/>
    <n v="319.39999389648438"/>
    <n v="325.92001342773438"/>
    <n v="318.83999633789063"/>
    <n v="323.92001342773438"/>
    <n v="7988900"/>
    <x v="1"/>
    <n v="-0.41157624070673471"/>
    <n v="159.64502883795581"/>
    <n v="306.92440002441407"/>
    <x v="930"/>
    <n v="0"/>
    <s v="JPMorgan Chase &amp; Co."/>
    <s v="Financials"/>
  </r>
  <r>
    <x v="489"/>
    <n v="331.1400146484375"/>
    <n v="331.75"/>
    <n v="324.01998901367188"/>
    <n v="324.29998779296875"/>
    <n v="11094900"/>
    <x v="1"/>
    <n v="3.6756483958349628"/>
    <n v="165.51301877946841"/>
    <n v="307.63820007324216"/>
    <x v="931"/>
    <n v="0"/>
    <s v="JPMorgan Chase &amp; Co."/>
    <s v="Financials"/>
  </r>
  <r>
    <x v="490"/>
    <n v="333.45999145507813"/>
    <n v="337.76998901367188"/>
    <n v="331.5"/>
    <n v="332.17999267578125"/>
    <n v="12246400"/>
    <x v="1"/>
    <n v="0.70060297880449873"/>
    <n v="166.67260791934663"/>
    <n v="308.35940002441413"/>
    <x v="932"/>
    <n v="0"/>
    <s v="JPMorgan Chase &amp; Co."/>
    <s v="Financials"/>
  </r>
  <r>
    <x v="491"/>
    <n v="325.22000122070313"/>
    <n v="338.08999633789063"/>
    <n v="324.16000366210938"/>
    <n v="336.95001220703125"/>
    <n v="20111000"/>
    <x v="1"/>
    <n v="-2.4710581315675051"/>
    <n v="162.55403088826"/>
    <n v="308.91580017089842"/>
    <x v="933"/>
    <n v="1"/>
    <s v="JPMorgan Chase &amp; Co."/>
    <s v="Financials"/>
  </r>
  <r>
    <x v="492"/>
    <n v="331.48001098632813"/>
    <n v="332.76998901367188"/>
    <n v="326.75"/>
    <n v="329.70001220703125"/>
    <n v="10182500"/>
    <x v="1"/>
    <n v="1.9248538657303582"/>
    <n v="165.6829584357132"/>
    <n v="309.3388006591797"/>
    <x v="934"/>
    <n v="0"/>
    <s v="JPMorgan Chase &amp; Co."/>
    <s v="Financials"/>
  </r>
  <r>
    <x v="493"/>
    <n v="334.1400146484375"/>
    <n v="335.3699951171875"/>
    <n v="327.20999145507813"/>
    <n v="329.47000122070313"/>
    <n v="7582200"/>
    <x v="1"/>
    <n v="0.80246276515874015"/>
    <n v="167.01250248537323"/>
    <n v="309.82420104980469"/>
    <x v="935"/>
    <n v="0"/>
    <s v="JPMorgan Chase &amp; Co."/>
    <s v="Financials"/>
  </r>
  <r>
    <x v="494"/>
    <n v="333.45001220703125"/>
    <n v="334.52999877929688"/>
    <n v="329.76998901367188"/>
    <n v="333.07000732421875"/>
    <n v="7907400"/>
    <x v="1"/>
    <n v="-0.20650099094903229"/>
    <n v="166.66762001273213"/>
    <n v="310.2196014404297"/>
    <x v="936"/>
    <n v="0"/>
    <s v="JPMorgan Chase &amp; Co."/>
    <s v="Financials"/>
  </r>
  <r>
    <x v="495"/>
    <n v="335.1199951171875"/>
    <n v="343.45001220703125"/>
    <n v="334.760009765625"/>
    <n v="334.95999145507813"/>
    <n v="10043100"/>
    <x v="1"/>
    <n v="0.50081956785756887"/>
    <n v="167.50232406703839"/>
    <n v="310.64840148925782"/>
    <x v="937"/>
    <n v="0"/>
    <s v="JPMorgan Chase &amp; Co."/>
    <s v="Financials"/>
  </r>
  <r>
    <x v="496"/>
    <n v="329.04998779296875"/>
    <n v="336.39999389648438"/>
    <n v="327.5"/>
    <n v="336"/>
    <n v="17640900"/>
    <x v="1"/>
    <n v="-1.8112936896218734"/>
    <n v="164.46836504124215"/>
    <n v="311.11080139160157"/>
    <x v="938"/>
    <n v="0"/>
    <s v="JPMorgan Chase &amp; Co."/>
    <s v="Financials"/>
  </r>
  <r>
    <x v="497"/>
    <n v="329.3900146484375"/>
    <n v="332.3900146484375"/>
    <n v="327.20001220703125"/>
    <n v="328.27999877929688"/>
    <n v="7981800"/>
    <x v="1"/>
    <n v="0.10333592708797745"/>
    <n v="164.63831995102396"/>
    <n v="311.49960144042973"/>
    <x v="939"/>
    <n v="0"/>
    <s v="JPMorgan Chase &amp; Co."/>
    <s v="Financials"/>
  </r>
  <r>
    <x v="498"/>
    <n v="327.32998657226563"/>
    <n v="330.44000244140625"/>
    <n v="326.67999267578125"/>
    <n v="328.8900146484375"/>
    <n v="8080100"/>
    <x v="1"/>
    <n v="-0.6254069597011247"/>
    <n v="163.60866043971527"/>
    <n v="311.84040100097656"/>
    <x v="940"/>
    <n v="0"/>
    <s v="JPMorgan Chase &amp; Co."/>
    <s v="Financials"/>
  </r>
  <r>
    <x v="499"/>
    <n v="334.07000732421875"/>
    <n v="335.6400146484375"/>
    <n v="325.010009765625"/>
    <n v="328.3699951171875"/>
    <n v="15210200"/>
    <x v="1"/>
    <n v="2.0590905289592509"/>
    <n v="166.97751087138656"/>
    <n v="312.18200134277345"/>
    <x v="941"/>
    <n v="0"/>
    <s v="JPMorgan Chase &amp; Co."/>
    <s v="Financials"/>
  </r>
  <r>
    <x v="500"/>
    <n v="334.47000122070313"/>
    <n v="340"/>
    <n v="331.76998901367188"/>
    <n v="338.01998901367188"/>
    <n v="8413900"/>
    <x v="1"/>
    <n v="0.11973355515755291"/>
    <n v="167.17743898146645"/>
    <n v="312.61140136718751"/>
    <x v="942"/>
    <n v="0"/>
    <s v="JPMorgan Chase &amp; Co."/>
    <s v="Financials"/>
  </r>
  <r>
    <x v="0"/>
    <n v="453.64065551757813"/>
    <n v="453.88678735468437"/>
    <n v="450.79538710423202"/>
    <n v="451.10058817861261"/>
    <n v="9932800"/>
    <x v="2"/>
    <m/>
    <n v="100"/>
    <m/>
    <x v="0"/>
    <n v="0"/>
    <s v="Microsoft Corp."/>
    <s v="Technology"/>
  </r>
  <r>
    <x v="1"/>
    <n v="460.32562255859375"/>
    <n v="461.10340760685847"/>
    <n v="451.86853591161213"/>
    <n v="452.49861781554688"/>
    <n v="16000300"/>
    <x v="2"/>
    <n v="1.4736260870156004"/>
    <n v="101.4736260870156"/>
    <m/>
    <x v="0"/>
    <n v="0"/>
    <s v="Microsoft Corp."/>
    <s v="Technology"/>
  </r>
  <r>
    <x v="2"/>
    <n v="459.02606201171881"/>
    <n v="460.46349370054082"/>
    <n v="457.27360437796762"/>
    <n v="459.331263113158"/>
    <n v="12962300"/>
    <x v="2"/>
    <n v="-0.28231331978690877"/>
    <n v="101.18715252450119"/>
    <m/>
    <x v="0"/>
    <n v="0"/>
    <s v="Microsoft Corp."/>
    <s v="Technology"/>
  </r>
  <r>
    <x v="3"/>
    <n v="452.42971801757813"/>
    <n v="460.09916463101649"/>
    <n v="450.9135374483829"/>
    <n v="459.77428381745591"/>
    <n v="17207200"/>
    <x v="2"/>
    <n v="-1.4370303867348388"/>
    <n v="99.733062395252375"/>
    <m/>
    <x v="0"/>
    <n v="0"/>
    <s v="Microsoft Corp."/>
    <s v="Technology"/>
  </r>
  <r>
    <x v="4"/>
    <n v="459.03591918945313"/>
    <n v="459.24266153927351"/>
    <n v="451.76024698147671"/>
    <n v="454.08374736494619"/>
    <n v="18196100"/>
    <x v="2"/>
    <n v="1.4601607517785498"/>
    <n v="101.18932542889468"/>
    <m/>
    <x v="0"/>
    <n v="0"/>
    <s v="Microsoft Corp."/>
    <s v="Technology"/>
  </r>
  <r>
    <x v="5"/>
    <n v="447.66458129882813"/>
    <n v="457.58860339521749"/>
    <n v="444.56329622615408"/>
    <n v="455.81646624973735"/>
    <n v="23111200"/>
    <x v="2"/>
    <n v="-2.4772218066734353"/>
    <n v="98.682641393344326"/>
    <m/>
    <x v="0"/>
    <n v="0"/>
    <s v="Microsoft Corp."/>
    <s v="Technology"/>
  </r>
  <r>
    <x v="6"/>
    <n v="446.53237915039063"/>
    <n v="449.29889867197954"/>
    <n v="443.67725577045161"/>
    <n v="447.30030930148308"/>
    <n v="16324300"/>
    <x v="2"/>
    <n v="-0.25291305047019375"/>
    <n v="98.43306011471185"/>
    <m/>
    <x v="0"/>
    <n v="0"/>
    <s v="Microsoft Corp."/>
    <s v="Technology"/>
  </r>
  <r>
    <x v="7"/>
    <n v="446.93609619140631"/>
    <n v="450.18505497376174"/>
    <n v="444.4452428142979"/>
    <n v="446.28630443493518"/>
    <n v="14429400"/>
    <x v="2"/>
    <n v="9.0411593843175986E-2"/>
    <n v="98.522055013230172"/>
    <m/>
    <x v="0"/>
    <n v="0"/>
    <s v="Microsoft Corp."/>
    <s v="Technology"/>
  </r>
  <r>
    <x v="8"/>
    <n v="442.56472778320313"/>
    <n v="447.27076735934128"/>
    <n v="439.74899395709349"/>
    <n v="447.19201839056086"/>
    <n v="17175700"/>
    <x v="2"/>
    <n v="-0.97807459398648877"/>
    <n v="97.558435823672369"/>
    <m/>
    <x v="0"/>
    <n v="0"/>
    <s v="Microsoft Corp."/>
    <s v="Technology"/>
  </r>
  <r>
    <x v="9"/>
    <n v="436.6575927734375"/>
    <n v="437.96703107426862"/>
    <n v="432.38474735385842"/>
    <n v="435.74198947896895"/>
    <n v="21778000"/>
    <x v="2"/>
    <n v="-1.3347505209812649"/>
    <n v="96.256274093254731"/>
    <m/>
    <x v="0"/>
    <n v="0"/>
    <s v="Microsoft Corp."/>
    <s v="Technology"/>
  </r>
  <r>
    <x v="10"/>
    <n v="433.55633544921881"/>
    <n v="437.77011160802653"/>
    <n v="427.67870554578582"/>
    <n v="437.46491051123888"/>
    <n v="20794800"/>
    <x v="2"/>
    <n v="-0.71022635940463097"/>
    <n v="95.572636662063672"/>
    <m/>
    <x v="0"/>
    <n v="0"/>
    <s v="Microsoft Corp."/>
    <s v="Technology"/>
  </r>
  <r>
    <x v="11"/>
    <n v="430.34671020507813"/>
    <n v="434.31438403560242"/>
    <n v="425.31579016450212"/>
    <n v="426.39877619483201"/>
    <n v="20940400"/>
    <x v="2"/>
    <n v="-0.74030177435076006"/>
    <n v="94.865110737060604"/>
    <m/>
    <x v="0"/>
    <n v="0"/>
    <s v="Microsoft Corp."/>
    <s v="Technology"/>
  </r>
  <r>
    <x v="12"/>
    <n v="436.08657836914063"/>
    <n v="437.72089749385162"/>
    <n v="432.11893406334582"/>
    <n v="434.95437784378936"/>
    <n v="15808800"/>
    <x v="2"/>
    <n v="1.3337776327666528"/>
    <n v="96.130400365370846"/>
    <m/>
    <x v="0"/>
    <n v="0"/>
    <s v="Microsoft Corp."/>
    <s v="Technology"/>
  </r>
  <r>
    <x v="13"/>
    <n v="437.967041015625"/>
    <n v="441.45227659237509"/>
    <n v="436.24411798255443"/>
    <n v="437.03172792237223"/>
    <n v="13107100"/>
    <x v="2"/>
    <n v="0.43121314430654145"/>
    <n v="96.544927287420819"/>
    <m/>
    <x v="0"/>
    <n v="0"/>
    <s v="Microsoft Corp."/>
    <s v="Technology"/>
  </r>
  <r>
    <x v="14"/>
    <n v="422.2637939453125"/>
    <n v="434.64916540683873"/>
    <n v="420.97406546076422"/>
    <n v="433.6351033912307"/>
    <n v="26805800"/>
    <x v="2"/>
    <n v="-3.5854860297015567"/>
    <n v="93.083322407144834"/>
    <m/>
    <x v="0"/>
    <n v="0"/>
    <s v="Microsoft Corp."/>
    <s v="Technology"/>
  </r>
  <r>
    <x v="15"/>
    <n v="411.92626953125"/>
    <n v="423.14987619224735"/>
    <n v="411.05005574464656"/>
    <n v="422.16534876504772"/>
    <n v="29943800"/>
    <x v="2"/>
    <n v="-2.4481200051457153"/>
    <n v="90.804530969841238"/>
    <m/>
    <x v="0"/>
    <n v="0"/>
    <s v="Microsoft Corp."/>
    <s v="Technology"/>
  </r>
  <r>
    <x v="16"/>
    <n v="418.68994140625"/>
    <n v="422.28349032231534"/>
    <n v="410.81372249172341"/>
    <n v="411.72935577503409"/>
    <n v="23583800"/>
    <x v="2"/>
    <n v="1.6419617721143975"/>
    <n v="92.295506655713794"/>
    <m/>
    <x v="0"/>
    <n v="0"/>
    <s v="Microsoft Corp."/>
    <s v="Technology"/>
  </r>
  <r>
    <x v="17"/>
    <n v="420.12741088867188"/>
    <n v="425.46353285919287"/>
    <n v="418.12882136064246"/>
    <n v="424.90234500001679"/>
    <n v="15125800"/>
    <x v="2"/>
    <n v="0.34332553526217335"/>
    <n v="92.612380697962465"/>
    <m/>
    <x v="0"/>
    <n v="0"/>
    <s v="Microsoft Corp."/>
    <s v="Technology"/>
  </r>
  <r>
    <x v="18"/>
    <n v="416.37631225585938"/>
    <n v="422.41143955979663"/>
    <n v="410.90231265098828"/>
    <n v="421.10203142887968"/>
    <n v="32687600"/>
    <x v="2"/>
    <n v="-0.89284786843067954"/>
    <n v="91.785493030997785"/>
    <m/>
    <x v="0"/>
    <n v="0"/>
    <s v="Microsoft Corp."/>
    <s v="Technology"/>
  </r>
  <r>
    <x v="19"/>
    <n v="411.87704467773438"/>
    <n v="415.25396645604428"/>
    <n v="405.83203200705049"/>
    <n v="413.99377258317162"/>
    <n v="42891400"/>
    <x v="2"/>
    <n v="-1.0805772196186392"/>
    <n v="90.793679902390181"/>
    <m/>
    <x v="0"/>
    <n v="0"/>
    <s v="Microsoft Corp."/>
    <s v="Technology"/>
  </r>
  <r>
    <x v="20"/>
    <n v="410.65618896484375"/>
    <n v="420.84605305704525"/>
    <n v="406.69839983005807"/>
    <n v="414.27927245111761"/>
    <n v="30296400"/>
    <x v="2"/>
    <n v="-0.29641266214431861"/>
    <n v="90.524555938732703"/>
    <m/>
    <x v="0"/>
    <n v="0"/>
    <s v="Microsoft Corp."/>
    <s v="Technology"/>
  </r>
  <r>
    <x v="21"/>
    <n v="402.1695556640625"/>
    <n v="408.57883813707474"/>
    <n v="398.08377329176966"/>
    <n v="406.10766494731138"/>
    <n v="29437900"/>
    <x v="2"/>
    <n v="-2.0666030438196592"/>
    <n v="88.653772710298625"/>
    <m/>
    <x v="0"/>
    <n v="0"/>
    <s v="Microsoft Corp."/>
    <s v="Technology"/>
  </r>
  <r>
    <x v="22"/>
    <n v="389.03604125976563"/>
    <n v="394.83492274068107"/>
    <n v="379.6141057371845"/>
    <n v="383.14858595340758"/>
    <n v="40709200"/>
    <x v="2"/>
    <n v="-3.2656659907065344"/>
    <n v="85.758636605420136"/>
    <m/>
    <x v="0"/>
    <n v="0"/>
    <s v="Microsoft Corp."/>
    <s v="Technology"/>
  </r>
  <r>
    <x v="23"/>
    <n v="393.42697143554688"/>
    <n v="399.39323499306317"/>
    <n v="392.33416046682481"/>
    <n v="393.81095153508136"/>
    <n v="24946500"/>
    <x v="2"/>
    <n v="1.1286692517131991"/>
    <n v="86.726567967473983"/>
    <m/>
    <x v="0"/>
    <n v="0"/>
    <s v="Microsoft Corp."/>
    <s v="Technology"/>
  </r>
  <r>
    <x v="24"/>
    <n v="392.26522827148438"/>
    <n v="403.73496598996121"/>
    <n v="391.32009041994888"/>
    <n v="402.3172742353533"/>
    <n v="20650900"/>
    <x v="2"/>
    <n v="-0.29528813437053048"/>
    <n v="86.470474702919233"/>
    <m/>
    <x v="0"/>
    <n v="0"/>
    <s v="Microsoft Corp."/>
    <s v="Technology"/>
  </r>
  <r>
    <x v="25"/>
    <n v="396.4593505859375"/>
    <n v="399.58028569311568"/>
    <n v="393.7519001712231"/>
    <n v="396.21321873005439"/>
    <n v="20203000"/>
    <x v="2"/>
    <n v="1.0692057343278938"/>
    <n v="87.395021976943397"/>
    <m/>
    <x v="0"/>
    <n v="0"/>
    <s v="Microsoft Corp."/>
    <s v="Technology"/>
  </r>
  <r>
    <x v="26"/>
    <n v="399.73782348632813"/>
    <n v="401.73641300328097"/>
    <n v="396.0360207139592"/>
    <n v="397.77862347999218"/>
    <n v="19276700"/>
    <x v="2"/>
    <n v="0.82693796868336111"/>
    <n v="88.117724596409914"/>
    <m/>
    <x v="0"/>
    <n v="0"/>
    <s v="Microsoft Corp."/>
    <s v="Technology"/>
  </r>
  <r>
    <x v="27"/>
    <n v="400.51559448242188"/>
    <n v="402.43543495594565"/>
    <n v="397.98535182009545"/>
    <n v="400.7617263356741"/>
    <n v="16762900"/>
    <x v="2"/>
    <n v="0.1945702784165837"/>
    <n v="88.289175498491517"/>
    <m/>
    <x v="0"/>
    <n v="0"/>
    <s v="Microsoft Corp."/>
    <s v="Technology"/>
  </r>
  <r>
    <x v="28"/>
    <n v="407.60421752929688"/>
    <n v="408.52967573216"/>
    <n v="403.23291326546496"/>
    <n v="403.25259299804321"/>
    <n v="19414300"/>
    <x v="2"/>
    <n v="1.7698744180074888"/>
    <n v="89.85178302950905"/>
    <m/>
    <x v="0"/>
    <n v="0"/>
    <s v="Microsoft Corp."/>
    <s v="Technology"/>
  </r>
  <r>
    <x v="29"/>
    <n v="410.41006469726563"/>
    <n v="411.25677385836917"/>
    <n v="406.06832543909752"/>
    <n v="408.38194072037288"/>
    <n v="18267000"/>
    <x v="2"/>
    <n v="0.68837540125969987"/>
    <n v="90.470300601477433"/>
    <m/>
    <x v="0"/>
    <n v="0"/>
    <s v="Microsoft Corp."/>
    <s v="Technology"/>
  </r>
  <r>
    <x v="30"/>
    <n v="415.26272583007813"/>
    <n v="415.34161674551206"/>
    <n v="411.9388929382302"/>
    <n v="414.04956354600228"/>
    <n v="20752100"/>
    <x v="2"/>
    <n v="1.1823933061661185"/>
    <n v="91.540015379857664"/>
    <m/>
    <x v="943"/>
    <n v="0"/>
    <s v="Microsoft Corp."/>
    <s v="Technology"/>
  </r>
  <r>
    <x v="31"/>
    <n v="412.73779296875"/>
    <n v="415.56847485047058"/>
    <n v="411.58380640221424"/>
    <n v="414.83862101324593"/>
    <n v="22775600"/>
    <x v="2"/>
    <n v="-0.60803262712322281"/>
    <n v="90.983422219474505"/>
    <m/>
    <x v="944"/>
    <n v="0"/>
    <s v="Microsoft Corp."/>
    <s v="Technology"/>
  </r>
  <r>
    <x v="32"/>
    <n v="415.755859375"/>
    <n v="415.97284700777072"/>
    <n v="410.75530126947416"/>
    <n v="413.22105614207504"/>
    <n v="15234000"/>
    <x v="2"/>
    <n v="0.73123093103288905"/>
    <n v="91.648721144855557"/>
    <m/>
    <x v="945"/>
    <n v="0"/>
    <s v="Microsoft Corp."/>
    <s v="Technology"/>
  </r>
  <r>
    <x v="33"/>
    <n v="418.98104858398438"/>
    <n v="420.02652622371659"/>
    <n v="415.86436096713305"/>
    <n v="415.92353667507672"/>
    <n v="16387600"/>
    <x v="2"/>
    <n v="0.7757411317865115"/>
    <n v="92.359677971532534"/>
    <m/>
    <x v="946"/>
    <n v="0"/>
    <s v="Microsoft Corp."/>
    <s v="Technology"/>
  </r>
  <r>
    <x v="34"/>
    <n v="418.33013916015625"/>
    <n v="420.55916118279697"/>
    <n v="415.94327510812218"/>
    <n v="418.27093334935978"/>
    <n v="16067300"/>
    <x v="2"/>
    <n v="-0.15535533791516398"/>
    <n v="92.216192281722513"/>
    <m/>
    <x v="947"/>
    <n v="0"/>
    <s v="Microsoft Corp."/>
    <s v="Technology"/>
  </r>
  <r>
    <x v="35"/>
    <n v="409.85775756835938"/>
    <n v="420.94381179948721"/>
    <n v="408.93063134032178"/>
    <n v="418.54707521874735"/>
    <n v="19361900"/>
    <x v="2"/>
    <n v="-2.0252859640488952"/>
    <n v="90.348550682860434"/>
    <m/>
    <x v="948"/>
    <n v="0"/>
    <s v="Microsoft Corp."/>
    <s v="Technology"/>
  </r>
  <r>
    <x v="36"/>
    <n v="411.080810546875"/>
    <n v="413.51697764071497"/>
    <n v="406.44517920246773"/>
    <n v="411.26821033098167"/>
    <n v="18493800"/>
    <x v="2"/>
    <n v="0.29840913241996336"/>
    <n v="90.61815900910716"/>
    <m/>
    <x v="949"/>
    <n v="0"/>
    <s v="Microsoft Corp."/>
    <s v="Technology"/>
  </r>
  <r>
    <x v="37"/>
    <n v="407.82598876953131"/>
    <n v="411.56408163461282"/>
    <n v="405.70544557044389"/>
    <n v="410.66654323695218"/>
    <n v="13152800"/>
    <x v="2"/>
    <n v="-0.79177176210528666"/>
    <n v="89.900670014733379"/>
    <m/>
    <x v="950"/>
    <n v="0"/>
    <s v="Microsoft Corp."/>
    <s v="Technology"/>
  </r>
  <r>
    <x v="38"/>
    <n v="408.17123413085938"/>
    <n v="408.68410035771785"/>
    <n v="404.63041340611318"/>
    <n v="407.20464729224761"/>
    <n v="13492900"/>
    <x v="2"/>
    <n v="8.4655066335947993E-2"/>
    <n v="89.976775486570816"/>
    <m/>
    <x v="951"/>
    <n v="0"/>
    <s v="Microsoft Corp."/>
    <s v="Technology"/>
  </r>
  <r>
    <x v="39"/>
    <n v="404.97555541992188"/>
    <n v="409.31527764492301"/>
    <n v="401.73061382710529"/>
    <n v="409.19692623598894"/>
    <n v="14882700"/>
    <x v="2"/>
    <n v="-0.7829259986295245"/>
    <n v="89.27232391855793"/>
    <m/>
    <x v="952"/>
    <n v="0"/>
    <s v="Microsoft Corp."/>
    <s v="Technology"/>
  </r>
  <r>
    <x v="40"/>
    <n v="407.4610595703125"/>
    <n v="416.26872882049446"/>
    <n v="404.97558947505598"/>
    <n v="409.25613635554907"/>
    <n v="17045200"/>
    <x v="2"/>
    <n v="0.61374177209618797"/>
    <n v="89.820225461367144"/>
    <m/>
    <x v="953"/>
    <n v="0"/>
    <s v="Microsoft Corp."/>
    <s v="Technology"/>
  </r>
  <r>
    <x v="41"/>
    <n v="411.42596435546881"/>
    <n v="411.77114592014448"/>
    <n v="406.48458250076999"/>
    <n v="409.9070510926303"/>
    <n v="24308300"/>
    <x v="2"/>
    <n v="0.97307575583724937"/>
    <n v="90.694244299170066"/>
    <m/>
    <x v="954"/>
    <n v="0"/>
    <s v="Microsoft Corp."/>
    <s v="Technology"/>
  </r>
  <r>
    <x v="42"/>
    <n v="403.83145141601563"/>
    <n v="414.12844563631819"/>
    <n v="401.45446023053216"/>
    <n v="412.18542969380121"/>
    <n v="20313600"/>
    <x v="2"/>
    <n v="-1.8459002584707007"/>
    <n v="89.020119009233639"/>
    <m/>
    <x v="955"/>
    <n v="0"/>
    <s v="Microsoft Corp."/>
    <s v="Technology"/>
  </r>
  <r>
    <x v="43"/>
    <n v="403.29885864257813"/>
    <n v="405.60680157822418"/>
    <n v="398.830912042889"/>
    <n v="400.34982546362153"/>
    <n v="15135800"/>
    <x v="2"/>
    <n v="-0.13188491673196134"/>
    <n v="88.902714899403605"/>
    <m/>
    <x v="956"/>
    <n v="0"/>
    <s v="Microsoft Corp."/>
    <s v="Technology"/>
  </r>
  <r>
    <x v="44"/>
    <n v="402.79586791992188"/>
    <n v="407.44134167783631"/>
    <n v="400.5668158804491"/>
    <n v="402.0363961545014"/>
    <n v="14195500"/>
    <x v="2"/>
    <n v="-0.12471910392933827"/>
    <n v="88.791836230012223"/>
    <m/>
    <x v="957"/>
    <n v="0"/>
    <s v="Microsoft Corp."/>
    <s v="Technology"/>
  </r>
  <r>
    <x v="45"/>
    <n v="396.197509765625"/>
    <n v="405.02489425667079"/>
    <n v="395.30981392110488"/>
    <n v="403.45667775065772"/>
    <n v="19609500"/>
    <x v="2"/>
    <n v="-1.6381394844915964"/>
    <n v="87.337302101723282"/>
    <m/>
    <x v="958"/>
    <n v="0"/>
    <s v="Microsoft Corp."/>
    <s v="Technology"/>
  </r>
  <r>
    <x v="46"/>
    <n v="400.16241455078131"/>
    <n v="403.05227194067839"/>
    <n v="396.64130948688222"/>
    <n v="401.66158262721711"/>
    <n v="15295100"/>
    <x v="2"/>
    <n v="1.0007394512655532"/>
    <n v="88.211320939526189"/>
    <m/>
    <x v="959"/>
    <n v="0"/>
    <s v="Microsoft Corp."/>
    <s v="Technology"/>
  </r>
  <r>
    <x v="47"/>
    <n v="408.52627563476563"/>
    <n v="410.62707348358799"/>
    <n v="402.11531302402886"/>
    <n v="402.60846399408553"/>
    <n v="19594300"/>
    <x v="2"/>
    <n v="2.0901166076213062"/>
    <n v="90.055040408285365"/>
    <m/>
    <x v="960"/>
    <n v="0"/>
    <s v="Microsoft Corp."/>
    <s v="Technology"/>
  </r>
  <r>
    <x v="48"/>
    <n v="417.24517822265625"/>
    <n v="418.18214699940978"/>
    <n v="403.96953253094279"/>
    <n v="409.80845321892127"/>
    <n v="19266900"/>
    <x v="2"/>
    <n v="2.1342329999076037"/>
    <n v="91.977024798759118"/>
    <m/>
    <x v="961"/>
    <n v="0"/>
    <s v="Microsoft Corp."/>
    <s v="Technology"/>
  </r>
  <r>
    <x v="49"/>
    <n v="421.15097045898438"/>
    <n v="421.51589739731833"/>
    <n v="414.00028067952849"/>
    <n v="417.51151352878702"/>
    <n v="17395700"/>
    <x v="2"/>
    <n v="0.93609044278610831"/>
    <n v="92.838012937459297"/>
    <n v="418.82772583007812"/>
    <x v="962"/>
    <n v="0"/>
    <s v="Microsoft Corp."/>
    <s v="Technology"/>
  </r>
  <r>
    <x v="50"/>
    <n v="424.69171142578131"/>
    <n v="425.91471609209202"/>
    <n v="419.63197810212398"/>
    <n v="419.99690497193978"/>
    <n v="15874600"/>
    <x v="2"/>
    <n v="0.8407296231415895"/>
    <n v="93.618529613760543"/>
    <n v="418.24874694824223"/>
    <x v="963"/>
    <n v="0"/>
    <s v="Microsoft Corp."/>
    <s v="Technology"/>
  </r>
  <r>
    <x v="51"/>
    <n v="425.43148803710938"/>
    <n v="427.59149175891241"/>
    <n v="422.35423070729331"/>
    <n v="424.7016342113202"/>
    <n v="13834700"/>
    <x v="2"/>
    <n v="0.17419144085588645"/>
    <n v="93.781605079402837"/>
    <n v="417.55086425781252"/>
    <x v="964"/>
    <n v="0"/>
    <s v="Microsoft Corp."/>
    <s v="Technology"/>
  </r>
  <r>
    <x v="52"/>
    <n v="429.18930053710938"/>
    <n v="435.79753584231287"/>
    <n v="426.34874601904642"/>
    <n v="434.19973145078939"/>
    <n v="18874200"/>
    <x v="2"/>
    <n v="0.88329439772738549"/>
    <n v="94.609972743168015"/>
    <n v="416.95412902832032"/>
    <x v="965"/>
    <n v="0"/>
    <s v="Microsoft Corp."/>
    <s v="Technology"/>
  </r>
  <r>
    <x v="53"/>
    <n v="424.90872192382813"/>
    <n v="430.05721907964937"/>
    <n v="424.51420718114417"/>
    <n v="429.04132931995406"/>
    <n v="18898000"/>
    <x v="2"/>
    <n v="-0.99736377582673175"/>
    <n v="93.666367146708112"/>
    <n v="416.40370910644532"/>
    <x v="966"/>
    <n v="0"/>
    <s v="Microsoft Corp."/>
    <s v="Technology"/>
  </r>
  <r>
    <x v="54"/>
    <n v="432.68075561523438"/>
    <n v="435.45226137137865"/>
    <n v="430.91526689777038"/>
    <n v="435.18597071101885"/>
    <n v="21706600"/>
    <x v="2"/>
    <n v="1.8291066505336406"/>
    <n v="95.379624897501813"/>
    <n v="415.87660583496091"/>
    <x v="967"/>
    <n v="0"/>
    <s v="Microsoft Corp."/>
    <s v="Technology"/>
  </r>
  <r>
    <x v="55"/>
    <n v="429.30758666992188"/>
    <n v="433.22320613865389"/>
    <n v="428.27198178833157"/>
    <n v="431.23088727806737"/>
    <n v="55167100"/>
    <x v="2"/>
    <n v="-0.77959763671858751"/>
    <n v="94.636047595889835"/>
    <n v="415.5094659423828"/>
    <x v="968"/>
    <n v="1"/>
    <s v="Microsoft Corp."/>
    <s v="Technology"/>
  </r>
  <r>
    <x v="56"/>
    <n v="427.57177734375"/>
    <n v="430.48135010026579"/>
    <n v="424.49452000825983"/>
    <n v="428.33121902605126"/>
    <n v="15128900"/>
    <x v="2"/>
    <n v="-0.40432766158089439"/>
    <n v="94.253407877632782"/>
    <n v="415.13025390625"/>
    <x v="969"/>
    <n v="0"/>
    <s v="Microsoft Corp."/>
    <s v="Technology"/>
  </r>
  <r>
    <x v="57"/>
    <n v="423.29119873046881"/>
    <n v="427.41393343945828"/>
    <n v="420.26324468027582"/>
    <n v="427.06872175531288"/>
    <n v="17015800"/>
    <x v="2"/>
    <n v="-1.0011368476829485"/>
    <n v="93.309802281172907"/>
    <n v="414.65735595703126"/>
    <x v="970"/>
    <n v="0"/>
    <s v="Microsoft Corp."/>
    <s v="Technology"/>
  </r>
  <r>
    <x v="58"/>
    <n v="426.19091796875"/>
    <n v="427.18709256263008"/>
    <n v="422.69943076362239"/>
    <n v="423.94215074360574"/>
    <n v="13396400"/>
    <x v="2"/>
    <n v="0.68504123094881297"/>
    <n v="93.949012899315747"/>
    <n v="414.32987976074219"/>
    <x v="971"/>
    <n v="0"/>
    <s v="Microsoft Corp."/>
    <s v="Technology"/>
  </r>
  <r>
    <x v="59"/>
    <n v="425.40188598632813"/>
    <n v="429.33722108261128"/>
    <n v="423.25175498782801"/>
    <n v="429.13010610374022"/>
    <n v="14492000"/>
    <x v="2"/>
    <n v="-0.1851358039684281"/>
    <n v="93.775079638964201"/>
    <n v="414.10476562500003"/>
    <x v="972"/>
    <n v="0"/>
    <s v="Microsoft Corp."/>
    <s v="Technology"/>
  </r>
  <r>
    <x v="60"/>
    <n v="422.15695190429688"/>
    <n v="425.93450524734448"/>
    <n v="421.61449786891575"/>
    <n v="425.60900874647831"/>
    <n v="14896100"/>
    <x v="2"/>
    <n v="-0.76279259423300827"/>
    <n v="93.059770276242077"/>
    <n v="413.87677795410156"/>
    <x v="973"/>
    <n v="0"/>
    <s v="Microsoft Corp."/>
    <s v="Technology"/>
  </r>
  <r>
    <x v="61"/>
    <n v="424.40570068359375"/>
    <n v="424.52408219664926"/>
    <n v="419.5432394814415"/>
    <n v="422.34433329950872"/>
    <n v="16807300"/>
    <x v="2"/>
    <n v="0.53268074093131279"/>
    <n v="93.555481750058547"/>
    <n v="413.75795776367187"/>
    <x v="974"/>
    <n v="0"/>
    <s v="Microsoft Corp."/>
    <s v="Technology"/>
  </r>
  <r>
    <x v="62"/>
    <n v="414.92733764648438"/>
    <n v="422.6106376703255"/>
    <n v="413.07308530803846"/>
    <n v="422.58104981809691"/>
    <n v="19092900"/>
    <x v="2"/>
    <n v="-2.2333260420023815"/>
    <n v="91.466082812413703"/>
    <n v="413.33477294921875"/>
    <x v="975"/>
    <n v="0"/>
    <s v="Microsoft Corp."/>
    <s v="Technology"/>
  </r>
  <r>
    <x v="63"/>
    <n v="411.41616821289063"/>
    <n v="417.02822913913121"/>
    <n v="411.0019081188824"/>
    <n v="416.79149618560541"/>
    <n v="16582300"/>
    <x v="2"/>
    <n v="-0.84621308721414268"/>
    <n v="90.692084849292925"/>
    <n v="412.80375549316409"/>
    <x v="976"/>
    <n v="0"/>
    <s v="Microsoft Corp."/>
    <s v="Technology"/>
  </r>
  <r>
    <x v="64"/>
    <n v="410.83419799804688"/>
    <n v="413.8029462214933"/>
    <n v="408.61501874387466"/>
    <n v="411.90926344701154"/>
    <n v="13686400"/>
    <x v="2"/>
    <n v="-0.14145535829855893"/>
    <n v="90.563796035720941"/>
    <n v="412.57516357421878"/>
    <x v="977"/>
    <n v="0"/>
    <s v="Microsoft Corp."/>
    <s v="Technology"/>
  </r>
  <r>
    <x v="65"/>
    <n v="410.83419799804688"/>
    <n v="414.00023534021534"/>
    <n v="409.28571331626097"/>
    <n v="412.51090979325937"/>
    <n v="19169700"/>
    <x v="2"/>
    <n v="0"/>
    <n v="90.563796035720941"/>
    <n v="412.55332214355468"/>
    <x v="978"/>
    <n v="0"/>
    <s v="Microsoft Corp."/>
    <s v="Technology"/>
  </r>
  <r>
    <x v="66"/>
    <n v="403.93011474609375"/>
    <n v="411.39639773757887"/>
    <n v="403.39750325768472"/>
    <n v="410.30161700537121"/>
    <n v="20919800"/>
    <x v="2"/>
    <n v="-1.680503542693379"/>
    <n v="89.041868234943038"/>
    <n v="412.25812561035156"/>
    <x v="979"/>
    <n v="0"/>
    <s v="Microsoft Corp."/>
    <s v="Technology"/>
  </r>
  <r>
    <x v="67"/>
    <n v="409.02932739257813"/>
    <n v="409.96632640891073"/>
    <n v="402.57893345752768"/>
    <n v="405.27151887368746"/>
    <n v="19229300"/>
    <x v="2"/>
    <n v="1.26239972221176"/>
    <n v="90.165932532193125"/>
    <n v="412.03616394042967"/>
    <x v="980"/>
    <n v="0"/>
    <s v="Microsoft Corp."/>
    <s v="Technology"/>
  </r>
  <r>
    <x v="68"/>
    <n v="411.7415771484375"/>
    <n v="414.62159190108321"/>
    <n v="408.62485957486433"/>
    <n v="410.16348810998289"/>
    <n v="14974300"/>
    <x v="2"/>
    <n v="0.66309420235195482"/>
    <n v="90.76381760331067"/>
    <n v="411.94346923828124"/>
    <x v="981"/>
    <n v="0"/>
    <s v="Microsoft Corp."/>
    <s v="Technology"/>
  </r>
  <r>
    <x v="69"/>
    <n v="410.14376831054688"/>
    <n v="411.63309377445904"/>
    <n v="407.49061385739407"/>
    <n v="409.54213861425188"/>
    <n v="13848400"/>
    <x v="2"/>
    <n v="-0.38806108650878413"/>
    <n v="90.411598546562416"/>
    <n v="411.90880371093749"/>
    <x v="982"/>
    <n v="0"/>
    <s v="Microsoft Corp."/>
    <s v="Technology"/>
  </r>
  <r>
    <x v="70"/>
    <n v="410.61724853515625"/>
    <n v="411.41615073293349"/>
    <n v="407.58929422530792"/>
    <n v="410.43972140221638"/>
    <n v="14144900"/>
    <x v="2"/>
    <n v="0.11544250118920019"/>
    <n v="90.515971957289707"/>
    <n v="411.90802490234375"/>
    <x v="983"/>
    <n v="0"/>
    <s v="Microsoft Corp."/>
    <s v="Technology"/>
  </r>
  <r>
    <x v="71"/>
    <n v="413.39859008789063"/>
    <n v="418.23146334611431"/>
    <n v="411.80075573680847"/>
    <n v="412.04733121018262"/>
    <n v="16653100"/>
    <x v="2"/>
    <n v="0.67735623933398159"/>
    <n v="91.129087540936212"/>
    <n v="412.13260559082033"/>
    <x v="984"/>
    <n v="0"/>
    <s v="Microsoft Corp."/>
    <s v="Technology"/>
  </r>
  <r>
    <x v="72"/>
    <n v="413.0040283203125"/>
    <n v="416.692817718463"/>
    <n v="409.57171713535661"/>
    <n v="416.3969091028174"/>
    <n v="18900200"/>
    <x v="2"/>
    <n v="-9.5443423620344969E-2"/>
    <n v="91.042110819873159"/>
    <n v="412.61196533203128"/>
    <x v="985"/>
    <n v="0"/>
    <s v="Microsoft Corp."/>
    <s v="Technology"/>
  </r>
  <r>
    <x v="73"/>
    <n v="410.41998291015625"/>
    <n v="410.65668575800441"/>
    <n v="404.8572552888869"/>
    <n v="409.48301407105851"/>
    <n v="15508900"/>
    <x v="2"/>
    <n v="-0.62567075209062351"/>
    <n v="90.472486960387272"/>
    <n v="412.95182556152344"/>
    <x v="986"/>
    <n v="0"/>
    <s v="Microsoft Corp."/>
    <s v="Technology"/>
  </r>
  <r>
    <x v="74"/>
    <n v="411.01177978515625"/>
    <n v="416.71260426796442"/>
    <n v="409.89725368444073"/>
    <n v="416.57450753710987"/>
    <n v="14820000"/>
    <x v="2"/>
    <n v="0.14419299733015034"/>
    <n v="90.602941951094579"/>
    <n v="413.32675659179688"/>
    <x v="987"/>
    <n v="0"/>
    <s v="Microsoft Corp."/>
    <s v="Technology"/>
  </r>
  <r>
    <x v="75"/>
    <n v="412.43197631835938"/>
    <n v="413.90155641132992"/>
    <n v="410.55800886365972"/>
    <n v="411.42595928887886"/>
    <n v="17145300"/>
    <x v="2"/>
    <n v="0.34553669822929844"/>
    <n v="90.916008365211013"/>
    <n v="413.64620910644533"/>
    <x v="988"/>
    <n v="0"/>
    <s v="Microsoft Corp."/>
    <s v="Technology"/>
  </r>
  <r>
    <x v="76"/>
    <n v="413.04351806640631"/>
    <n v="413.22104518863648"/>
    <n v="408.08242059822118"/>
    <n v="410.41995133955737"/>
    <n v="14206100"/>
    <x v="2"/>
    <n v="0.14827699673192196"/>
    <n v="91.050815891963481"/>
    <n v="413.91232299804688"/>
    <x v="989"/>
    <n v="0"/>
    <s v="Microsoft Corp."/>
    <s v="Technology"/>
  </r>
  <r>
    <x v="77"/>
    <n v="421.6539306640625"/>
    <n v="424.68185459098345"/>
    <n v="412.31365056093216"/>
    <n v="412.75746835174544"/>
    <n v="25482200"/>
    <x v="2"/>
    <n v="2.0846260069554923"/>
    <n v="92.948884879592512"/>
    <n v="414.33508972167971"/>
    <x v="990"/>
    <n v="0"/>
    <s v="Microsoft Corp."/>
    <s v="Technology"/>
  </r>
  <r>
    <x v="78"/>
    <n v="418.78378295898438"/>
    <n v="425.17499985769979"/>
    <n v="416.74213084987491"/>
    <n v="424.95801224079617"/>
    <n v="19654400"/>
    <x v="2"/>
    <n v="-0.68068799941173319"/>
    <n v="92.316192974630098"/>
    <n v="414.55868103027342"/>
    <x v="991"/>
    <n v="0"/>
    <s v="Microsoft Corp."/>
    <s v="Technology"/>
  </r>
  <r>
    <x v="79"/>
    <n v="418.9119873046875"/>
    <n v="420.14486459281432"/>
    <n v="416.61388718387519"/>
    <n v="419.50374432335383"/>
    <n v="13581600"/>
    <x v="2"/>
    <n v="3.0613493387265933E-2"/>
    <n v="92.344454186261771"/>
    <n v="414.72871948242187"/>
    <x v="992"/>
    <n v="0"/>
    <s v="Microsoft Corp."/>
    <s v="Technology"/>
  </r>
  <r>
    <x v="80"/>
    <n v="422.28515625"/>
    <n v="426.5952907757042"/>
    <n v="420.72681247783271"/>
    <n v="420.91421224847591"/>
    <n v="16899100"/>
    <x v="2"/>
    <n v="0.80522139435916795"/>
    <n v="93.088031487873749"/>
    <n v="414.86916809082032"/>
    <x v="993"/>
    <n v="0"/>
    <s v="Microsoft Corp."/>
    <s v="Technology"/>
  </r>
  <r>
    <x v="81"/>
    <n v="420.74655151367188"/>
    <n v="426.02327304477961"/>
    <n v="420.46051551603273"/>
    <n v="425.74710969864265"/>
    <n v="14882400"/>
    <x v="2"/>
    <n v="-0.36435207668470415"/>
    <n v="92.748863312002769"/>
    <n v="415.02934326171874"/>
    <x v="994"/>
    <n v="0"/>
    <s v="Microsoft Corp."/>
    <s v="Technology"/>
  </r>
  <r>
    <x v="82"/>
    <n v="426.03314208984375"/>
    <n v="427.23643168058578"/>
    <n v="419.96736097858758"/>
    <n v="422.13723732239998"/>
    <n v="17644100"/>
    <x v="2"/>
    <n v="1.2564786466229938"/>
    <n v="93.914232974503619"/>
    <n v="415.23488891601562"/>
    <x v="995"/>
    <n v="0"/>
    <s v="Microsoft Corp."/>
    <s v="Technology"/>
  </r>
  <r>
    <x v="83"/>
    <n v="426.60519409179688"/>
    <n v="432.49341811481048"/>
    <n v="426.18109146440128"/>
    <n v="431.44794042425281"/>
    <n v="29749100"/>
    <x v="2"/>
    <n v="0.13427406120261054"/>
    <n v="94.040335429165765"/>
    <n v="415.38737182617189"/>
    <x v="996"/>
    <n v="0"/>
    <s v="Microsoft Corp."/>
    <s v="Technology"/>
  </r>
  <r>
    <x v="84"/>
    <n v="400.7838134765625"/>
    <n v="410.45943344130637"/>
    <n v="400.73448031809443"/>
    <n v="409.6703738017444"/>
    <n v="53971000"/>
    <x v="2"/>
    <n v="-6.0527581409799076"/>
    <n v="88.348301370672132"/>
    <n v="415.03644531250001"/>
    <x v="997"/>
    <n v="1"/>
    <s v="Microsoft Corp."/>
    <s v="Technology"/>
  </r>
  <r>
    <x v="85"/>
    <n v="404.74868774414063"/>
    <n v="409.8084210802644"/>
    <n v="401.91800623395358"/>
    <n v="403.40733166804887"/>
    <n v="24230400"/>
    <x v="2"/>
    <n v="0.98928003932723385"/>
    <n v="89.222313481216858"/>
    <n v="414.93426391601565"/>
    <x v="998"/>
    <n v="0"/>
    <s v="Microsoft Corp."/>
    <s v="Technology"/>
  </r>
  <r>
    <x v="86"/>
    <n v="402.8648681640625"/>
    <n v="404.79804157181758"/>
    <n v="400.01447130701087"/>
    <n v="404.18650910637751"/>
    <n v="19672300"/>
    <x v="2"/>
    <n v="-0.46542944723985125"/>
    <n v="88.807046560766608"/>
    <n v="414.76994506835939"/>
    <x v="999"/>
    <n v="0"/>
    <s v="Microsoft Corp."/>
    <s v="Technology"/>
  </r>
  <r>
    <x v="87"/>
    <n v="405.82379150390631"/>
    <n v="409.21667261639857"/>
    <n v="402.4900861003897"/>
    <n v="402.77612209347012"/>
    <n v="17626000"/>
    <x v="2"/>
    <n v="0.73447043256171796"/>
    <n v="89.459308059786764"/>
    <n v="414.72990112304689"/>
    <x v="1000"/>
    <n v="0"/>
    <s v="Microsoft Corp."/>
    <s v="Technology"/>
  </r>
  <r>
    <x v="88"/>
    <n v="414.42434692382813"/>
    <n v="414.6906677145501"/>
    <n v="404.89666645656581"/>
    <n v="406.77066424480603"/>
    <n v="26681800"/>
    <x v="2"/>
    <n v="2.1192831962980163"/>
    <n v="91.35520414302232"/>
    <n v="414.85496337890623"/>
    <x v="1001"/>
    <n v="0"/>
    <s v="Microsoft Corp."/>
    <s v="Technology"/>
  </r>
  <r>
    <x v="89"/>
    <n v="419.60244750976563"/>
    <n v="421.00300957645607"/>
    <n v="414.12848351646119"/>
    <n v="415.5093002796819"/>
    <n v="19901800"/>
    <x v="2"/>
    <n v="1.2494682381412492"/>
    <n v="92.496658402678463"/>
    <n v="415.14750122070313"/>
    <x v="1002"/>
    <n v="0"/>
    <s v="Microsoft Corp."/>
    <s v="Technology"/>
  </r>
  <r>
    <x v="90"/>
    <n v="416.75204467773438"/>
    <n v="420.65779206836208"/>
    <n v="416.00244554535874"/>
    <n v="419.49396296249819"/>
    <n v="16891400"/>
    <x v="2"/>
    <n v="-0.67931034457678896"/>
    <n v="91.86831903376121"/>
    <n v="415.33332092285156"/>
    <x v="1003"/>
    <n v="0"/>
    <s v="Microsoft Corp."/>
    <s v="Technology"/>
  </r>
  <r>
    <x v="91"/>
    <n v="412.28402709960938"/>
    <n v="418.99086733313692"/>
    <n v="410.30155083989962"/>
    <n v="416.7322277720358"/>
    <n v="24503300"/>
    <x v="2"/>
    <n v="-1.0721045367827808"/>
    <n v="90.883394617534179"/>
    <n v="415.35048217773436"/>
    <x v="1004"/>
    <n v="0"/>
    <s v="Microsoft Corp."/>
    <s v="Technology"/>
  </r>
  <r>
    <x v="92"/>
    <n v="417.23526000976563"/>
    <n v="418.62594919557409"/>
    <n v="411.4851336112788"/>
    <n v="412.52073848816826"/>
    <n v="19401200"/>
    <x v="2"/>
    <n v="1.2009276578061501"/>
    <n v="91.974838439849265"/>
    <n v="415.61855834960937"/>
    <x v="1005"/>
    <n v="0"/>
    <s v="Microsoft Corp."/>
    <s v="Technology"/>
  </r>
  <r>
    <x v="93"/>
    <n v="419.3756103515625"/>
    <n v="423.44901221052851"/>
    <n v="412.48133910259298"/>
    <n v="415.86437774073562"/>
    <n v="21502200"/>
    <x v="2"/>
    <n v="0.51298405167070626"/>
    <n v="92.446654692595587"/>
    <n v="415.94009338378908"/>
    <x v="1006"/>
    <n v="0"/>
    <s v="Microsoft Corp."/>
    <s v="Technology"/>
  </r>
  <r>
    <x v="94"/>
    <n v="421.04241943359375"/>
    <n v="422.30488462231699"/>
    <n v="414.24678510633009"/>
    <n v="419.17829445283394"/>
    <n v="30246900"/>
    <x v="2"/>
    <n v="0.3974501713711831"/>
    <n v="92.81408408009824"/>
    <n v="416.30502441406247"/>
    <x v="1007"/>
    <n v="0"/>
    <s v="Microsoft Corp."/>
    <s v="Technology"/>
  </r>
  <r>
    <x v="95"/>
    <n v="409.3153076171875"/>
    <n v="417.00845075667979"/>
    <n v="407.97395141832078"/>
    <n v="414.06929022111439"/>
    <n v="28247600"/>
    <x v="2"/>
    <n v="-2.7852566095791786"/>
    <n v="90.228973668636925"/>
    <n v="416.56738037109375"/>
    <x v="1008"/>
    <n v="0"/>
    <s v="Microsoft Corp."/>
    <s v="Technology"/>
  </r>
  <r>
    <x v="96"/>
    <n v="410.06488037109375"/>
    <n v="412.66870168958161"/>
    <n v="406.45501186857297"/>
    <n v="409.1870572477352"/>
    <n v="21697800"/>
    <x v="2"/>
    <n v="0.18312844400318884"/>
    <n v="90.39420858415636"/>
    <n v="416.76542968749999"/>
    <x v="1009"/>
    <n v="0"/>
    <s v="Microsoft Corp."/>
    <s v="Technology"/>
  </r>
  <r>
    <x v="97"/>
    <n v="412.067138671875"/>
    <n v="412.21507795830701"/>
    <n v="405.9125934603565"/>
    <n v="407.45122223834869"/>
    <n v="18133500"/>
    <x v="2"/>
    <n v="0.4882784155934683"/>
    <n v="90.835583993619323"/>
    <n v="416.83624694824221"/>
    <x v="1010"/>
    <n v="0"/>
    <s v="Microsoft Corp."/>
    <s v="Technology"/>
  </r>
  <r>
    <x v="98"/>
    <n v="409.79855346679688"/>
    <n v="411.5739148887647"/>
    <n v="404.95580768340488"/>
    <n v="411.15965486044217"/>
    <n v="19191700"/>
    <x v="2"/>
    <n v="-0.55053776246025699"/>
    <n v="90.335499801983161"/>
    <n v="416.687314453125"/>
    <x v="1011"/>
    <n v="0"/>
    <s v="Microsoft Corp."/>
    <s v="Technology"/>
  </r>
  <r>
    <x v="99"/>
    <n v="408.029541015625"/>
    <n v="414.85853235917489"/>
    <n v="405.47980199521203"/>
    <n v="414.5818162626976"/>
    <n v="20780200"/>
    <x v="2"/>
    <n v="-0.43167854942542938"/>
    <n v="89.945540826821741"/>
    <n v="416.42488586425782"/>
    <x v="1012"/>
    <n v="0"/>
    <s v="Microsoft Corp."/>
    <s v="Technology"/>
  </r>
  <r>
    <x v="100"/>
    <n v="412.11114501953131"/>
    <n v="412.50644943843054"/>
    <n v="406.24078241150551"/>
    <n v="406.54714559813698"/>
    <n v="24814600"/>
    <x v="2"/>
    <n v="1.0003207105413914"/>
    <n v="90.84528469992091"/>
    <n v="416.17327453613279"/>
    <x v="1013"/>
    <n v="0"/>
    <s v="Microsoft Corp."/>
    <s v="Technology"/>
  </r>
  <r>
    <x v="101"/>
    <n v="413.88015747070313"/>
    <n v="416.14328803070498"/>
    <n v="409.98634721350533"/>
    <n v="413.4749606494442"/>
    <n v="27691100"/>
    <x v="2"/>
    <n v="0.42925615396496308"/>
    <n v="91.235243675082316"/>
    <n v="415.94224792480469"/>
    <x v="1014"/>
    <n v="0"/>
    <s v="Microsoft Corp."/>
    <s v="Technology"/>
  </r>
  <r>
    <x v="102"/>
    <n v="422.9722900390625"/>
    <n v="424.00999806852309"/>
    <n v="413.93946191933657"/>
    <n v="414.67077660234759"/>
    <n v="23458900"/>
    <x v="2"/>
    <n v="2.1968032060109"/>
    <n v="93.239502433148374"/>
    <n v="415.81790771484373"/>
    <x v="1015"/>
    <n v="0"/>
    <s v="Microsoft Corp."/>
    <s v="Technology"/>
  </r>
  <r>
    <x v="103"/>
    <n v="418.03094482421881"/>
    <n v="422.22125646736464"/>
    <n v="417.07231569319248"/>
    <n v="420.1260855658935"/>
    <n v="18332400"/>
    <x v="2"/>
    <n v="-1.1682432469482418"/>
    <n v="92.150238242484974"/>
    <n v="415.68035217285154"/>
    <x v="1016"/>
    <n v="0"/>
    <s v="Microsoft Corp."/>
    <s v="Technology"/>
  </r>
  <r>
    <x v="104"/>
    <n v="418.49542236328131"/>
    <n v="419.89878780793453"/>
    <n v="412.90177557031512"/>
    <n v="415.16493646523111"/>
    <n v="16271900"/>
    <x v="2"/>
    <n v="0.11111080287555808"/>
    <n v="92.252627112047946"/>
    <n v="415.39664550781248"/>
    <x v="1017"/>
    <n v="0"/>
    <s v="Microsoft Corp."/>
    <s v="Technology"/>
  </r>
  <r>
    <x v="105"/>
    <n v="425.92730712890631"/>
    <n v="427.92361428722251"/>
    <n v="416.37066256492921"/>
    <n v="416.6276240398858"/>
    <n v="20207200"/>
    <x v="2"/>
    <n v="1.775858078364756"/>
    <n v="93.890902843120955"/>
    <n v="415.3290399169922"/>
    <x v="1018"/>
    <n v="0"/>
    <s v="Microsoft Corp."/>
    <s v="Technology"/>
  </r>
  <r>
    <x v="106"/>
    <n v="426.14468383789063"/>
    <n v="427.39978367877131"/>
    <n v="422.72522667678601"/>
    <n v="424.80061260374799"/>
    <n v="18302000"/>
    <x v="2"/>
    <n v="5.103610530388103E-2"/>
    <n v="93.938821103166745"/>
    <n v="415.30049804687502"/>
    <x v="1019"/>
    <n v="0"/>
    <s v="Microsoft Corp."/>
    <s v="Technology"/>
  </r>
  <r>
    <x v="107"/>
    <n v="432.29177856445313"/>
    <n v="434.51539996245009"/>
    <n v="427.55792723241922"/>
    <n v="427.95323167121512"/>
    <n v="26009400"/>
    <x v="2"/>
    <n v="1.442490064923807"/>
    <n v="95.293879264686467"/>
    <n v="415.48050964355468"/>
    <x v="1020"/>
    <n v="0"/>
    <s v="Microsoft Corp."/>
    <s v="Technology"/>
  </r>
  <r>
    <x v="108"/>
    <n v="437.4307861328125"/>
    <n v="439.44687793021671"/>
    <n v="431.05642304012679"/>
    <n v="432.7859063083414"/>
    <n v="21697800"/>
    <x v="2"/>
    <n v="1.1887821659308129"/>
    <n v="96.426715906608706"/>
    <n v="415.70530700683594"/>
    <x v="1021"/>
    <n v="0"/>
    <s v="Microsoft Corp."/>
    <s v="Technology"/>
  </r>
  <r>
    <x v="109"/>
    <n v="438.36968994140631"/>
    <n v="440.87002757046025"/>
    <n v="436.59077465034932"/>
    <n v="437.11455984031568"/>
    <n v="18821000"/>
    <x v="2"/>
    <n v="0.21464054162587676"/>
    <n v="96.633686731902685"/>
    <n v="415.9646630859375"/>
    <x v="1022"/>
    <n v="0"/>
    <s v="Microsoft Corp."/>
    <s v="Technology"/>
  </r>
  <r>
    <x v="110"/>
    <n v="440.7908935546875"/>
    <n v="443.07380892404888"/>
    <n v="435.33562036137351"/>
    <n v="437.41100619528191"/>
    <n v="19144400"/>
    <x v="2"/>
    <n v="0.55232003234639837"/>
    <n v="97.167413941717868"/>
    <n v="416.3373419189453"/>
    <x v="1023"/>
    <n v="0"/>
    <s v="Microsoft Corp."/>
    <s v="Technology"/>
  </r>
  <r>
    <x v="111"/>
    <n v="438.1324462890625"/>
    <n v="444.34871163189086"/>
    <n v="436.42274787532313"/>
    <n v="439.18004674067907"/>
    <n v="18469500"/>
    <x v="2"/>
    <n v="-0.60310848170804787"/>
    <n v="96.581389026778993"/>
    <n v="416.6118768310547"/>
    <x v="1024"/>
    <n v="0"/>
    <s v="Microsoft Corp."/>
    <s v="Technology"/>
  </r>
  <r>
    <x v="112"/>
    <n v="443.72610473632813"/>
    <n v="445.07017600098669"/>
    <n v="438.84401807874161"/>
    <n v="438.84401807874161"/>
    <n v="19200200"/>
    <x v="2"/>
    <n v="1.2767049084456916"/>
    <n v="97.814448361128896"/>
    <n v="417.18785217285154"/>
    <x v="1025"/>
    <n v="0"/>
    <s v="Microsoft Corp."/>
    <s v="Technology"/>
  </r>
  <r>
    <x v="113"/>
    <n v="444.28939819335938"/>
    <n v="450.81202644259832"/>
    <n v="443.8446618873549"/>
    <n v="443.8446618873549"/>
    <n v="20834800"/>
    <x v="2"/>
    <n v="0.12694620645903321"/>
    <n v="97.93862009269219"/>
    <n v="417.84531677246093"/>
    <x v="1026"/>
    <n v="0"/>
    <s v="Microsoft Corp."/>
    <s v="Technology"/>
  </r>
  <r>
    <x v="114"/>
    <n v="442.0262451171875"/>
    <n v="446.13747735633456"/>
    <n v="440.35605607754047"/>
    <n v="443.18254143686369"/>
    <n v="20177800"/>
    <x v="2"/>
    <n v="-0.50938714391445261"/>
    <n v="97.439733353012798"/>
    <n v="418.46915771484373"/>
    <x v="1027"/>
    <n v="0"/>
    <s v="Microsoft Corp."/>
    <s v="Technology"/>
  </r>
  <r>
    <x v="115"/>
    <n v="446.29562377929688"/>
    <n v="446.87870308969281"/>
    <n v="440.05960367412308"/>
    <n v="442.02626356510217"/>
    <n v="23598800"/>
    <x v="2"/>
    <n v="0.96586542298580103"/>
    <n v="98.380870045719121"/>
    <n v="419.17838623046873"/>
    <x v="1028"/>
    <n v="0"/>
    <s v="Microsoft Corp."/>
    <s v="Technology"/>
  </r>
  <r>
    <x v="116"/>
    <n v="449.13198852539063"/>
    <n v="449.95227465196029"/>
    <n v="444.29933364301343"/>
    <n v="445.72245376832848"/>
    <n v="22733500"/>
    <x v="2"/>
    <n v="0.63553496717601021"/>
    <n v="99.00611487587166"/>
    <n v="420.08242370605467"/>
    <x v="1029"/>
    <n v="0"/>
    <s v="Microsoft Corp."/>
    <s v="Technology"/>
  </r>
  <r>
    <x v="117"/>
    <n v="432.26211547851563"/>
    <n v="447.34318887069378"/>
    <n v="431.89642797238082"/>
    <n v="446.02879487441652"/>
    <n v="24444500"/>
    <x v="2"/>
    <n v="-3.7561058837654593"/>
    <n v="95.287340369731453"/>
    <n v="420.54707946777341"/>
    <x v="1030"/>
    <n v="0"/>
    <s v="Microsoft Corp."/>
    <s v="Technology"/>
  </r>
  <r>
    <x v="118"/>
    <n v="431.90631103515625"/>
    <n v="437.98420313441392"/>
    <n v="431.20464343548161"/>
    <n v="436.44249480171817"/>
    <n v="22963700"/>
    <x v="2"/>
    <n v="-8.2312196840450547E-2"/>
    <n v="95.208907266562292"/>
    <n v="420.95037414550779"/>
    <x v="1031"/>
    <n v="0"/>
    <s v="Microsoft Corp."/>
    <s v="Technology"/>
  </r>
  <r>
    <x v="119"/>
    <n v="431.48141479492188"/>
    <n v="438.53769150433192"/>
    <n v="423.60485191230282"/>
    <n v="428.03231018964311"/>
    <n v="64263700"/>
    <x v="2"/>
    <n v="-9.8376946429890033E-2"/>
    <n v="95.115243650864173"/>
    <n v="421.37712707519529"/>
    <x v="1032"/>
    <n v="1"/>
    <s v="Microsoft Corp."/>
    <s v="Technology"/>
  </r>
  <r>
    <x v="120"/>
    <n v="430.147216796875"/>
    <n v="432.51907364903411"/>
    <n v="427.75557511841203"/>
    <n v="431.61973868629701"/>
    <n v="19152500"/>
    <x v="2"/>
    <n v="-0.3092133177233114"/>
    <n v="94.821134650310725"/>
    <n v="421.76772644042967"/>
    <x v="1033"/>
    <n v="0"/>
    <s v="Microsoft Corp."/>
    <s v="Technology"/>
  </r>
  <r>
    <x v="121"/>
    <n v="434.1793212890625"/>
    <n v="434.4461751355928"/>
    <n v="429.09959787026048"/>
    <n v="429.55419642685541"/>
    <n v="7164500"/>
    <x v="2"/>
    <n v="0.93737779409870381"/>
    <n v="95.709966910635174"/>
    <n v="422.18334106445315"/>
    <x v="1034"/>
    <n v="0"/>
    <s v="Microsoft Corp."/>
    <s v="Technology"/>
  </r>
  <r>
    <x v="122"/>
    <n v="432.97366333007813"/>
    <n v="435.7705018127553"/>
    <n v="431.51103388396439"/>
    <n v="433.93229243236959"/>
    <n v="8194200"/>
    <x v="2"/>
    <n v="-0.27768663772489433"/>
    <n v="95.444193121553411"/>
    <n v="422.58273376464842"/>
    <x v="1035"/>
    <n v="0"/>
    <s v="Microsoft Corp."/>
    <s v="Technology"/>
  </r>
  <r>
    <x v="123"/>
    <n v="425.4825439453125"/>
    <n v="430.117561657289"/>
    <n v="421.35155673790098"/>
    <n v="429.50483524927432"/>
    <n v="18117700"/>
    <x v="2"/>
    <n v="-1.7301559007423362"/>
    <n v="93.792859782344934"/>
    <n v="422.88398498535156"/>
    <x v="1036"/>
    <n v="0"/>
    <s v="Microsoft Corp."/>
    <s v="Technology"/>
  </r>
  <r>
    <x v="124"/>
    <n v="419.849365234375"/>
    <n v="422.5374777077036"/>
    <n v="416.95372320356262"/>
    <n v="421.06495581922968"/>
    <n v="13158700"/>
    <x v="2"/>
    <n v="-1.3239506041078708"/>
    <n v="92.551088648646541"/>
    <n v="423.06073669433596"/>
    <x v="1037"/>
    <n v="0"/>
    <s v="Microsoft Corp."/>
    <s v="Technology"/>
  </r>
  <r>
    <x v="125"/>
    <n v="416.55838012695313"/>
    <n v="421.727075036825"/>
    <n v="415.72823181420273"/>
    <n v="421.10445626231387"/>
    <n v="13246500"/>
    <x v="2"/>
    <n v="-0.78384901346336688"/>
    <n v="91.825627853324505"/>
    <n v="423.14326477050781"/>
    <x v="1038"/>
    <n v="0"/>
    <s v="Microsoft Corp."/>
    <s v="Technology"/>
  </r>
  <r>
    <x v="126"/>
    <n v="413.67263793945313"/>
    <n v="421.07484717562448"/>
    <n v="409.98638702094667"/>
    <n v="420.54116958363778"/>
    <n v="16896500"/>
    <x v="2"/>
    <n v="-0.69275816432273762"/>
    <n v="91.189498319430001"/>
    <n v="423.15584716796877"/>
    <x v="1039"/>
    <n v="0"/>
    <s v="Microsoft Corp."/>
    <s v="Technology"/>
  </r>
  <r>
    <x v="127"/>
    <n v="418.38671875"/>
    <n v="419.05873930106293"/>
    <n v="414.62138898974536"/>
    <n v="416.14331256248272"/>
    <n v="16662900"/>
    <x v="2"/>
    <n v="1.139567952579168"/>
    <n v="92.228664618395939"/>
    <n v="423.09050292968749"/>
    <x v="1040"/>
    <n v="0"/>
    <s v="Microsoft Corp."/>
    <s v="Technology"/>
  </r>
  <r>
    <x v="128"/>
    <n v="422.83395385742188"/>
    <n v="429.22810170967261"/>
    <n v="420.49174422384129"/>
    <n v="422.98218924692799"/>
    <n v="20573600"/>
    <x v="2"/>
    <n v="1.0629484417451707"/>
    <n v="93.209007771799563"/>
    <n v="423.17150634765625"/>
    <x v="1041"/>
    <n v="0"/>
    <s v="Microsoft Corp."/>
    <s v="Technology"/>
  </r>
  <r>
    <x v="129"/>
    <n v="417.41815185546881"/>
    <n v="425.60107637135599"/>
    <n v="415.86655121325668"/>
    <n v="423.97042691517908"/>
    <n v="18139100"/>
    <x v="2"/>
    <n v="-1.2808342264252648"/>
    <n v="92.01515489814696"/>
    <n v="423.14162963867187"/>
    <x v="1042"/>
    <n v="0"/>
    <s v="Microsoft Corp."/>
    <s v="Technology"/>
  </r>
  <r>
    <x v="130"/>
    <n v="419.58251953125"/>
    <n v="421.96426867022262"/>
    <n v="416.59793641790981"/>
    <n v="418.49540973506828"/>
    <n v="15054600"/>
    <x v="2"/>
    <n v="0.51851307044514794"/>
    <n v="92.492265503084212"/>
    <n v="423.0875769042969"/>
    <x v="1043"/>
    <n v="0"/>
    <s v="Microsoft Corp."/>
    <s v="Technology"/>
  </r>
  <r>
    <x v="131"/>
    <n v="414.03829956054688"/>
    <n v="419.73074959963856"/>
    <n v="410.15435142162687"/>
    <n v="419.651700779007"/>
    <n v="20201100"/>
    <x v="2"/>
    <n v="-1.3213658130698636"/>
    <n v="91.270104326992637"/>
    <n v="422.95341186523439"/>
    <x v="1044"/>
    <n v="0"/>
    <s v="Microsoft Corp."/>
    <s v="Technology"/>
  </r>
  <r>
    <x v="132"/>
    <n v="412.29891967773438"/>
    <n v="413.59355899082419"/>
    <n v="407.456372689251"/>
    <n v="410.37176916690618"/>
    <n v="17604800"/>
    <x v="2"/>
    <n v="-0.42010120432304232"/>
    <n v="90.886677519528064"/>
    <n v="422.67872741699216"/>
    <x v="1045"/>
    <n v="0"/>
    <s v="Microsoft Corp."/>
    <s v="Technology"/>
  </r>
  <r>
    <x v="133"/>
    <n v="410.7967529296875"/>
    <n v="414.81901386422032"/>
    <n v="405.90477401390677"/>
    <n v="412.91164816841012"/>
    <n v="16935900"/>
    <x v="2"/>
    <n v="-0.36433923940936142"/>
    <n v="90.555541689928958"/>
    <n v="422.36255859375001"/>
    <x v="1046"/>
    <n v="0"/>
    <s v="Microsoft Corp."/>
    <s v="Technology"/>
  </r>
  <r>
    <x v="134"/>
    <n v="421.31204223632813"/>
    <n v="423.13046690209615"/>
    <n v="413.36629280737418"/>
    <n v="414.21622605843157"/>
    <n v="19637800"/>
    <x v="2"/>
    <n v="2.5597303853179376"/>
    <n v="92.873519406155324"/>
    <n v="422.77312316894529"/>
    <x v="1047"/>
    <n v="0"/>
    <s v="Microsoft Corp."/>
    <s v="Technology"/>
  </r>
  <r>
    <x v="135"/>
    <n v="419.60226440429688"/>
    <n v="424.45470380325997"/>
    <n v="419.4145196873236"/>
    <n v="423.67398737859008"/>
    <n v="15300000"/>
    <x v="2"/>
    <n v="-0.40582220791880452"/>
    <n v="92.496618039129359"/>
    <n v="423.07019470214846"/>
    <x v="1048"/>
    <n v="0"/>
    <s v="Microsoft Corp."/>
    <s v="Technology"/>
  </r>
  <r>
    <x v="136"/>
    <n v="424.0001220703125"/>
    <n v="429.38623923610697"/>
    <n v="423.15021904469972"/>
    <n v="429.00079705486741"/>
    <n v="26197500"/>
    <x v="2"/>
    <n v="1.0481015092373758"/>
    <n v="93.466076488791003"/>
    <n v="423.49289978027343"/>
    <x v="1049"/>
    <n v="0"/>
    <s v="Microsoft Corp."/>
    <s v="Technology"/>
  </r>
  <r>
    <x v="137"/>
    <n v="423.476318359375"/>
    <n v="425.84817502067762"/>
    <n v="420.61032363697626"/>
    <n v="425.15639983101931"/>
    <n v="26085700"/>
    <x v="2"/>
    <n v="-0.12353857550320146"/>
    <n v="93.350609829318017"/>
    <n v="423.8459503173828"/>
    <x v="1050"/>
    <n v="0"/>
    <s v="Microsoft Corp."/>
    <s v="Technology"/>
  </r>
  <r>
    <x v="138"/>
    <n v="440.9688720703125"/>
    <n v="442.02630472978723"/>
    <n v="430.88844231911162"/>
    <n v="432.43015084673561"/>
    <n v="27803800"/>
    <x v="2"/>
    <n v="4.1307041155705937"/>
    <n v="97.206647311447909"/>
    <n v="424.37684082031251"/>
    <x v="1051"/>
    <n v="0"/>
    <s v="Microsoft Corp."/>
    <s v="Technology"/>
  </r>
  <r>
    <x v="139"/>
    <n v="441.47280883789063"/>
    <n v="441.51234832669104"/>
    <n v="436.32389879403269"/>
    <n v="436.8180368447621"/>
    <n v="18389300"/>
    <x v="2"/>
    <n v="0.11427944226816145"/>
    <n v="97.317734525843008"/>
    <n v="424.81424804687498"/>
    <x v="1052"/>
    <n v="0"/>
    <s v="Microsoft Corp."/>
    <s v="Technology"/>
  </r>
  <r>
    <x v="140"/>
    <n v="438.85394287109375"/>
    <n v="441.41357470272482"/>
    <n v="436.22512446460303"/>
    <n v="439.94105276246921"/>
    <n v="15549500"/>
    <x v="2"/>
    <n v="-0.59321115918569145"/>
    <n v="96.740434864768986"/>
    <n v="425.2562860107422"/>
    <x v="1053"/>
    <n v="0"/>
    <s v="Microsoft Corp."/>
    <s v="Technology"/>
  </r>
  <r>
    <x v="141"/>
    <n v="429.46533203125"/>
    <n v="430.09784331862181"/>
    <n v="418.53499893466574"/>
    <n v="419.03902948180274"/>
    <n v="35647800"/>
    <x v="2"/>
    <n v="-2.1393474964406356"/>
    <n v="94.670820793443781"/>
    <n v="425.599912109375"/>
    <x v="1054"/>
    <n v="0"/>
    <s v="Microsoft Corp."/>
    <s v="Technology"/>
  </r>
  <r>
    <x v="142"/>
    <n v="441.95712280273438"/>
    <n v="443.12328146481229"/>
    <n v="426.32258628914173"/>
    <n v="429.50483681704293"/>
    <n v="23491700"/>
    <x v="2"/>
    <n v="2.9086843197335011"/>
    <n v="97.424496113225672"/>
    <n v="426.09434936523439"/>
    <x v="1055"/>
    <n v="0"/>
    <s v="Microsoft Corp."/>
    <s v="Technology"/>
  </r>
  <r>
    <x v="143"/>
    <n v="437.1441650390625"/>
    <n v="441.64083950305229"/>
    <n v="435.23679935643298"/>
    <n v="441.45306462654537"/>
    <n v="23581400"/>
    <x v="2"/>
    <n v="-1.0890101132774666"/>
    <n v="96.363533497743035"/>
    <n v="426.44972045898436"/>
    <x v="1056"/>
    <n v="0"/>
    <s v="Microsoft Corp."/>
    <s v="Technology"/>
  </r>
  <r>
    <x v="144"/>
    <n v="410.12472534179688"/>
    <n v="417.90245411076046"/>
    <n v="408.3161931892364"/>
    <n v="413.86040812362961"/>
    <n v="54586300"/>
    <x v="2"/>
    <n v="-6.1808990850538255"/>
    <n v="90.407400737455504"/>
    <n v="426.23136657714844"/>
    <x v="1057"/>
    <n v="1"/>
    <s v="Microsoft Corp."/>
    <s v="Technology"/>
  </r>
  <r>
    <x v="145"/>
    <n v="410.19390869140631"/>
    <n v="415.75790840811362"/>
    <n v="410.0456732964256"/>
    <n v="414.06796458574274"/>
    <n v="34161900"/>
    <x v="2"/>
    <n v="1.6868856066110105E-2"/>
    <n v="90.422651431759007"/>
    <n v="426.24893859863283"/>
    <x v="1058"/>
    <n v="0"/>
    <s v="Microsoft Corp."/>
    <s v="Technology"/>
  </r>
  <r>
    <x v="146"/>
    <n v="406.10244750976563"/>
    <n v="410.5397977577241"/>
    <n v="403.86893376688317"/>
    <n v="406.77446805123299"/>
    <n v="25679100"/>
    <x v="2"/>
    <n v="-0.99744562143625481"/>
    <n v="89.520734654266349"/>
    <n v="426.16968994140626"/>
    <x v="1059"/>
    <n v="0"/>
    <s v="Microsoft Corp."/>
    <s v="Technology"/>
  </r>
  <r>
    <x v="147"/>
    <n v="407.53543090820313"/>
    <n v="409.06727703567128"/>
    <n v="404.93625980967772"/>
    <n v="407.85168651436629"/>
    <n v="20532100"/>
    <x v="2"/>
    <n v="0.35286253683635138"/>
    <n v="89.836619789561951"/>
    <n v="426.07905578613281"/>
    <x v="1060"/>
    <n v="0"/>
    <s v="Microsoft Corp."/>
    <s v="Technology"/>
  </r>
  <r>
    <x v="148"/>
    <n v="408.44467163085938"/>
    <n v="408.9783190539917"/>
    <n v="405.58853898868563"/>
    <n v="407.51568960716099"/>
    <n v="16316700"/>
    <x v="2"/>
    <n v="0.22310715920577096"/>
    <n v="90.037051719900916"/>
    <n v="426.05197814941408"/>
    <x v="1061"/>
    <n v="0"/>
    <s v="Microsoft Corp."/>
    <s v="Technology"/>
  </r>
  <r>
    <x v="149"/>
    <n v="410.94500732421881"/>
    <n v="413.29710945199457"/>
    <n v="409.14633744300238"/>
    <n v="409.14633744300238"/>
    <n v="16309800"/>
    <x v="2"/>
    <n v="0.61216019378487196"/>
    <n v="90.588222710187651"/>
    <n v="426.11028747558595"/>
    <x v="1062"/>
    <n v="0"/>
    <s v="Microsoft Corp."/>
    <s v="Technology"/>
  </r>
  <r>
    <x v="150"/>
    <n v="404.94613647460938"/>
    <n v="413.74178783038479"/>
    <n v="403.31548692344882"/>
    <n v="411.59724555903949"/>
    <n v="22886800"/>
    <x v="2"/>
    <n v="-1.4597746030958758"/>
    <n v="89.265838841668398"/>
    <n v="425.96698730468751"/>
    <x v="1063"/>
    <n v="0"/>
    <s v="Microsoft Corp."/>
    <s v="Technology"/>
  </r>
  <r>
    <x v="151"/>
    <n v="407.38717651367188"/>
    <n v="410.58918143726896"/>
    <n v="406.10242964328353"/>
    <n v="408.85969825647294"/>
    <n v="20817900"/>
    <x v="2"/>
    <n v="0.60280610658833833"/>
    <n v="89.803938769303286"/>
    <n v="425.83712768554688"/>
    <x v="1064"/>
    <n v="0"/>
    <s v="Microsoft Corp."/>
    <s v="Technology"/>
  </r>
  <r>
    <x v="152"/>
    <n v="406.6163330078125"/>
    <n v="407.65401087954717"/>
    <n v="404.50140761463911"/>
    <n v="404.8374480391833"/>
    <n v="18140600"/>
    <x v="2"/>
    <n v="-0.18921643839064917"/>
    <n v="89.634014954829482"/>
    <n v="425.5100085449219"/>
    <x v="1065"/>
    <n v="0"/>
    <s v="Microsoft Corp."/>
    <s v="Technology"/>
  </r>
  <r>
    <x v="153"/>
    <n v="404.24444580078131"/>
    <n v="405.93438940933225"/>
    <n v="399.62918335569123"/>
    <n v="402.43588373145838"/>
    <n v="19121700"/>
    <x v="2"/>
    <n v="-0.58332315120889211"/>
    <n v="89.111158994239929"/>
    <n v="425.23427856445312"/>
    <x v="1066"/>
    <n v="0"/>
    <s v="Microsoft Corp."/>
    <s v="Technology"/>
  </r>
  <r>
    <x v="154"/>
    <n v="405.72689819335938"/>
    <n v="406.18149677663939"/>
    <n v="401.59588097379788"/>
    <n v="402.22839218513928"/>
    <n v="23891700"/>
    <x v="2"/>
    <n v="0.36672177143743934"/>
    <n v="89.437949015052041"/>
    <n v="424.97890808105467"/>
    <x v="1067"/>
    <n v="0"/>
    <s v="Microsoft Corp."/>
    <s v="Technology"/>
  </r>
  <r>
    <x v="155"/>
    <n v="403.6416015625"/>
    <n v="404.11598494952727"/>
    <n v="401.12150956343908"/>
    <n v="403.00912053959007"/>
    <n v="22758500"/>
    <x v="2"/>
    <n v="-0.51396558624653421"/>
    <n v="88.97826873606995"/>
    <n v="424.53319396972654"/>
    <x v="1068"/>
    <n v="0"/>
    <s v="Microsoft Corp."/>
    <s v="Technology"/>
  </r>
  <r>
    <x v="156"/>
    <n v="404.83746337890631"/>
    <n v="405.78620005413762"/>
    <n v="401.7342617389566"/>
    <n v="403.21667598891582"/>
    <n v="21423100"/>
    <x v="2"/>
    <n v="0.29626822700561384"/>
    <n v="89.2418830752746"/>
    <n v="424.1070495605469"/>
    <x v="1069"/>
    <n v="0"/>
    <s v="Microsoft Corp."/>
    <s v="Technology"/>
  </r>
  <r>
    <x v="157"/>
    <n v="409.90728759765625"/>
    <n v="410.61884763156144"/>
    <n v="402.87076624003532"/>
    <n v="403.09808061190603"/>
    <n v="24114200"/>
    <x v="2"/>
    <n v="1.2523110327872233"/>
    <n v="90.359469022893336"/>
    <n v="423.65935974121095"/>
    <x v="1070"/>
    <n v="0"/>
    <s v="Microsoft Corp."/>
    <s v="Technology"/>
  </r>
  <r>
    <x v="158"/>
    <n v="412.07595825195313"/>
    <n v="415.22497061282769"/>
    <n v="408.52093659117702"/>
    <n v="411.24414537664296"/>
    <n v="23508700"/>
    <x v="2"/>
    <n v="0.52906369803933373"/>
    <n v="90.837528171234553"/>
    <n v="423.15226318359373"/>
    <x v="1071"/>
    <n v="0"/>
    <s v="Microsoft Corp."/>
    <s v="Technology"/>
  </r>
  <r>
    <x v="159"/>
    <n v="404.23312377929688"/>
    <n v="413.97725680128366"/>
    <n v="403.91626425407009"/>
    <n v="413.27418223243296"/>
    <n v="27524800"/>
    <x v="2"/>
    <n v="-1.9032497081183597"/>
    <n v="89.108663181453593"/>
    <n v="422.46953186035154"/>
    <x v="1072"/>
    <n v="0"/>
    <s v="Microsoft Corp."/>
    <s v="Technology"/>
  </r>
  <r>
    <x v="160"/>
    <n v="400.06411743164063"/>
    <n v="405.38179653354615"/>
    <n v="395.42971857168283"/>
    <n v="404.53018940315758"/>
    <n v="26443700"/>
    <x v="2"/>
    <n v="-1.0313371424585327"/>
    <n v="88.189652440914998"/>
    <n v="421.65499633789062"/>
    <x v="1073"/>
    <n v="0"/>
    <s v="Microsoft Corp."/>
    <s v="Technology"/>
  </r>
  <r>
    <x v="161"/>
    <n v="394.0235595703125"/>
    <n v="398.00441513588805"/>
    <n v="392.83526838169661"/>
    <n v="397.19239651382583"/>
    <n v="29387400"/>
    <x v="2"/>
    <n v="-1.5098974384675445"/>
    <n v="86.858079137716189"/>
    <n v="420.77281860351565"/>
    <x v="1074"/>
    <n v="0"/>
    <s v="Microsoft Corp."/>
    <s v="Technology"/>
  </r>
  <r>
    <x v="162"/>
    <n v="395.83575439453131"/>
    <n v="399.66804717869121"/>
    <n v="390.40913086553707"/>
    <n v="394.13250979931922"/>
    <n v="19619000"/>
    <x v="2"/>
    <n v="0.45992042358964369"/>
    <n v="87.257557183208206"/>
    <n v="419.81501159667971"/>
    <x v="1075"/>
    <n v="0"/>
    <s v="Microsoft Corp."/>
    <s v="Technology"/>
  </r>
  <r>
    <x v="163"/>
    <n v="388.70587158203131"/>
    <n v="401.78716793671936"/>
    <n v="388.34939329942608"/>
    <n v="397.36071460609611"/>
    <n v="21127400"/>
    <x v="2"/>
    <n v="-1.801222535696867"/>
    <n v="85.685854399125688"/>
    <n v="418.70334106445313"/>
    <x v="1076"/>
    <n v="0"/>
    <s v="Microsoft Corp."/>
    <s v="Technology"/>
  </r>
  <r>
    <x v="164"/>
    <n v="393.12240600585938"/>
    <n v="393.75618545789092"/>
    <n v="382.80393739721217"/>
    <n v="388.83460333794528"/>
    <n v="32845700"/>
    <x v="2"/>
    <n v="1.1362150012946159"/>
    <n v="86.659429930796023"/>
    <n v="417.72526428222659"/>
    <x v="1077"/>
    <n v="0"/>
    <s v="Microsoft Corp."/>
    <s v="Technology"/>
  </r>
  <r>
    <x v="165"/>
    <n v="384.70523071289063"/>
    <n v="394.93461038215554"/>
    <n v="382.39794340981081"/>
    <n v="394.93461038215554"/>
    <n v="23007700"/>
    <x v="2"/>
    <n v="-2.1411080020820039"/>
    <n v="84.803957941989111"/>
    <n v="416.49345642089844"/>
    <x v="1078"/>
    <n v="0"/>
    <s v="Microsoft Corp."/>
    <s v="Technology"/>
  </r>
  <r>
    <x v="166"/>
    <n v="384.82400512695313"/>
    <n v="388.75532914768758"/>
    <n v="377.28815902846338"/>
    <n v="379.66477130899921"/>
    <n v="21697800"/>
    <x v="2"/>
    <n v="3.0874135462721775E-2"/>
    <n v="84.830140430841865"/>
    <n v="415.20729675292966"/>
    <x v="1079"/>
    <n v="0"/>
    <s v="Microsoft Corp."/>
    <s v="Technology"/>
  </r>
  <r>
    <x v="167"/>
    <n v="397.11312866210938"/>
    <n v="397.75682033795329"/>
    <n v="385.02209070764377"/>
    <n v="385.54692607545508"/>
    <n v="23433100"/>
    <x v="2"/>
    <n v="3.1934399547403736"/>
    <n v="87.539140029022732"/>
    <n v="414.50431701660159"/>
    <x v="1080"/>
    <n v="0"/>
    <s v="Microsoft Corp."/>
    <s v="Technology"/>
  </r>
  <r>
    <x v="168"/>
    <n v="393.0234375"/>
    <n v="398.23217304119839"/>
    <n v="388.85443035299591"/>
    <n v="390.43884889620801"/>
    <n v="23304600"/>
    <x v="2"/>
    <n v="-1.0298554409137073"/>
    <n v="86.637613432504779"/>
    <n v="413.72665954589843"/>
    <x v="1081"/>
    <n v="0"/>
    <s v="Microsoft Corp."/>
    <s v="Technology"/>
  </r>
  <r>
    <x v="169"/>
    <n v="389.47830200195313"/>
    <n v="390.95377648794658"/>
    <n v="381.78400959544518"/>
    <n v="388.49795642753008"/>
    <n v="22034100"/>
    <x v="2"/>
    <n v="-0.90201630737273275"/>
    <n v="85.856128031025037"/>
    <n v="412.88659729003905"/>
    <x v="1082"/>
    <n v="0"/>
    <s v="Microsoft Corp."/>
    <s v="Technology"/>
  </r>
  <r>
    <x v="170"/>
    <n v="376.45639038085938"/>
    <n v="382.63558907881742"/>
    <n v="373.54503017425952"/>
    <n v="382.08104715568106"/>
    <n v="32840100"/>
    <x v="2"/>
    <n v="-3.3434241533250919"/>
    <n v="82.985593509326023"/>
    <n v="411.81278076171873"/>
    <x v="1083"/>
    <n v="0"/>
    <s v="Microsoft Corp."/>
    <s v="Technology"/>
  </r>
  <r>
    <x v="171"/>
    <n v="376.74356079101563"/>
    <n v="382.23947903620126"/>
    <n v="373.23804000864612"/>
    <n v="375.30767501222869"/>
    <n v="30380200"/>
    <x v="2"/>
    <n v="7.6282517044190534E-2"/>
    <n v="83.048897008839006"/>
    <n v="410.6640655517578"/>
    <x v="1084"/>
    <n v="0"/>
    <s v="Microsoft Corp."/>
    <s v="Technology"/>
  </r>
  <r>
    <x v="172"/>
    <n v="379.53607177734375"/>
    <n v="381.46708645156627"/>
    <n v="375.25818132319932"/>
    <n v="379.21921226907705"/>
    <n v="24253600"/>
    <x v="2"/>
    <n v="0.74122328208210408"/>
    <n v="83.664474768980909"/>
    <n v="409.59531372070313"/>
    <x v="1085"/>
    <n v="0"/>
    <s v="Microsoft Corp."/>
    <s v="Technology"/>
  </r>
  <r>
    <x v="173"/>
    <n v="375.07992553710938"/>
    <n v="381.56613207787609"/>
    <n v="373.7728082450696"/>
    <n v="379.42717166326253"/>
    <n v="20473000"/>
    <x v="2"/>
    <n v="-1.1741034835942021"/>
    <n v="82.682167256187512"/>
    <n v="408.58726135253909"/>
    <x v="1086"/>
    <n v="0"/>
    <s v="Microsoft Corp."/>
    <s v="Technology"/>
  </r>
  <r>
    <x v="174"/>
    <n v="384.7745361328125"/>
    <n v="386.42827981726163"/>
    <n v="375.81271588130278"/>
    <n v="376.08007458561946"/>
    <n v="19952800"/>
    <x v="2"/>
    <n v="2.5846786073183026"/>
    <n v="84.819235545325341"/>
    <n v="407.88576477050782"/>
    <x v="1087"/>
    <n v="0"/>
    <s v="Microsoft Corp."/>
    <s v="Technology"/>
  </r>
  <r>
    <x v="175"/>
    <n v="384.9132080078125"/>
    <n v="388.88412112316473"/>
    <n v="381.81369634666601"/>
    <n v="382.93269246410421"/>
    <n v="22474300"/>
    <x v="2"/>
    <n v="3.6039774459539764E-2"/>
    <n v="84.849804206514179"/>
    <n v="407.25286132812499"/>
    <x v="1088"/>
    <n v="0"/>
    <s v="Microsoft Corp."/>
    <s v="Technology"/>
  </r>
  <r>
    <x v="176"/>
    <n v="379.78363037109375"/>
    <n v="383.59612864192547"/>
    <n v="377.38722360904001"/>
    <n v="383.29906341366012"/>
    <n v="19486900"/>
    <x v="2"/>
    <n v="-1.3326582538613851"/>
    <n v="83.719046287370844"/>
    <n v="406.57508117675781"/>
    <x v="1089"/>
    <n v="0"/>
    <s v="Microsoft Corp."/>
    <s v="Technology"/>
  </r>
  <r>
    <x v="177"/>
    <n v="384.04177856445313"/>
    <n v="385.88364352507318"/>
    <n v="380.25898660112938"/>
    <n v="381.77407979205748"/>
    <n v="19185500"/>
    <x v="2"/>
    <n v="1.1212037204443748"/>
    <n v="84.657707349065376"/>
    <n v="405.8881823730469"/>
    <x v="1090"/>
    <n v="0"/>
    <s v="Microsoft Corp."/>
    <s v="Technology"/>
  </r>
  <r>
    <x v="178"/>
    <n v="383.07131958007813"/>
    <n v="387.97310772514027"/>
    <n v="379.5460042678497"/>
    <n v="381.98202996781214"/>
    <n v="18470500"/>
    <x v="2"/>
    <n v="-0.2526962009192224"/>
    <n v="84.44378053880898"/>
    <n v="405.09292968749997"/>
    <x v="1091"/>
    <n v="0"/>
    <s v="Microsoft Corp."/>
    <s v="Technology"/>
  </r>
  <r>
    <x v="179"/>
    <n v="387.44827270507813"/>
    <n v="387.92357710345192"/>
    <n v="379.07067004050685"/>
    <n v="379.48659160935341"/>
    <n v="39675900"/>
    <x v="2"/>
    <n v="1.1425948384227835"/>
    <n v="85.408630816614476"/>
    <n v="404.4935321044922"/>
    <x v="1092"/>
    <n v="0"/>
    <s v="Microsoft Corp."/>
    <s v="Technology"/>
  </r>
  <r>
    <x v="180"/>
    <n v="389.25051879882813"/>
    <n v="391.54792412450792"/>
    <n v="386.01238670480399"/>
    <n v="391.54792412450792"/>
    <n v="21004500"/>
    <x v="2"/>
    <n v="0.46515785995562275"/>
    <n v="85.805915775938445"/>
    <n v="403.88689208984374"/>
    <x v="1093"/>
    <n v="0"/>
    <s v="Microsoft Corp."/>
    <s v="Technology"/>
  </r>
  <r>
    <x v="181"/>
    <n v="391.31027221679688"/>
    <n v="392.49856343352792"/>
    <n v="388.81483346341918"/>
    <n v="390.08236222676072"/>
    <n v="15775000"/>
    <x v="2"/>
    <n v="0.52915881122646002"/>
    <n v="86.259965339820383"/>
    <n v="403.43233154296877"/>
    <x v="1094"/>
    <n v="0"/>
    <s v="Microsoft Corp."/>
    <s v="Technology"/>
  </r>
  <r>
    <x v="182"/>
    <n v="386.17083740234375"/>
    <n v="391.45881045430576"/>
    <n v="384.78448251947782"/>
    <n v="391.15183295239513"/>
    <n v="16108400"/>
    <x v="2"/>
    <n v="-1.3133912343619047"/>
    <n v="85.127034516283558"/>
    <n v="402.90976989746093"/>
    <x v="1095"/>
    <n v="0"/>
    <s v="Microsoft Corp."/>
    <s v="Technology"/>
  </r>
  <r>
    <x v="183"/>
    <n v="386.77484130859375"/>
    <n v="388.41867272611893"/>
    <n v="383.62582905803851"/>
    <n v="386.3292434732889"/>
    <n v="13766800"/>
    <x v="2"/>
    <n v="0.15640847204128061"/>
    <n v="85.260180410264525"/>
    <n v="402.42933166503906"/>
    <x v="1096"/>
    <n v="0"/>
    <s v="Microsoft Corp."/>
    <s v="Technology"/>
  </r>
  <r>
    <x v="184"/>
    <n v="375.10964965820313"/>
    <n v="385.33902984934599"/>
    <n v="373.25787237236511"/>
    <n v="384.2992410074857"/>
    <n v="21632000"/>
    <x v="2"/>
    <n v="-3.0160161428605892"/>
    <n v="82.688719605658889"/>
    <n v="401.50528381347658"/>
    <x v="1097"/>
    <n v="0"/>
    <s v="Microsoft Corp."/>
    <s v="Technology"/>
  </r>
  <r>
    <x v="185"/>
    <n v="371.73287963867188"/>
    <n v="373.39650544322319"/>
    <n v="363.66225461844522"/>
    <n v="368.91063894364481"/>
    <n v="35184700"/>
    <x v="2"/>
    <n v="-0.90020878498010548"/>
    <n v="81.944348487581181"/>
    <n v="400.54789611816409"/>
    <x v="1098"/>
    <n v="0"/>
    <s v="Microsoft Corp."/>
    <s v="Technology"/>
  </r>
  <r>
    <x v="186"/>
    <n v="378.46661376953131"/>
    <n v="379.12018751420902"/>
    <n v="369.59391274714585"/>
    <n v="371.00006183577841"/>
    <n v="19689500"/>
    <x v="2"/>
    <n v="1.8114443192124074"/>
    <n v="83.428724733175088"/>
    <n v="399.63722595214841"/>
    <x v="1099"/>
    <n v="0"/>
    <s v="Microsoft Corp."/>
    <s v="Technology"/>
  </r>
  <r>
    <x v="187"/>
    <n v="378.4171142578125"/>
    <n v="381.32844426453141"/>
    <n v="372.95087209109226"/>
    <n v="374.28772610883442"/>
    <n v="16092600"/>
    <x v="2"/>
    <n v="-1.3078963881596462E-2"/>
    <n v="83.417813120400368"/>
    <n v="398.73604187011716"/>
    <x v="1100"/>
    <n v="0"/>
    <s v="Microsoft Corp."/>
    <s v="Technology"/>
  </r>
  <r>
    <x v="188"/>
    <n v="369.47506713867188"/>
    <n v="373.80251903809335"/>
    <n v="365.75171842206453"/>
    <n v="371.13872318254886"/>
    <n v="30198000"/>
    <x v="2"/>
    <n v="-2.3630134003528425"/>
    <n v="81.446639018084014"/>
    <n v="397.30616577148436"/>
    <x v="1101"/>
    <n v="0"/>
    <s v="Microsoft Corp."/>
    <s v="Technology"/>
  </r>
  <r>
    <x v="189"/>
    <n v="356.3343505859375"/>
    <n v="370.94065262193249"/>
    <n v="355.97787229621173"/>
    <n v="360.58256486011572"/>
    <n v="49209900"/>
    <x v="2"/>
    <n v="-3.5565908829789494"/>
    <n v="78.549915280274064"/>
    <n v="395.6033966064453"/>
    <x v="1102"/>
    <n v="1"/>
    <s v="Microsoft Corp."/>
    <s v="Technology"/>
  </r>
  <r>
    <x v="190"/>
    <n v="354.3736572265625"/>
    <n v="367.385659790646"/>
    <n v="341.43101018463227"/>
    <n v="347.46167682268771"/>
    <n v="50425000"/>
    <x v="2"/>
    <n v="-0.55023978354905578"/>
    <n v="78.117702396457915"/>
    <n v="393.91379089355468"/>
    <x v="1103"/>
    <n v="1"/>
    <s v="Microsoft Corp."/>
    <s v="Technology"/>
  </r>
  <r>
    <x v="191"/>
    <n v="354.3736572265625"/>
    <n v="370.00979012785649"/>
    <n v="346.83776558065426"/>
    <n v="364.67231674466609"/>
    <n v="35868900"/>
    <x v="2"/>
    <n v="0"/>
    <n v="78.117702396457915"/>
    <n v="392.41195739746092"/>
    <x v="1104"/>
    <n v="0"/>
    <s v="Microsoft Corp."/>
    <s v="Technology"/>
  </r>
  <r>
    <x v="192"/>
    <n v="386.68572998046881"/>
    <n v="389.39905670107095"/>
    <n v="349.66000929830324"/>
    <n v="350.09572511561839"/>
    <n v="50199700"/>
    <x v="2"/>
    <n v="9.1180797711631669"/>
    <n v="85.240536816366784"/>
    <n v="391.30652954101561"/>
    <x v="1105"/>
    <n v="0"/>
    <s v="Microsoft Corp."/>
    <s v="Technology"/>
  </r>
  <r>
    <x v="193"/>
    <n v="377.63482666015625"/>
    <n v="380.15997201946135"/>
    <n v="364.21681503291546"/>
    <n v="378.33790125246622"/>
    <n v="38024400"/>
    <x v="2"/>
    <n v="-2.3406354614559199"/>
    <n v="83.245366584107515"/>
    <n v="390.11634277343751"/>
    <x v="1106"/>
    <n v="0"/>
    <s v="Microsoft Corp."/>
    <s v="Technology"/>
  </r>
  <r>
    <x v="194"/>
    <n v="384.6656494140625"/>
    <n v="386.25003769690608"/>
    <n v="375.19878738880561"/>
    <n v="376.9317385159016"/>
    <n v="23839200"/>
    <x v="2"/>
    <n v="1.8618046476506445"/>
    <n v="84.795232688124244"/>
    <n v="389.60716125488284"/>
    <x v="1107"/>
    <n v="0"/>
    <s v="Microsoft Corp."/>
    <s v="Technology"/>
  </r>
  <r>
    <x v="195"/>
    <n v="384.0318603515625"/>
    <n v="390.80521981876171"/>
    <n v="380.46692636349218"/>
    <n v="389.38915847164185"/>
    <n v="19251200"/>
    <x v="2"/>
    <n v="-0.16476362354305163"/>
    <n v="84.655520990155537"/>
    <n v="389.08392028808595"/>
    <x v="1108"/>
    <n v="0"/>
    <s v="Microsoft Corp."/>
    <s v="Technology"/>
  </r>
  <r>
    <x v="196"/>
    <n v="381.97213745117188"/>
    <n v="388.07212889209291"/>
    <n v="380.41742551182239"/>
    <n v="384.72505282097779"/>
    <n v="17199900"/>
    <x v="2"/>
    <n v="-0.53634167188759685"/>
    <n v="84.201478153531767"/>
    <n v="388.60131408691404"/>
    <x v="1109"/>
    <n v="0"/>
    <s v="Microsoft Corp."/>
    <s v="Technology"/>
  </r>
  <r>
    <x v="197"/>
    <n v="367.98965454101563"/>
    <n v="377.89223167959489"/>
    <n v="364.41483869971682"/>
    <n v="376.96141723121423"/>
    <n v="21967800"/>
    <x v="2"/>
    <n v="-3.6606028396360846"/>
    <n v="81.119196453228028"/>
    <n v="387.81039855957033"/>
    <x v="1110"/>
    <n v="0"/>
    <s v="Microsoft Corp."/>
    <s v="Technology"/>
  </r>
  <r>
    <x v="198"/>
    <n v="364.197021484375"/>
    <n v="370.6733161182554"/>
    <n v="363.31570773511407"/>
    <n v="370.10886190542772"/>
    <n v="21120200"/>
    <x v="2"/>
    <n v="-1.0306357827833734"/>
    <n v="80.283152987874715"/>
    <n v="386.92544555664063"/>
    <x v="1111"/>
    <n v="0"/>
    <s v="Microsoft Corp."/>
    <s v="Technology"/>
  </r>
  <r>
    <x v="199"/>
    <n v="355.621337890625"/>
    <n v="360.92913483987797"/>
    <n v="352.20496698178403"/>
    <n v="359.28530344299344"/>
    <n v="20807300"/>
    <x v="2"/>
    <n v="-2.3546825173906383"/>
    <n v="78.39273962005926"/>
    <n v="385.81897216796875"/>
    <x v="1112"/>
    <n v="0"/>
    <s v="Microsoft Corp."/>
    <s v="Technology"/>
  </r>
  <r>
    <x v="200"/>
    <n v="363.246337890625"/>
    <n v="364.18706457637529"/>
    <n v="356.35412251871082"/>
    <n v="359.83984897446521"/>
    <n v="19485000"/>
    <x v="2"/>
    <n v="2.1441345576246551"/>
    <n v="80.073585440921661"/>
    <n v="384.98497619628904"/>
    <x v="1113"/>
    <n v="0"/>
    <s v="Microsoft Corp."/>
    <s v="Technology"/>
  </r>
  <r>
    <x v="201"/>
    <n v="370.74261474609375"/>
    <n v="376.68416126561135"/>
    <n v="369.38593623911191"/>
    <n v="372.39632827067589"/>
    <n v="20545500"/>
    <x v="2"/>
    <n v="2.0636895884483586"/>
    <n v="81.72605568676326"/>
    <n v="384.25208496093751"/>
    <x v="1114"/>
    <n v="0"/>
    <s v="Microsoft Corp."/>
    <s v="Technology"/>
  </r>
  <r>
    <x v="202"/>
    <n v="383.52682495117188"/>
    <n v="384.66564557095847"/>
    <n v="371.53481777720657"/>
    <n v="372.03985891397213"/>
    <n v="22232300"/>
    <x v="2"/>
    <n v="3.4482710367227387"/>
    <n v="84.544191594465815"/>
    <n v="383.79029479980471"/>
    <x v="1115"/>
    <n v="0"/>
    <s v="Microsoft Corp."/>
    <s v="Technology"/>
  </r>
  <r>
    <x v="203"/>
    <n v="388.03250122070313"/>
    <n v="388.33947870229002"/>
    <n v="380.85313261018712"/>
    <n v="383.22974514064919"/>
    <n v="18973200"/>
    <x v="2"/>
    <n v="1.1748008161110768"/>
    <n v="85.5374174472921"/>
    <n v="383.46605590820315"/>
    <x v="1116"/>
    <n v="0"/>
    <s v="Microsoft Corp."/>
    <s v="Technology"/>
  </r>
  <r>
    <x v="204"/>
    <n v="387.3492431640625"/>
    <n v="388.91383718504312"/>
    <n v="382.87328880481249"/>
    <n v="388.14143731286561"/>
    <n v="16579400"/>
    <x v="2"/>
    <n v="-0.1760826875303434"/>
    <n v="85.386800863806855"/>
    <n v="383.09850280761719"/>
    <x v="1117"/>
    <n v="0"/>
    <s v="Microsoft Corp."/>
    <s v="Technology"/>
  </r>
  <r>
    <x v="205"/>
    <n v="390.201171875"/>
    <n v="391.25084267131149"/>
    <n v="386.57682488725231"/>
    <n v="387.48784509297593"/>
    <n v="14974000"/>
    <x v="2"/>
    <n v="0.73626804783237798"/>
    <n v="86.015476595633316"/>
    <n v="382.82969421386719"/>
    <x v="1118"/>
    <n v="0"/>
    <s v="Microsoft Corp."/>
    <s v="Technology"/>
  </r>
  <r>
    <x v="206"/>
    <n v="391.4093017578125"/>
    <n v="392.79565661271693"/>
    <n v="380.69470527157023"/>
    <n v="386.4976013857663"/>
    <n v="36461100"/>
    <x v="2"/>
    <n v="0.30961718464534993"/>
    <n v="86.28179529262799"/>
    <n v="382.56113098144533"/>
    <x v="1119"/>
    <n v="0"/>
    <s v="Microsoft Corp."/>
    <s v="Technology"/>
  </r>
  <r>
    <x v="207"/>
    <n v="421.25564575195313"/>
    <n v="432.7327295827746"/>
    <n v="420.76051687113977"/>
    <n v="426.91000910916648"/>
    <n v="58938100"/>
    <x v="2"/>
    <n v="7.6253537818598671"/>
    <n v="92.861087433030988"/>
    <n v="382.78809814453126"/>
    <x v="1120"/>
    <n v="1"/>
    <s v="Microsoft Corp."/>
    <s v="Technology"/>
  </r>
  <r>
    <x v="208"/>
    <n v="431.03939819335938"/>
    <n v="435.1588741169636"/>
    <n v="425.80092616148232"/>
    <n v="427.53387724803298"/>
    <n v="30757400"/>
    <x v="2"/>
    <n v="2.3225213810350143"/>
    <n v="95.017806043324754"/>
    <n v="383.16736694335935"/>
    <x v="1121"/>
    <n v="0"/>
    <s v="Microsoft Corp."/>
    <s v="Technology"/>
  </r>
  <r>
    <x v="209"/>
    <n v="431.92074584960938"/>
    <n v="435.21829093451572"/>
    <n v="427.90027149134391"/>
    <n v="428.65287706879298"/>
    <n v="20136100"/>
    <x v="2"/>
    <n v="0.2044703245095647"/>
    <n v="95.212089259683395"/>
    <n v="383.72111938476564"/>
    <x v="1122"/>
    <n v="0"/>
    <s v="Microsoft Corp."/>
    <s v="Technology"/>
  </r>
  <r>
    <x v="210"/>
    <n v="429.08859252929688"/>
    <n v="433.46554517602334"/>
    <n v="426.9694566129341"/>
    <n v="427.98942090871662"/>
    <n v="15104200"/>
    <x v="2"/>
    <n v="-0.65571134230690831"/>
    <n v="94.587772791160276"/>
    <n v="384.30160888671872"/>
    <x v="1123"/>
    <n v="0"/>
    <s v="Microsoft Corp."/>
    <s v="Technology"/>
  </r>
  <r>
    <x v="211"/>
    <n v="429.12820434570313"/>
    <n v="433.85172295965413"/>
    <n v="426.91000642382949"/>
    <n v="429.61342097536215"/>
    <n v="23295300"/>
    <x v="2"/>
    <n v="9.2316172221496018E-3"/>
    <n v="94.596504772283325"/>
    <n v="385.00370178222659"/>
    <x v="1124"/>
    <n v="0"/>
    <s v="Microsoft Corp."/>
    <s v="Technology"/>
  </r>
  <r>
    <x v="212"/>
    <n v="433.90127563476563"/>
    <n v="439.34769356127401"/>
    <n v="431.41571887418178"/>
    <n v="433.66359321182529"/>
    <n v="23491300"/>
    <x v="2"/>
    <n v="1.11227163368115"/>
    <n v="95.64867486131925"/>
    <n v="385.76501220703125"/>
    <x v="1125"/>
    <n v="0"/>
    <s v="Microsoft Corp."/>
    <s v="Technology"/>
  </r>
  <r>
    <x v="213"/>
    <n v="434.45578002929688"/>
    <n v="436.44617749513179"/>
    <n v="431.63353948548843"/>
    <n v="435.71339645340021"/>
    <n v="15324200"/>
    <x v="2"/>
    <n v="0.12779505976792116"/>
    <n v="95.770909142525511"/>
    <n v="386.68001037597656"/>
    <x v="1126"/>
    <n v="0"/>
    <s v="Microsoft Corp."/>
    <s v="Technology"/>
  </r>
  <r>
    <x v="214"/>
    <n v="444.88323974609375"/>
    <n v="444.99215360101999"/>
    <n v="435.495584693897"/>
    <n v="441.59557651706575"/>
    <n v="22821900"/>
    <x v="2"/>
    <n v="2.4001199192455802"/>
    <n v="98.069525809697851"/>
    <n v="387.71522705078127"/>
    <x v="1127"/>
    <n v="0"/>
    <s v="Microsoft Corp."/>
    <s v="Technology"/>
  </r>
  <r>
    <x v="215"/>
    <n v="444.764404296875"/>
    <n v="446.27949752717109"/>
    <n v="441.02120078879898"/>
    <n v="443.41763796979518"/>
    <n v="23618800"/>
    <x v="2"/>
    <n v="-2.6711603989970634E-2"/>
    <n v="98.043329866328705"/>
    <n v="388.91641052246092"/>
    <x v="1128"/>
    <n v="0"/>
    <s v="Microsoft Corp."/>
    <s v="Technology"/>
  </r>
  <r>
    <x v="216"/>
    <n v="448.52734375"/>
    <n v="449.47798271994742"/>
    <n v="443.77411867999479"/>
    <n v="443.77411867999479"/>
    <n v="19902800"/>
    <x v="2"/>
    <n v="0.84605229572582985"/>
    <n v="98.872827709468822"/>
    <n v="390.19047729492189"/>
    <x v="1129"/>
    <n v="0"/>
    <s v="Microsoft Corp."/>
    <s v="Technology"/>
  </r>
  <r>
    <x v="217"/>
    <n v="449.53927612304688"/>
    <n v="452.57502540604639"/>
    <n v="446.86065956710701"/>
    <n v="447.19796167902382"/>
    <n v="21992300"/>
    <x v="2"/>
    <n v="0.2256121922437071"/>
    <n v="99.095896863597517"/>
    <n v="391.23900024414064"/>
    <x v="1130"/>
    <n v="0"/>
    <s v="Microsoft Corp."/>
    <s v="Technology"/>
  </r>
  <r>
    <x v="218"/>
    <n v="450.67022705078131"/>
    <n v="450.75951023261541"/>
    <n v="445.17414935289003"/>
    <n v="448.46781773829377"/>
    <n v="21697800"/>
    <x v="2"/>
    <n v="0.25158000375140599"/>
    <n v="99.345202324644447"/>
    <n v="392.39193603515628"/>
    <x v="1131"/>
    <n v="0"/>
    <s v="Microsoft Corp."/>
    <s v="Technology"/>
  </r>
  <r>
    <x v="219"/>
    <n v="455.23379516601563"/>
    <n v="455.94809091799902"/>
    <n v="447.2277365866496"/>
    <n v="447.30711960117503"/>
    <n v="21336500"/>
    <x v="2"/>
    <n v="1.0126180611261137"/>
    <n v="100.35118978624608"/>
    <n v="393.70704589843751"/>
    <x v="1132"/>
    <n v="0"/>
    <s v="Microsoft Corp."/>
    <s v="Technology"/>
  </r>
  <r>
    <x v="220"/>
    <n v="454.53936767578131"/>
    <n v="454.70800360182119"/>
    <n v="450.719869916101"/>
    <n v="451.97979524144239"/>
    <n v="15441800"/>
    <x v="2"/>
    <n v="-0.15254304438910848"/>
    <n v="100.19811102626545"/>
    <n v="395.26870544433592"/>
    <x v="1133"/>
    <n v="0"/>
    <s v="Microsoft Corp."/>
    <s v="Technology"/>
  </r>
  <r>
    <x v="221"/>
    <n v="448.98370361328131"/>
    <n v="454.15240949621159"/>
    <n v="448.22971639841899"/>
    <n v="450.96785499913142"/>
    <n v="19216900"/>
    <x v="2"/>
    <n v="-1.2222624612050814"/>
    <n v="98.973427128354814"/>
    <n v="396.71350830078126"/>
    <x v="1134"/>
    <n v="0"/>
    <s v="Microsoft Corp."/>
    <s v="Technology"/>
  </r>
  <r>
    <x v="222"/>
    <n v="451.25555419921881"/>
    <n v="456.60285694215548"/>
    <n v="450.30316997101937"/>
    <n v="451.34486765800972"/>
    <n v="18025600"/>
    <x v="2"/>
    <n v="0.50599845109173813"/>
    <n v="99.474231136616694"/>
    <n v="398.14789794921876"/>
    <x v="1135"/>
    <n v="0"/>
    <s v="Microsoft Corp."/>
    <s v="Technology"/>
  </r>
  <r>
    <x v="223"/>
    <n v="446.61264038085938"/>
    <n v="450.09483584643482"/>
    <n v="445.35271511567959"/>
    <n v="446.4142434023006"/>
    <n v="16883500"/>
    <x v="2"/>
    <n v="-1.0288879051247535"/>
    <n v="98.450752803736208"/>
    <n v="399.57855224609375"/>
    <x v="1136"/>
    <n v="0"/>
    <s v="Microsoft Corp."/>
    <s v="Technology"/>
  </r>
  <r>
    <x v="224"/>
    <n v="457.03936767578131"/>
    <n v="457.29731705224049"/>
    <n v="452.50557435127718"/>
    <n v="452.8627373552784"/>
    <n v="20974300"/>
    <x v="2"/>
    <n v="2.3346243147149393"/>
    <n v="100.74920801671215"/>
    <n v="401.02384887695314"/>
    <x v="1137"/>
    <n v="0"/>
    <s v="Microsoft Corp."/>
    <s v="Technology"/>
  </r>
  <r>
    <x v="225"/>
    <n v="453.73574829101563"/>
    <n v="458.85486276932289"/>
    <n v="453.30916298676061"/>
    <n v="457.56517641086623"/>
    <n v="17086300"/>
    <x v="2"/>
    <n v="-0.72283037707798758"/>
    <n v="100.02096213650185"/>
    <n v="402.40029968261717"/>
    <x v="1138"/>
    <n v="0"/>
    <s v="Microsoft Corp."/>
    <s v="Technology"/>
  </r>
  <r>
    <x v="226"/>
    <n v="455.04531860351563"/>
    <n v="458.0612374989779"/>
    <n v="451.702028016876"/>
    <n v="457.89257129241651"/>
    <n v="13974800"/>
    <x v="2"/>
    <n v="0.28861960236381545"/>
    <n v="100.30964223970069"/>
    <n v="403.90553344726561"/>
    <x v="1139"/>
    <n v="0"/>
    <s v="Microsoft Corp."/>
    <s v="Technology"/>
  </r>
  <r>
    <x v="227"/>
    <n v="456.71194458007813"/>
    <n v="458.02149174118398"/>
    <n v="451.93016282180776"/>
    <n v="456.07703188956282"/>
    <n v="34770500"/>
    <x v="2"/>
    <n v="0.36625494394211255"/>
    <n v="100.67703126365424"/>
    <n v="405.35893676757814"/>
    <x v="1140"/>
    <n v="0"/>
    <s v="Microsoft Corp."/>
    <s v="Technology"/>
  </r>
  <r>
    <x v="228"/>
    <n v="458.30923461914063"/>
    <n v="458.44810948050281"/>
    <n v="453.26950313948061"/>
    <n v="453.5175220765372"/>
    <n v="16626500"/>
    <x v="2"/>
    <n v="0.34973686543957605"/>
    <n v="101.02913595701335"/>
    <n v="406.86369506835939"/>
    <x v="1141"/>
    <n v="0"/>
    <s v="Microsoft Corp."/>
    <s v="Technology"/>
  </r>
  <r>
    <x v="229"/>
    <n v="459.30130004882813"/>
    <n v="460.46204196950561"/>
    <n v="457.2080045237085"/>
    <n v="457.81318645992019"/>
    <n v="15743800"/>
    <x v="2"/>
    <n v="0.21646202056389008"/>
    <n v="101.24782566606416"/>
    <n v="408.30075561523438"/>
    <x v="1142"/>
    <n v="0"/>
    <s v="Microsoft Corp."/>
    <s v="Technology"/>
  </r>
  <r>
    <x v="230"/>
    <n v="460.19418334960938"/>
    <n v="461.99976852018631"/>
    <n v="459.35091288855978"/>
    <n v="460.3231580440434"/>
    <n v="14162700"/>
    <x v="2"/>
    <n v="0.1944003425826013"/>
    <n v="101.44465178601641"/>
    <n v="409.71962890625002"/>
    <x v="1143"/>
    <n v="0"/>
    <s v="Microsoft Corp."/>
    <s v="Technology"/>
  </r>
  <r>
    <x v="231"/>
    <n v="463.97396850585938"/>
    <n v="465.92835889810488"/>
    <n v="460.3528981592645"/>
    <n v="461.27552131873477"/>
    <n v="20131700"/>
    <x v="2"/>
    <n v="0.82134570427163656"/>
    <n v="102.27786307567419"/>
    <n v="411.17290283203124"/>
    <x v="1144"/>
    <n v="0"/>
    <s v="Microsoft Corp."/>
    <s v="Technology"/>
  </r>
  <r>
    <x v="232"/>
    <n v="466.65255737304688"/>
    <n v="469.58909287195422"/>
    <n v="465.06523024972654"/>
    <n v="466.3648469522318"/>
    <n v="15285600"/>
    <x v="2"/>
    <n v="0.57731447214881548"/>
    <n v="102.8683279810146"/>
    <n v="412.7825372314453"/>
    <x v="1145"/>
    <n v="0"/>
    <s v="Microsoft Corp."/>
    <s v="Technology"/>
  </r>
  <r>
    <x v="233"/>
    <n v="469.00381469726563"/>
    <n v="469.67841894667362"/>
    <n v="464.90653697170802"/>
    <n v="465.97799574500237"/>
    <n v="16469900"/>
    <x v="2"/>
    <n v="0.50385608887579814"/>
    <n v="103.38663631507168"/>
    <n v="414.42711669921874"/>
    <x v="1146"/>
    <n v="0"/>
    <s v="Microsoft Corp."/>
    <s v="Technology"/>
  </r>
  <r>
    <x v="234"/>
    <n v="467.18829345703131"/>
    <n v="469.05337030743692"/>
    <n v="463.25965195804019"/>
    <n v="467.45614299188406"/>
    <n v="15375900"/>
    <x v="2"/>
    <n v="-0.38710159349262252"/>
    <n v="102.9864249984376"/>
    <n v="416.26868957519531"/>
    <x v="1147"/>
    <n v="0"/>
    <s v="Microsoft Corp."/>
    <s v="Technology"/>
  </r>
  <r>
    <x v="235"/>
    <n v="468.87484741210938"/>
    <n v="471.70226942284791"/>
    <n v="465.93831159860281"/>
    <n v="466.29544434484353"/>
    <n v="16399200"/>
    <x v="2"/>
    <n v="0.36100090235526849"/>
    <n v="103.35820692198541"/>
    <n v="418.21152893066409"/>
    <x v="1148"/>
    <n v="0"/>
    <s v="Microsoft Corp."/>
    <s v="Technology"/>
  </r>
  <r>
    <x v="236"/>
    <n v="475.0753173828125"/>
    <n v="476.61305298608841"/>
    <n v="469.76770597774697"/>
    <n v="471.25581962725602"/>
    <n v="18950600"/>
    <x v="2"/>
    <n v="1.3224147136332354"/>
    <n v="104.72503105806923"/>
    <n v="420.14370300292967"/>
    <x v="1149"/>
    <n v="0"/>
    <s v="Microsoft Corp."/>
    <s v="Technology"/>
  </r>
  <r>
    <x v="237"/>
    <n v="471.1962890625"/>
    <n v="475.38284993248561"/>
    <n v="469.01374058110059"/>
    <n v="472.63481100822281"/>
    <n v="16814500"/>
    <x v="2"/>
    <n v="-0.81650807322132257"/>
    <n v="103.86994272479654"/>
    <n v="421.99928649902341"/>
    <x v="1150"/>
    <n v="0"/>
    <s v="Microsoft Corp."/>
    <s v="Technology"/>
  </r>
  <r>
    <x v="238"/>
    <n v="475.34317016601563"/>
    <n v="476.88087540603613"/>
    <n v="471.23596219473831"/>
    <n v="471.44428961660441"/>
    <n v="15626100"/>
    <x v="2"/>
    <n v="0.88007507694221054"/>
    <n v="104.78407620315163"/>
    <n v="424.11664855957031"/>
    <x v="1151"/>
    <n v="0"/>
    <s v="Microsoft Corp."/>
    <s v="Technology"/>
  </r>
  <r>
    <x v="239"/>
    <n v="474.25186157226563"/>
    <n v="474.9462963755368"/>
    <n v="470.32322012211631"/>
    <n v="471.63276727216606"/>
    <n v="15414100"/>
    <x v="2"/>
    <n v="-0.22958331206670568"/>
    <n v="104.54350945048594"/>
    <n v="426.47499877929687"/>
    <x v="1152"/>
    <n v="0"/>
    <s v="Microsoft Corp."/>
    <s v="Technology"/>
  </r>
  <r>
    <x v="240"/>
    <n v="476.4344482421875"/>
    <n v="477.18843550003231"/>
    <n v="470.7002516212213"/>
    <n v="474.21220825159128"/>
    <n v="17526500"/>
    <x v="2"/>
    <n v="0.46021678495600238"/>
    <n v="105.02463622855913"/>
    <n v="428.91621459960936"/>
    <x v="1153"/>
    <n v="0"/>
    <s v="Microsoft Corp."/>
    <s v="Technology"/>
  </r>
  <r>
    <x v="241"/>
    <n v="473.616943359375"/>
    <n v="479.62891980922967"/>
    <n v="473.09114443804282"/>
    <n v="478.4086860483398"/>
    <n v="37576200"/>
    <x v="2"/>
    <n v="-0.59137304055315587"/>
    <n v="104.40354884396442"/>
    <n v="431.30108032226565"/>
    <x v="1154"/>
    <n v="0"/>
    <s v="Microsoft Corp."/>
    <s v="Technology"/>
  </r>
  <r>
    <x v="242"/>
    <n v="482.1488037109375"/>
    <n v="483.884936234588"/>
    <n v="468.76571183115118"/>
    <n v="474.42052531416368"/>
    <n v="24864000"/>
    <x v="2"/>
    <n v="1.8014263364494187"/>
    <n v="106.28430186902742"/>
    <n v="433.21034179687501"/>
    <x v="1155"/>
    <n v="0"/>
    <s v="Microsoft Corp."/>
    <s v="Technology"/>
  </r>
  <r>
    <x v="243"/>
    <n v="486.2261962890625"/>
    <n v="487.95242855727332"/>
    <n v="482.9424282150726"/>
    <n v="485.07541514458472"/>
    <n v="22305600"/>
    <x v="2"/>
    <n v="0.84567099342416352"/>
    <n v="107.18311738049715"/>
    <n v="435.38216918945312"/>
    <x v="1156"/>
    <n v="0"/>
    <s v="Microsoft Corp."/>
    <s v="Technology"/>
  </r>
  <r>
    <x v="244"/>
    <n v="488.36911010742188"/>
    <n v="490.64097201284233"/>
    <n v="485.51195742846249"/>
    <n v="488.14095206534711"/>
    <n v="17495100"/>
    <x v="2"/>
    <n v="0.44072364564360367"/>
    <n v="107.65549872293094"/>
    <n v="437.4562384033203"/>
    <x v="1157"/>
    <n v="0"/>
    <s v="Microsoft Corp."/>
    <s v="Technology"/>
  </r>
  <r>
    <x v="245"/>
    <n v="493.50808715820313"/>
    <n v="494.09340820956049"/>
    <n v="488.90484120917409"/>
    <n v="489.0735074056833"/>
    <n v="21578900"/>
    <x v="2"/>
    <n v="1.0522731565988819"/>
    <n v="108.788328637595"/>
    <n v="439.64576293945311"/>
    <x v="1158"/>
    <n v="0"/>
    <s v="Microsoft Corp."/>
    <s v="Technology"/>
  </r>
  <r>
    <x v="246"/>
    <n v="492.01004028320313"/>
    <n v="495.34340020584528"/>
    <n v="489.12309627390658"/>
    <n v="493.60726767719865"/>
    <n v="34539200"/>
    <x v="2"/>
    <n v="-0.30355062338011107"/>
    <n v="108.45810098785078"/>
    <n v="441.84652099609377"/>
    <x v="1159"/>
    <n v="0"/>
    <s v="Microsoft Corp."/>
    <s v="Technology"/>
  </r>
  <r>
    <x v="247"/>
    <n v="493.4683837890625"/>
    <n v="496.79184348109618"/>
    <n v="491.404849352638"/>
    <n v="493.10132061955619"/>
    <n v="28369000"/>
    <x v="2"/>
    <n v="0.29640523291352139"/>
    <n v="108.77957647469741"/>
    <n v="444.35609558105466"/>
    <x v="1160"/>
    <n v="0"/>
    <s v="Microsoft Corp."/>
    <s v="Technology"/>
  </r>
  <r>
    <x v="248"/>
    <n v="488.15084838867188"/>
    <n v="494.10330273882704"/>
    <n v="487.08935037246312"/>
    <n v="492.53583641461546"/>
    <n v="19945400"/>
    <x v="2"/>
    <n v="-1.0775838078136424"/>
    <n v="107.6073853723978"/>
    <n v="446.83517211914062"/>
    <x v="1161"/>
    <n v="0"/>
    <s v="Microsoft Corp."/>
    <s v="Technology"/>
  </r>
  <r>
    <x v="249"/>
    <n v="487.19845581054688"/>
    <n v="489.58936189992602"/>
    <n v="484.82741061180639"/>
    <n v="486.10716647659297"/>
    <n v="16319600"/>
    <x v="2"/>
    <n v="-0.19510210445576881"/>
    <n v="107.39744109898643"/>
    <n v="449.46671447753909"/>
    <x v="1162"/>
    <n v="0"/>
    <s v="Microsoft Corp."/>
    <s v="Technology"/>
  </r>
  <r>
    <x v="250"/>
    <n v="494.88705444335938"/>
    <n v="496.16684061465651"/>
    <n v="489.52985154651481"/>
    <n v="489.8969147231798"/>
    <n v="13984800"/>
    <x v="2"/>
    <n v="1.578124589910912"/>
    <n v="109.09230652590463"/>
    <n v="452.09952880859373"/>
    <x v="1163"/>
    <n v="0"/>
    <s v="Microsoft Corp."/>
    <s v="Technology"/>
  </r>
  <r>
    <x v="251"/>
    <n v="493.77593994140631"/>
    <n v="494.79777674550991"/>
    <n v="491.30568102995409"/>
    <n v="493.43863782192778"/>
    <n v="13981600"/>
    <x v="2"/>
    <n v="-0.22451880524594348"/>
    <n v="108.84737378267741"/>
    <n v="454.56019531250001"/>
    <x v="1164"/>
    <n v="0"/>
    <s v="Microsoft Corp."/>
    <s v="Technology"/>
  </r>
  <r>
    <x v="252"/>
    <n v="492.68466186523438"/>
    <n v="494.2521585292929"/>
    <n v="490.1945420053533"/>
    <n v="493.29974399578282"/>
    <n v="11846600"/>
    <x v="2"/>
    <n v="-0.22100673360095913"/>
    <n v="108.6068137572699"/>
    <n v="456.74335205078125"/>
    <x v="1165"/>
    <n v="0"/>
    <s v="Microsoft Corp."/>
    <s v="Technology"/>
  </r>
  <r>
    <x v="253"/>
    <n v="499.52008056640631"/>
    <n v="502.76415743455226"/>
    <n v="495.77993553758449"/>
    <n v="496.3354955466416"/>
    <n v="18659500"/>
    <x v="2"/>
    <n v="1.3873820782839053"/>
    <n v="110.11360522713345"/>
    <n v="458.97310363769532"/>
    <x v="1166"/>
    <n v="0"/>
    <s v="Microsoft Corp."/>
    <s v="Technology"/>
  </r>
  <r>
    <x v="254"/>
    <n v="497.50613403320313"/>
    <n v="500.44266963447433"/>
    <n v="493.80568076476749"/>
    <n v="499.06366987607214"/>
    <n v="16492100"/>
    <x v="2"/>
    <n v="-0.40317629091498608"/>
    <n v="109.66965327778591"/>
    <n v="461.17624145507813"/>
    <x v="1167"/>
    <n v="0"/>
    <s v="Microsoft Corp."/>
    <s v="Technology"/>
  </r>
  <r>
    <x v="255"/>
    <n v="499.33157348632813"/>
    <n v="501.02801454070158"/>
    <n v="493.85529597280816"/>
    <n v="494.5200000462786"/>
    <n v="16459500"/>
    <x v="2"/>
    <n v="0.36691797914660818"/>
    <n v="110.07205095332986"/>
    <n v="463.35884948730467"/>
    <x v="1168"/>
    <n v="0"/>
    <s v="Microsoft Corp."/>
    <s v="Technology"/>
  </r>
  <r>
    <x v="256"/>
    <n v="499.03390502929688"/>
    <n v="499.97638904952419"/>
    <n v="497.05968408515992"/>
    <n v="497.54579148730483"/>
    <n v="12058800"/>
    <x v="2"/>
    <n v="-5.9613385741452696E-2"/>
    <n v="110.00643327700152"/>
    <n v="465.51134155273439"/>
    <x v="1169"/>
    <n v="0"/>
    <s v="Microsoft Corp."/>
    <s v="Technology"/>
  </r>
  <r>
    <x v="257"/>
    <n v="501.811767578125"/>
    <n v="504.27209608344839"/>
    <n v="498.80577924001648"/>
    <n v="499.03393728805895"/>
    <n v="14927200"/>
    <x v="2"/>
    <n v="0.55664805954718233"/>
    <n v="110.61878195321502"/>
    <n v="467.12246398925782"/>
    <x v="1170"/>
    <n v="0"/>
    <s v="Microsoft Corp."/>
    <s v="Technology"/>
  </r>
  <r>
    <x v="258"/>
    <n v="501.61331176757813"/>
    <n v="502.70460109528977"/>
    <n v="497.9128887743687"/>
    <n v="501.17679603649344"/>
    <n v="15154400"/>
    <x v="2"/>
    <n v="-3.9547859051747292E-2"/>
    <n v="110.5750345932434"/>
    <n v="468.53394226074221"/>
    <x v="1171"/>
    <n v="0"/>
    <s v="Microsoft Corp."/>
    <s v="Technology"/>
  </r>
  <r>
    <x v="259"/>
    <n v="507.6451416015625"/>
    <n v="509.30189104591358"/>
    <n v="501.61330446479718"/>
    <n v="501.67282658401052"/>
    <n v="17503100"/>
    <x v="2"/>
    <n v="1.2024859971776936"/>
    <n v="111.90468390060153"/>
    <n v="470.04843017578128"/>
    <x v="1172"/>
    <n v="0"/>
    <s v="Microsoft Corp."/>
    <s v="Technology"/>
  </r>
  <r>
    <x v="260"/>
    <n v="506.00820922851563"/>
    <n v="510.56186342914918"/>
    <n v="503.40897568442313"/>
    <n v="510.40309740500038"/>
    <n v="21209700"/>
    <x v="2"/>
    <n v="-0.32245603058123073"/>
    <n v="111.54384049886117"/>
    <n v="471.58682250976563"/>
    <x v="1173"/>
    <n v="0"/>
    <s v="Microsoft Corp."/>
    <s v="Technology"/>
  </r>
  <r>
    <x v="261"/>
    <n v="506.01815795898438"/>
    <n v="508.03210080948105"/>
    <n v="501.54388660874696"/>
    <n v="502.69469811942383"/>
    <n v="14066800"/>
    <x v="2"/>
    <n v="1.9661203686682782E-3"/>
    <n v="111.54603358502922"/>
    <n v="473.12462158203124"/>
    <x v="1174"/>
    <n v="0"/>
    <s v="Microsoft Corp."/>
    <s v="Technology"/>
  </r>
  <r>
    <x v="262"/>
    <n v="501.26608276367188"/>
    <n v="507.14911472968191"/>
    <n v="501.26608276367188"/>
    <n v="506.92092641726231"/>
    <n v="13868600"/>
    <x v="2"/>
    <n v="-0.93911159522019894"/>
    <n v="110.49849184962399"/>
    <n v="474.4719177246094"/>
    <x v="1175"/>
    <n v="0"/>
    <s v="Microsoft Corp."/>
    <s v="Technology"/>
  </r>
  <r>
    <x v="263"/>
    <n v="501.861328125"/>
    <n v="502.7740510878013"/>
    <n v="496.73231372462322"/>
    <n v="502.73435958270181"/>
    <n v="16396600"/>
    <x v="2"/>
    <n v="0.1187483817070456"/>
    <n v="110.62970702050609"/>
    <n v="475.82002868652341"/>
    <x v="1176"/>
    <n v="0"/>
    <s v="Microsoft Corp."/>
    <s v="Technology"/>
  </r>
  <r>
    <x v="264"/>
    <n v="506.8316650390625"/>
    <n v="509.59953458867511"/>
    <n v="503.28001689239056"/>
    <n v="504.73836945889838"/>
    <n v="16107000"/>
    <x v="2"/>
    <n v="0.99038053651834268"/>
    <n v="111.72536210644446"/>
    <n v="477.05899719238283"/>
    <x v="1177"/>
    <n v="0"/>
    <s v="Microsoft Corp."/>
    <s v="Technology"/>
  </r>
  <r>
    <x v="265"/>
    <n v="509.63925170898438"/>
    <n v="514.18291501461329"/>
    <n v="506.31576163920568"/>
    <n v="508.409026924469"/>
    <n v="19125700"/>
    <x v="2"/>
    <n v="0.55394855207113736"/>
    <n v="112.34426313212933"/>
    <n v="478.35649414062499"/>
    <x v="1178"/>
    <n v="0"/>
    <s v="Microsoft Corp."/>
    <s v="Technology"/>
  </r>
  <r>
    <x v="266"/>
    <n v="508.4388427734375"/>
    <n v="510.91903225038106"/>
    <n v="506.07769754726712"/>
    <n v="510.00633947728608"/>
    <n v="14308000"/>
    <x v="2"/>
    <n v="-0.23554091085439266"/>
    <n v="112.07964643145527"/>
    <n v="479.55472412109373"/>
    <x v="1179"/>
    <n v="0"/>
    <s v="Microsoft Corp."/>
    <s v="Technology"/>
  </r>
  <r>
    <x v="267"/>
    <n v="508.50827026367188"/>
    <n v="513.51824064968957"/>
    <n v="507.5062640761688"/>
    <n v="511.44483625807231"/>
    <n v="16469200"/>
    <x v="2"/>
    <n v="1.365503269885604E-2"/>
    <n v="112.09495094382422"/>
    <n v="480.73410400390622"/>
    <x v="1180"/>
    <n v="0"/>
    <s v="Microsoft Corp."/>
    <s v="Technology"/>
  </r>
  <r>
    <x v="268"/>
    <n v="509.1729736328125"/>
    <n v="511.86152084792241"/>
    <n v="505.40309770511885"/>
    <n v="511.08767265961347"/>
    <n v="26380400"/>
    <x v="2"/>
    <n v="0.13071633403247684"/>
    <n v="112.2414773543335"/>
    <n v="481.90415893554689"/>
    <x v="1181"/>
    <n v="0"/>
    <s v="Microsoft Corp."/>
    <s v="Technology"/>
  </r>
  <r>
    <x v="269"/>
    <n v="529.27239990234375"/>
    <n v="551.04847420168994"/>
    <n v="527.68510296109855"/>
    <n v="550.83018605515792"/>
    <n v="51617300"/>
    <x v="2"/>
    <n v="3.9474652643338937"/>
    <n v="116.67217068507101"/>
    <n v="483.38493103027344"/>
    <x v="1182"/>
    <n v="1"/>
    <s v="Microsoft Corp."/>
    <s v="Technology"/>
  </r>
  <r>
    <x v="270"/>
    <n v="519.95684814453125"/>
    <n v="531.55421700625652"/>
    <n v="516.73260170065521"/>
    <n v="530.7605684534492"/>
    <n v="28977600"/>
    <x v="2"/>
    <n v="-1.7600675492489892"/>
    <n v="114.61866166983867"/>
    <n v="484.69328063964844"/>
    <x v="1183"/>
    <n v="0"/>
    <s v="Microsoft Corp."/>
    <s v="Technology"/>
  </r>
  <r>
    <x v="271"/>
    <n v="531.39544677734375"/>
    <n v="533.98474984292261"/>
    <n v="523.94494852185812"/>
    <n v="524.08385365334016"/>
    <n v="25349000"/>
    <x v="2"/>
    <n v="2.1999130646381815"/>
    <n v="117.1401725824269"/>
    <n v="486.34151550292967"/>
    <x v="1184"/>
    <n v="0"/>
    <s v="Microsoft Corp."/>
    <s v="Technology"/>
  </r>
  <r>
    <x v="272"/>
    <n v="523.56793212890625"/>
    <n v="533.04224261800323"/>
    <n v="523.06196385158967"/>
    <n v="532.92319838233971"/>
    <n v="19171600"/>
    <x v="2"/>
    <n v="-1.4730112378469884"/>
    <n v="115.4146846762544"/>
    <n v="487.78776306152344"/>
    <x v="1185"/>
    <n v="0"/>
    <s v="Microsoft Corp."/>
    <s v="Technology"/>
  </r>
  <r>
    <x v="273"/>
    <n v="520.78021240234375"/>
    <n v="527.4866537198485"/>
    <n v="519.8774501718309"/>
    <n v="526.69300528230531"/>
    <n v="21355700"/>
    <x v="2"/>
    <n v="-0.532446613990889"/>
    <n v="114.80016309564742"/>
    <n v="489.27111450195315"/>
    <x v="1186"/>
    <n v="0"/>
    <s v="Microsoft Corp."/>
    <s v="Technology"/>
  </r>
  <r>
    <x v="274"/>
    <n v="516.7127685546875"/>
    <n v="523.9053178574718"/>
    <n v="513.44880053191264"/>
    <n v="522.62550136649952"/>
    <n v="16079100"/>
    <x v="2"/>
    <n v="-0.78102887759372575"/>
    <n v="113.90354067034572"/>
    <n v="490.46458251953123"/>
    <x v="1187"/>
    <n v="0"/>
    <s v="Microsoft Corp."/>
    <s v="Technology"/>
  </r>
  <r>
    <x v="275"/>
    <n v="517.9031982421875"/>
    <n v="520.50243184053704"/>
    <n v="515.29403419818425"/>
    <n v="518.45875823531185"/>
    <n v="21697800"/>
    <x v="2"/>
    <n v="0.23038518882159131"/>
    <n v="114.16595755759357"/>
    <n v="491.74793151855471"/>
    <x v="1188"/>
    <n v="0"/>
    <s v="Microsoft Corp."/>
    <s v="Technology"/>
  </r>
  <r>
    <x v="276"/>
    <n v="517.63531494140625"/>
    <n v="523.40920230837253"/>
    <n v="515.60151148189527"/>
    <n v="518.16108353253799"/>
    <n v="20194400"/>
    <x v="2"/>
    <n v="-5.1724589014023881E-2"/>
    <n v="114.106905685253"/>
    <n v="492.99973144531248"/>
    <x v="1189"/>
    <n v="0"/>
    <s v="Microsoft Corp."/>
    <s v="Technology"/>
  </r>
  <r>
    <x v="277"/>
    <n v="525.046142578125"/>
    <n v="526.77234463681225"/>
    <n v="518.55798918993935"/>
    <n v="519.5996565820958"/>
    <n v="18667000"/>
    <x v="2"/>
    <n v="1.4316696374468973"/>
    <n v="115.74053960817892"/>
    <n v="494.36641540527341"/>
    <x v="1190"/>
    <n v="0"/>
    <s v="Microsoft Corp."/>
    <s v="Technology"/>
  </r>
  <r>
    <x v="278"/>
    <n v="516.454833984375"/>
    <n v="528.47878776794528"/>
    <n v="515.25440047465429"/>
    <n v="527.89343640661014"/>
    <n v="19619200"/>
    <x v="2"/>
    <n v="-1.636295917072017"/>
    <n v="113.84668188417318"/>
    <n v="495.52932739257813"/>
    <x v="1191"/>
    <n v="0"/>
    <s v="Microsoft Corp."/>
    <s v="Technology"/>
  </r>
  <r>
    <x v="279"/>
    <n v="518.3397216796875"/>
    <n v="521.78225604019383"/>
    <n v="516.01829831921236"/>
    <n v="518.41910469459651"/>
    <n v="20269100"/>
    <x v="2"/>
    <n v="0.36496660913614143"/>
    <n v="114.26218425865984"/>
    <n v="496.71009582519531"/>
    <x v="1192"/>
    <n v="0"/>
    <s v="Microsoft Corp."/>
    <s v="Technology"/>
  </r>
  <r>
    <x v="280"/>
    <n v="516.0479736328125"/>
    <n v="521.93097496801818"/>
    <n v="514.96664508372078"/>
    <n v="518.62740665234196"/>
    <n v="25213300"/>
    <x v="2"/>
    <n v="-0.44213243767013966"/>
    <n v="113.75699407806191"/>
    <n v="497.82717163085937"/>
    <x v="1193"/>
    <n v="0"/>
    <s v="Microsoft Corp."/>
    <s v="Technology"/>
  </r>
  <r>
    <x v="281"/>
    <n v="513.00238037109375"/>
    <n v="518.67708552692261"/>
    <n v="509.94683045407294"/>
    <n v="517.45685164939482"/>
    <n v="23760600"/>
    <x v="2"/>
    <n v="-0.59017638230003389"/>
    <n v="113.08562716579873"/>
    <n v="498.80773986816405"/>
    <x v="1194"/>
    <n v="0"/>
    <s v="Microsoft Corp."/>
    <s v="Technology"/>
  </r>
  <r>
    <x v="282"/>
    <n v="505.73040771484375"/>
    <n v="511.07767987841351"/>
    <n v="504.52007417607939"/>
    <n v="510.91897441251552"/>
    <n v="21481000"/>
    <x v="2"/>
    <n v="-1.4175319519939888"/>
    <n v="111.48260226761073"/>
    <n v="499.589296875"/>
    <x v="1195"/>
    <n v="0"/>
    <s v="Microsoft Corp."/>
    <s v="Technology"/>
  </r>
  <r>
    <x v="283"/>
    <n v="501.71255493164063"/>
    <n v="506.95071373730929"/>
    <n v="500.44269916892551"/>
    <n v="505.82966328355502"/>
    <n v="27723000"/>
    <x v="2"/>
    <n v="-0.79446533605876946"/>
    <n v="110.59691163685829"/>
    <n v="500.2434716796875"/>
    <x v="1196"/>
    <n v="0"/>
    <s v="Microsoft Corp."/>
    <s v="Technology"/>
  </r>
  <r>
    <x v="284"/>
    <n v="501.06658935546881"/>
    <n v="504.43526917193498"/>
    <n v="499.55616629167258"/>
    <n v="500.5200628741361"/>
    <n v="18443300"/>
    <x v="2"/>
    <n v="-0.12875212506089362"/>
    <n v="110.45451576287412"/>
    <n v="500.92103759765632"/>
    <x v="1197"/>
    <n v="0"/>
    <s v="Microsoft Corp."/>
    <s v="Technology"/>
  </r>
  <r>
    <x v="285"/>
    <n v="504.037841796875"/>
    <n v="507.51581511879778"/>
    <n v="499.24816840113061"/>
    <n v="501.07658502273608"/>
    <n v="24324200"/>
    <x v="2"/>
    <n v="0.59298554414257687"/>
    <n v="111.10949507420065"/>
    <n v="501.62429748535163"/>
    <x v="1198"/>
    <n v="0"/>
    <s v="Microsoft Corp."/>
    <s v="Technology"/>
  </r>
  <r>
    <x v="286"/>
    <n v="501.08651733398438"/>
    <n v="504.99177713035527"/>
    <n v="500.94738384887239"/>
    <n v="503.44159720621536"/>
    <n v="21638600"/>
    <x v="2"/>
    <n v="-0.58553628679332004"/>
    <n v="110.45890866246837"/>
    <n v="502.14452148437505"/>
    <x v="1199"/>
    <n v="0"/>
    <s v="Microsoft Corp."/>
    <s v="Technology"/>
  </r>
  <r>
    <x v="287"/>
    <n v="498.8804931640625"/>
    <n v="501.80199313001799"/>
    <n v="495.37270991589418"/>
    <n v="501.18586953591893"/>
    <n v="30835700"/>
    <x v="2"/>
    <n v="-0.44024815947133478"/>
    <n v="109.97261535010972"/>
    <n v="502.69820556640633"/>
    <x v="1200"/>
    <n v="0"/>
    <s v="Microsoft Corp."/>
    <s v="Technology"/>
  </r>
  <r>
    <x v="288"/>
    <n v="503.5509033203125"/>
    <n v="504.09746017877256"/>
    <n v="496.75395340313815"/>
    <n v="498.84074345480622"/>
    <n v="17277900"/>
    <x v="2"/>
    <n v="0.93617814692026347"/>
    <n v="111.00215494261414"/>
    <n v="503.26236022949229"/>
    <x v="1201"/>
    <n v="0"/>
    <s v="Microsoft Corp."/>
    <s v="Technology"/>
  </r>
  <r>
    <x v="289"/>
    <n v="506.43267822265625"/>
    <n v="507.8735346885091"/>
    <n v="502.31871808211361"/>
    <n v="503.89870803701859"/>
    <n v="18015600"/>
    <x v="2"/>
    <n v="0.57229068269799566"/>
    <n v="111.63740993294471"/>
    <n v="503.90597656250009"/>
    <x v="1202"/>
    <n v="0"/>
    <s v="Microsoft Corp."/>
    <s v="Technology"/>
  </r>
  <r>
    <x v="290"/>
    <n v="503.501220703125"/>
    <n v="506.39291066950057"/>
    <n v="501.31505396120252"/>
    <n v="505.45882400027187"/>
    <n v="20961600"/>
    <x v="2"/>
    <n v="-0.57884446355620511"/>
    <n v="110.99120296629033"/>
    <n v="504.44731201171885"/>
    <x v="1203"/>
    <n v="0"/>
    <s v="Microsoft Corp."/>
    <s v="Technology"/>
  </r>
  <r>
    <x v="291"/>
    <n v="501.94107055664063"/>
    <n v="502.81553721257154"/>
    <n v="493.68337117589061"/>
    <n v="497.32034095368414"/>
    <n v="18128000"/>
    <x v="2"/>
    <n v="-0.3098602510448023"/>
    <n v="110.64728534614132"/>
    <n v="505.01379455566416"/>
    <x v="1204"/>
    <n v="0"/>
    <s v="Microsoft Corp."/>
    <s v="Technology"/>
  </r>
  <r>
    <x v="292"/>
    <n v="502.16964721679688"/>
    <n v="504.59429379918578"/>
    <n v="499.1587173668126"/>
    <n v="500.61946731337048"/>
    <n v="16345100"/>
    <x v="2"/>
    <n v="4.5538544973577899E-2"/>
    <n v="110.69767250994069"/>
    <n v="505.41421142578133"/>
    <x v="1205"/>
    <n v="0"/>
    <s v="Microsoft Corp."/>
    <s v="Technology"/>
  </r>
  <r>
    <x v="293"/>
    <n v="504.77316284179688"/>
    <n v="504.95202275876863"/>
    <n v="499.98348956164301"/>
    <n v="501.12624613187791"/>
    <n v="15509500"/>
    <x v="2"/>
    <n v="0.5184534030341359"/>
    <n v="111.27158836014807"/>
    <n v="505.785150756836"/>
    <x v="1206"/>
    <n v="0"/>
    <s v="Microsoft Corp."/>
    <s v="Technology"/>
  </r>
  <r>
    <x v="294"/>
    <n v="491.88479614257813"/>
    <n v="508.74799935668892"/>
    <n v="489.27134277765646"/>
    <n v="505.86625611105882"/>
    <n v="31994800"/>
    <x v="2"/>
    <n v="-2.5532987187074641"/>
    <n v="108.43049232026296"/>
    <n v="505.85546447753916"/>
    <x v="1207"/>
    <n v="0"/>
    <s v="Microsoft Corp."/>
    <s v="Technology"/>
  </r>
  <r>
    <x v="295"/>
    <n v="495.06463623046881"/>
    <n v="498.04575600626322"/>
    <n v="491.91457299081776"/>
    <n v="494.97517595073856"/>
    <n v="16771000"/>
    <x v="2"/>
    <n v="0.64646033234354583"/>
    <n v="109.13145244127828"/>
    <n v="505.88659545898446"/>
    <x v="1208"/>
    <n v="0"/>
    <s v="Microsoft Corp."/>
    <s v="Technology"/>
  </r>
  <r>
    <x v="296"/>
    <n v="495.2733154296875"/>
    <n v="499.0891451753406"/>
    <n v="494.56779222730472"/>
    <n v="498.27429847652161"/>
    <n v="14410500"/>
    <x v="2"/>
    <n v="4.2151909861232184E-2"/>
    <n v="109.17745343274159"/>
    <n v="505.95186096191412"/>
    <x v="1209"/>
    <n v="0"/>
    <s v="Microsoft Corp."/>
    <s v="Technology"/>
  </r>
  <r>
    <x v="297"/>
    <n v="497.22097778320313"/>
    <n v="500.06299449245154"/>
    <n v="493.59395467665649"/>
    <n v="499.81456783685911"/>
    <n v="21611800"/>
    <x v="2"/>
    <n v="0.39325000819514511"/>
    <n v="109.60679377731309"/>
    <n v="506.02691284179696"/>
    <x v="1210"/>
    <n v="0"/>
    <s v="Microsoft Corp."/>
    <s v="Technology"/>
  </r>
  <r>
    <x v="298"/>
    <n v="497.85696411132813"/>
    <n v="500.0033740526988"/>
    <n v="494.74665753414092"/>
    <n v="499.08915061774633"/>
    <n v="18881600"/>
    <x v="2"/>
    <n v="0.12790818500065804"/>
    <n v="109.74698983787106"/>
    <n v="506.22103515625008"/>
    <x v="1211"/>
    <n v="0"/>
    <s v="Microsoft Corp."/>
    <s v="Technology"/>
  </r>
  <r>
    <x v="299"/>
    <n v="506.69100952148438"/>
    <n v="509.32432605160392"/>
    <n v="500.67909648146514"/>
    <n v="503.4614629424367"/>
    <n v="23624900"/>
    <x v="2"/>
    <n v="1.7744143492950837"/>
    <n v="111.69435617347365"/>
    <n v="506.61088623046885"/>
    <x v="1212"/>
    <n v="0"/>
    <s v="Microsoft Corp."/>
    <s v="Technology"/>
  </r>
  <r>
    <x v="300"/>
    <n v="512.11663818359375"/>
    <n v="512.22593135747718"/>
    <n v="503.80926524972944"/>
    <n v="505.58800862213138"/>
    <n v="17143800"/>
    <x v="2"/>
    <n v="1.0707963157335909"/>
    <n v="112.89037522426155"/>
    <n v="506.95547790527348"/>
    <x v="1213"/>
    <n v="0"/>
    <s v="Microsoft Corp."/>
    <s v="Technology"/>
  </r>
  <r>
    <x v="301"/>
    <n v="505.83642578125"/>
    <n v="513.97485509064768"/>
    <n v="505.39919244288791"/>
    <n v="513.62708203444447"/>
    <n v="19711900"/>
    <x v="2"/>
    <n v="-1.2263246171065223"/>
    <n v="111.50597276254253"/>
    <n v="507.19668762207039"/>
    <x v="1214"/>
    <n v="0"/>
    <s v="Microsoft Corp."/>
    <s v="Technology"/>
  </r>
  <r>
    <x v="302"/>
    <n v="506.81024169921881"/>
    <n v="508.07226852063866"/>
    <n v="502.74598524416496"/>
    <n v="507.40647173900959"/>
    <n v="15816600"/>
    <x v="2"/>
    <n v="0.19251597321501279"/>
    <n v="111.7206395711992"/>
    <n v="507.47919921875007"/>
    <x v="1215"/>
    <n v="0"/>
    <s v="Microsoft Corp."/>
    <s v="Technology"/>
  </r>
  <r>
    <x v="303"/>
    <n v="505.25015258789063"/>
    <n v="509.8410724066984"/>
    <n v="504.46511585215541"/>
    <n v="508.27099893522802"/>
    <n v="18913700"/>
    <x v="2"/>
    <n v="-0.30782509566057437"/>
    <n v="111.37673540556654"/>
    <n v="507.59380065917969"/>
    <x v="1216"/>
    <n v="0"/>
    <s v="Microsoft Corp."/>
    <s v="Technology"/>
  </r>
  <r>
    <x v="304"/>
    <n v="514.67047119140625"/>
    <n v="516.03184443192879"/>
    <n v="507.09843147001845"/>
    <n v="507.34685812925306"/>
    <n v="52474100"/>
    <x v="2"/>
    <n v="1.8644860482010195"/>
    <n v="113.45333909814512"/>
    <n v="507.93708740234376"/>
    <x v="1217"/>
    <n v="1"/>
    <s v="Microsoft Corp."/>
    <s v="Technology"/>
  </r>
  <r>
    <x v="305"/>
    <n v="511.21240234375"/>
    <n v="514.48167541423004"/>
    <n v="509.31438866236681"/>
    <n v="512.34524249013191"/>
    <n v="20009300"/>
    <x v="2"/>
    <n v="-0.67189960202130861"/>
    <n v="112.69104656426478"/>
    <n v="508.17470397949216"/>
    <x v="1218"/>
    <n v="0"/>
    <s v="Microsoft Corp."/>
    <s v="Technology"/>
  </r>
  <r>
    <x v="306"/>
    <n v="506.0252685546875"/>
    <n v="511.35155218118825"/>
    <n v="504.11733836707731"/>
    <n v="510.56648507959318"/>
    <n v="19799600"/>
    <x v="2"/>
    <n v="-1.0146729158528101"/>
    <n v="111.54760103618612"/>
    <n v="508.31453125000002"/>
    <x v="1219"/>
    <n v="0"/>
    <s v="Microsoft Corp."/>
    <s v="Technology"/>
  </r>
  <r>
    <x v="307"/>
    <n v="506.93942260742188"/>
    <n v="509.25474567271442"/>
    <n v="503.72976965544393"/>
    <n v="507.1679860456216"/>
    <n v="13533700"/>
    <x v="2"/>
    <n v="0.18065383480658781"/>
    <n v="111.74911605509274"/>
    <n v="508.41708435058592"/>
    <x v="1220"/>
    <n v="0"/>
    <s v="Microsoft Corp."/>
    <s v="Technology"/>
  </r>
  <r>
    <x v="308"/>
    <n v="503.83908081054688"/>
    <n v="506.80033754046758"/>
    <n v="501.86161428406251"/>
    <n v="505.10107733704126"/>
    <n v="15786500"/>
    <x v="2"/>
    <n v="-0.61158033062974626"/>
    <n v="111.0656804416472"/>
    <n v="508.46159973144529"/>
    <x v="1221"/>
    <n v="0"/>
    <s v="Microsoft Corp."/>
    <s v="Technology"/>
  </r>
  <r>
    <x v="309"/>
    <n v="508.24114990234375"/>
    <n v="510.70555309422582"/>
    <n v="503.4316137794998"/>
    <n v="506.84996678011908"/>
    <n v="16213100"/>
    <x v="2"/>
    <n v="0.8737053673397277"/>
    <n v="112.03606725293824"/>
    <n v="508.47351989746096"/>
    <x v="1222"/>
    <n v="0"/>
    <s v="Microsoft Corp."/>
    <s v="Technology"/>
  </r>
  <r>
    <x v="310"/>
    <n v="511.36138916015625"/>
    <n v="513.59722899730411"/>
    <n v="505.67741655332713"/>
    <n v="508.28092297827857"/>
    <n v="17617800"/>
    <x v="2"/>
    <n v="0.61392889151381524"/>
    <n v="112.72388903871988"/>
    <n v="508.58058349609377"/>
    <x v="1223"/>
    <n v="0"/>
    <s v="Microsoft Corp."/>
    <s v="Technology"/>
  </r>
  <r>
    <x v="311"/>
    <n v="514.69036865234375"/>
    <n v="514.89900823102437"/>
    <n v="506.45253207823936"/>
    <n v="510.00998852234369"/>
    <n v="19728200"/>
    <x v="2"/>
    <n v="0.65100329488210207"/>
    <n v="113.45772527048119"/>
    <n v="508.75402770996095"/>
    <x v="1224"/>
    <n v="0"/>
    <s v="Microsoft Corp."/>
    <s v="Technology"/>
  </r>
  <r>
    <x v="312"/>
    <n v="516.43927001953125"/>
    <n v="517.23422315562266"/>
    <n v="508.46972381655451"/>
    <n v="511.56013673304216"/>
    <n v="22632300"/>
    <x v="2"/>
    <n v="0.33979679312181599"/>
    <n v="113.84325098249923"/>
    <n v="509.05749145507815"/>
    <x v="1225"/>
    <n v="0"/>
    <s v="Microsoft Corp."/>
    <s v="Technology"/>
  </r>
  <r>
    <x v="313"/>
    <n v="512.49420166015625"/>
    <n v="518.31730743313392"/>
    <n v="507.46604898963056"/>
    <n v="514.38226834813452"/>
    <n v="21222900"/>
    <x v="2"/>
    <n v="-0.76389782659745942"/>
    <n v="112.97360486251604"/>
    <n v="509.27014892578126"/>
    <x v="1226"/>
    <n v="0"/>
    <s v="Microsoft Corp."/>
    <s v="Technology"/>
  </r>
  <r>
    <x v="314"/>
    <n v="514.09405517578125"/>
    <n v="517.21430827349968"/>
    <n v="511.75886906280152"/>
    <n v="513.8456285403139"/>
    <n v="15112300"/>
    <x v="2"/>
    <n v="0.31217007147446019"/>
    <n v="113.32627464556262"/>
    <n v="509.41539672851565"/>
    <x v="1227"/>
    <n v="0"/>
    <s v="Microsoft Corp."/>
    <s v="Technology"/>
  </r>
  <r>
    <x v="315"/>
    <n v="525.2435302734375"/>
    <n v="527.68807046218046"/>
    <n v="514.93879718454525"/>
    <n v="515.34619022381548"/>
    <n v="21388600"/>
    <x v="2"/>
    <n v="2.1687617247089008"/>
    <n v="115.78405151411408"/>
    <n v="509.72748229980471"/>
    <x v="1228"/>
    <n v="0"/>
    <s v="Microsoft Corp."/>
    <s v="Technology"/>
  </r>
  <r>
    <x v="316"/>
    <n v="520.682373046875"/>
    <n v="526.46575282793731"/>
    <n v="518.15838007756122"/>
    <n v="524.96524613417739"/>
    <n v="14615200"/>
    <x v="2"/>
    <n v="-0.86838903549901758"/>
    <n v="114.77859550590898"/>
    <n v="509.97235290527345"/>
    <x v="1229"/>
    <n v="0"/>
    <s v="Microsoft Corp."/>
    <s v="Technology"/>
  </r>
  <r>
    <x v="317"/>
    <n v="521.546875"/>
    <n v="523.63369521161235"/>
    <n v="519.79800236356425"/>
    <n v="519.98680904007631"/>
    <n v="13363400"/>
    <x v="2"/>
    <n v="0.16603249848197166"/>
    <n v="114.96916527574999"/>
    <n v="510.23312499999997"/>
    <x v="1230"/>
    <n v="0"/>
    <s v="Microsoft Corp."/>
    <s v="Technology"/>
  </r>
  <r>
    <x v="318"/>
    <n v="519.11236572265625"/>
    <n v="521.03021223285873"/>
    <n v="514.14383259227486"/>
    <n v="519.05274575113322"/>
    <n v="18343600"/>
    <x v="2"/>
    <n v="-0.46678628404086542"/>
    <n v="114.43250498136651"/>
    <n v="510.43191284179687"/>
    <x v="1231"/>
    <n v="0"/>
    <s v="Microsoft Corp."/>
    <s v="Technology"/>
  </r>
  <r>
    <x v="319"/>
    <n v="507.74432373046881"/>
    <n v="520.28492669066861"/>
    <n v="506.42270727517138"/>
    <n v="516.36972019982124"/>
    <n v="24133800"/>
    <x v="2"/>
    <n v="-2.1899000568714966"/>
    <n v="111.92654748970008"/>
    <n v="510.00135131835935"/>
    <x v="1232"/>
    <n v="0"/>
    <s v="Microsoft Corp."/>
    <s v="Technology"/>
  </r>
  <r>
    <x v="320"/>
    <n v="510.81491088867188"/>
    <n v="513.16004411634253"/>
    <n v="508.45983088995337"/>
    <n v="513.16004411634253"/>
    <n v="14284200"/>
    <x v="2"/>
    <n v="0.60475066183764969"/>
    <n v="112.60342402641605"/>
    <n v="509.81851257324217"/>
    <x v="1233"/>
    <n v="0"/>
    <s v="Microsoft Corp."/>
    <s v="Technology"/>
  </r>
  <r>
    <x v="321"/>
    <n v="510.33786010742188"/>
    <n v="512.03712007552031"/>
    <n v="502.81549454139611"/>
    <n v="507.01888399990622"/>
    <n v="14684300"/>
    <x v="2"/>
    <n v="-9.3390144077831749E-2"/>
    <n v="112.49826352648122"/>
    <n v="509.39736083984377"/>
    <x v="1234"/>
    <n v="0"/>
    <s v="Microsoft Corp."/>
    <s v="Technology"/>
  </r>
  <r>
    <x v="322"/>
    <n v="510.19879150390631"/>
    <n v="513.93513816427003"/>
    <n v="506.7903850161382"/>
    <n v="511.71919177145378"/>
    <n v="14694700"/>
    <x v="2"/>
    <n v="-2.7250301101766627E-2"/>
    <n v="112.467607410936"/>
    <n v="509.12997802734372"/>
    <x v="1235"/>
    <n v="0"/>
    <s v="Microsoft Corp."/>
    <s v="Technology"/>
  </r>
  <r>
    <x v="323"/>
    <n v="508.39022827148438"/>
    <n v="513.59724124556396"/>
    <n v="504.93214864922606"/>
    <n v="509.35415522947079"/>
    <n v="15559600"/>
    <x v="2"/>
    <n v="-0.35448206905603907"/>
    <n v="112.06892990916788"/>
    <n v="508.88217834472658"/>
    <x v="1236"/>
    <n v="0"/>
    <s v="Microsoft Corp."/>
    <s v="Technology"/>
  </r>
  <r>
    <x v="324"/>
    <n v="510.34786987304688"/>
    <n v="512.23587608628702"/>
    <n v="504.11730987196319"/>
    <n v="505.83643326530012"/>
    <n v="19867800"/>
    <x v="2"/>
    <n v="0.38506672486968707"/>
    <n v="112.50047006716561"/>
    <n v="508.75488037109375"/>
    <x v="1237"/>
    <n v="0"/>
    <s v="Microsoft Corp."/>
    <s v="Technology"/>
  </r>
  <r>
    <x v="325"/>
    <n v="513.53759765625"/>
    <n v="515.43561117389243"/>
    <n v="510.19875812962448"/>
    <n v="511.37132460679527"/>
    <n v="14665600"/>
    <x v="2"/>
    <n v="0.62501050195362673"/>
    <n v="113.20360981983259"/>
    <n v="508.66756835937503"/>
    <x v="1238"/>
    <n v="0"/>
    <s v="Microsoft Corp."/>
    <s v="Technology"/>
  </r>
  <r>
    <x v="326"/>
    <n v="514.40216064453125"/>
    <n v="515.42570761228524"/>
    <n v="509.81124074780416"/>
    <n v="514.24319426609543"/>
    <n v="15586200"/>
    <x v="2"/>
    <n v="0.16835437020132904"/>
    <n v="113.39419304418993"/>
    <n v="508.6029052734375"/>
    <x v="1239"/>
    <n v="0"/>
    <s v="Microsoft Corp."/>
    <s v="Technology"/>
  </r>
  <r>
    <x v="327"/>
    <n v="517.26397705078125"/>
    <n v="521.92446311837057"/>
    <n v="514.45183123006257"/>
    <n v="517.87018413092801"/>
    <n v="18962700"/>
    <x v="2"/>
    <n v="0.55633833315633652"/>
    <n v="114.02504840766807"/>
    <n v="508.44726196289065"/>
    <x v="1240"/>
    <n v="0"/>
    <s v="Microsoft Corp."/>
    <s v="Technology"/>
  </r>
  <r>
    <x v="328"/>
    <n v="517.283935546875"/>
    <n v="520.65261567429479"/>
    <n v="515.3461954332505"/>
    <n v="519.17200245779964"/>
    <n v="21697800"/>
    <x v="2"/>
    <n v="3.8584740053915212E-3"/>
    <n v="114.02944803452053"/>
    <n v="508.46384399414063"/>
    <x v="1241"/>
    <n v="0"/>
    <s v="Microsoft Corp."/>
    <s v="Technology"/>
  </r>
  <r>
    <x v="329"/>
    <n v="520.314697265625"/>
    <n v="522.04373704212219"/>
    <n v="517.43298452180875"/>
    <n v="519.49985057707295"/>
    <n v="15532400"/>
    <x v="2"/>
    <n v="0.58589906055093177"/>
    <n v="114.69754549930617"/>
    <n v="508.50334350585939"/>
    <x v="1242"/>
    <n v="0"/>
    <s v="Microsoft Corp."/>
    <s v="Technology"/>
  </r>
  <r>
    <x v="330"/>
    <n v="528.17498779296875"/>
    <n v="531.21572777221184"/>
    <n v="525.68077435113378"/>
    <n v="528.43336123091774"/>
    <n v="18734700"/>
    <x v="2"/>
    <n v="1.5106800881565352"/>
    <n v="116.43025848076849"/>
    <n v="508.74588378906247"/>
    <x v="1243"/>
    <n v="0"/>
    <s v="Microsoft Corp."/>
    <s v="Technology"/>
  </r>
  <r>
    <x v="331"/>
    <n v="538.65850830078125"/>
    <n v="550.23515303421141"/>
    <n v="537.36670193645875"/>
    <n v="546.53859383928545"/>
    <n v="29986700"/>
    <x v="2"/>
    <n v="1.9848574336355673"/>
    <n v="118.74123312122514"/>
    <n v="509.25900634765622"/>
    <x v="1244"/>
    <n v="0"/>
    <s v="Microsoft Corp."/>
    <s v="Technology"/>
  </r>
  <r>
    <x v="332"/>
    <n v="538.14178466796875"/>
    <n v="542.83211125015521"/>
    <n v="533.3521116884923"/>
    <n v="541.51046452039657"/>
    <n v="36023000"/>
    <x v="2"/>
    <n v="-9.5927869856271553E-2"/>
    <n v="118.62732718565086"/>
    <n v="509.90723388671876"/>
    <x v="1245"/>
    <n v="0"/>
    <s v="Microsoft Corp."/>
    <s v="Technology"/>
  </r>
  <r>
    <x v="333"/>
    <n v="522.451171875"/>
    <n v="531.60317049669982"/>
    <n v="518.83406543214574"/>
    <n v="527.14143773634351"/>
    <n v="41023100"/>
    <x v="2"/>
    <n v="-2.9157023743565658"/>
    <n v="115.16850739026312"/>
    <n v="510.32200622558594"/>
    <x v="1246"/>
    <n v="0"/>
    <s v="Microsoft Corp."/>
    <s v="Technology"/>
  </r>
  <r>
    <x v="334"/>
    <n v="514.55120849609375"/>
    <n v="525.98878108570761"/>
    <n v="511.85824179468608"/>
    <n v="525.55154775874541"/>
    <n v="34006400"/>
    <x v="2"/>
    <n v="-1.5120960204863643"/>
    <n v="113.4270489731614"/>
    <n v="510.59169860839842"/>
    <x v="1247"/>
    <n v="0"/>
    <s v="Microsoft Corp."/>
    <s v="Technology"/>
  </r>
  <r>
    <x v="335"/>
    <n v="513.776123046875"/>
    <n v="521.65620865484959"/>
    <n v="511.35147665588022"/>
    <n v="516.53859569791541"/>
    <n v="22374700"/>
    <x v="2"/>
    <n v="-0.15063329682659665"/>
    <n v="113.25619006980001"/>
    <n v="510.78646423339842"/>
    <x v="1248"/>
    <n v="0"/>
    <s v="Microsoft Corp."/>
    <s v="Technology"/>
  </r>
  <r>
    <x v="336"/>
    <n v="511.09317016601563"/>
    <n v="512.30546319471694"/>
    <n v="504.6439932361389"/>
    <n v="508.53933673798258"/>
    <n v="20958700"/>
    <x v="2"/>
    <n v="-0.52220271836466159"/>
    <n v="112.66476316653926"/>
    <n v="510.98659729003913"/>
    <x v="1249"/>
    <n v="0"/>
    <s v="Microsoft Corp."/>
    <s v="Technology"/>
  </r>
  <r>
    <x v="337"/>
    <n v="503.96823120117188"/>
    <n v="511.58997398954807"/>
    <n v="503.39186440425522"/>
    <n v="510.06957381432881"/>
    <n v="23024300"/>
    <x v="2"/>
    <n v="-1.3940587315086628"/>
    <n v="111.09415019828258"/>
    <n v="511.08835205078122"/>
    <x v="1250"/>
    <n v="0"/>
    <s v="Microsoft Corp."/>
    <s v="Technology"/>
  </r>
  <r>
    <x v="338"/>
    <n v="493.9715576171875"/>
    <n v="502.51744045426449"/>
    <n v="492.6896676102462"/>
    <n v="502.47768369906362"/>
    <n v="27406500"/>
    <x v="2"/>
    <n v="-1.9835920133612461"/>
    <n v="108.89049550763789"/>
    <n v="510.89676513671873"/>
    <x v="1251"/>
    <n v="0"/>
    <s v="Microsoft Corp."/>
    <s v="Technology"/>
  </r>
  <r>
    <x v="339"/>
    <n v="493.69332885742188"/>
    <n v="496.23721537152568"/>
    <n v="490.14578895573521"/>
    <n v="493.82251556974671"/>
    <n v="24019800"/>
    <x v="2"/>
    <n v="-5.6324854230016541E-2"/>
    <n v="108.82916309477287"/>
    <n v="510.64197814941406"/>
    <x v="1252"/>
    <n v="0"/>
    <s v="Microsoft Corp."/>
    <s v="Technology"/>
  </r>
  <r>
    <x v="340"/>
    <n v="502.8155517578125"/>
    <n v="503.66020845333969"/>
    <n v="495.66085193460816"/>
    <n v="496.8930687697553"/>
    <n v="26101500"/>
    <x v="2"/>
    <n v="1.8477508945690335"/>
    <n v="110.84005492940851"/>
    <n v="510.62826477050783"/>
    <x v="1253"/>
    <n v="0"/>
    <s v="Microsoft Corp."/>
    <s v="Technology"/>
  </r>
  <r>
    <x v="341"/>
    <n v="505.47866821289063"/>
    <n v="506.39289163210333"/>
    <n v="499.1885187507047"/>
    <n v="501.62308173600388"/>
    <n v="17980000"/>
    <x v="2"/>
    <n v="0.52964082868320883"/>
    <n v="111.42710911484957"/>
    <n v="510.69901672363284"/>
    <x v="1254"/>
    <n v="0"/>
    <s v="Microsoft Corp."/>
    <s v="Technology"/>
  </r>
  <r>
    <x v="342"/>
    <n v="507.9232177734375"/>
    <n v="508.44988107054138"/>
    <n v="495.97884475812731"/>
    <n v="506.1543908722183"/>
    <n v="26574900"/>
    <x v="2"/>
    <n v="0.48361082559418289"/>
    <n v="111.96598267717563"/>
    <n v="510.8140881347656"/>
    <x v="1255"/>
    <n v="0"/>
    <s v="Microsoft Corp."/>
    <s v="Technology"/>
  </r>
  <r>
    <x v="343"/>
    <n v="500.12258911132813"/>
    <n v="510.26832472026871"/>
    <n v="498.13517596733487"/>
    <n v="507.09839832955799"/>
    <n v="25273100"/>
    <x v="2"/>
    <n v="-1.5357889517838341"/>
    <n v="110.24642148546337"/>
    <n v="510.72107666015626"/>
    <x v="1256"/>
    <n v="0"/>
    <s v="Microsoft Corp."/>
    <s v="Technology"/>
  </r>
  <r>
    <x v="344"/>
    <n v="506.96926879882813"/>
    <n v="508.38034563343172"/>
    <n v="494.30945534799008"/>
    <n v="495.09449211954848"/>
    <n v="28505700"/>
    <x v="2"/>
    <n v="1.3690002884424679"/>
    <n v="111.75569531359686"/>
    <n v="511.02276611328125"/>
    <x v="1257"/>
    <n v="0"/>
    <s v="Microsoft Corp."/>
    <s v="Technology"/>
  </r>
  <r>
    <x v="345"/>
    <n v="504.29617309570313"/>
    <n v="508.89703969159092"/>
    <n v="501.73242330739504"/>
    <n v="505.25015330460292"/>
    <n v="19092800"/>
    <x v="2"/>
    <n v="-0.52726977109646134"/>
    <n v="111.1664413147296"/>
    <n v="511.20739685058595"/>
    <x v="1258"/>
    <n v="0"/>
    <s v="Microsoft Corp."/>
    <s v="Technology"/>
  </r>
  <r>
    <x v="346"/>
    <n v="490.68240356445313"/>
    <n v="499.81456988754343"/>
    <n v="483.71651040889282"/>
    <n v="492.2524466910109"/>
    <n v="33815100"/>
    <x v="2"/>
    <n v="-2.6995583662036693"/>
    <n v="108.16543834780691"/>
    <n v="511.11557861328123"/>
    <x v="1259"/>
    <n v="0"/>
    <s v="Microsoft Corp."/>
    <s v="Technology"/>
  </r>
  <r>
    <x v="347"/>
    <n v="484.05438232421881"/>
    <n v="492.07360233126627"/>
    <n v="479.79137227085766"/>
    <n v="487.01563908182612"/>
    <n v="23245300"/>
    <x v="2"/>
    <n v="-1.3507762234974297"/>
    <n v="106.70436532456297"/>
    <n v="510.85224670410156"/>
    <x v="1260"/>
    <n v="0"/>
    <s v="Microsoft Corp."/>
    <s v="Technology"/>
  </r>
  <r>
    <x v="348"/>
    <n v="476.30886840820313"/>
    <n v="491.38175964679192"/>
    <n v="473.39186588492817"/>
    <n v="490.52555666680638"/>
    <n v="26802500"/>
    <x v="2"/>
    <n v="-1.6001330013427628"/>
    <n v="104.99695356113131"/>
    <n v="510.42128479003907"/>
    <x v="1261"/>
    <n v="0"/>
    <s v="Microsoft Corp."/>
    <s v="Technology"/>
  </r>
  <r>
    <x v="349"/>
    <n v="470.02682495117188"/>
    <n v="476.79669500364201"/>
    <n v="466.19388806310616"/>
    <n v="476.37854372871908"/>
    <n v="31769200"/>
    <x v="2"/>
    <n v="-1.3189012159327329"/>
    <n v="103.6121474639212"/>
    <n v="509.68800109863281"/>
    <x v="1262"/>
    <n v="0"/>
    <s v="Microsoft Corp."/>
    <s v="Technology"/>
  </r>
  <r>
    <x v="350"/>
    <n v="471.89852905273438"/>
    <n v="474.78566587554639"/>
    <n v="465.94503034352039"/>
    <n v="472.89409556972328"/>
    <n v="34421000"/>
    <x v="2"/>
    <n v="0.39821218751865395"/>
    <n v="104.02474366287234"/>
    <n v="508.88363891601563"/>
    <x v="1263"/>
    <n v="0"/>
    <s v="Microsoft Corp."/>
    <s v="Technology"/>
  </r>
  <r>
    <x v="351"/>
    <n v="474.87521362304688"/>
    <n v="477.02564072103849"/>
    <n v="462.82888433135167"/>
    <n v="471.96817671110921"/>
    <n v="28019800"/>
    <x v="2"/>
    <n v="0.63078911822160855"/>
    <n v="104.68092042615567"/>
    <n v="508.26441467285156"/>
    <x v="1264"/>
    <n v="0"/>
    <s v="Microsoft Corp."/>
    <s v="Technology"/>
  </r>
  <r>
    <x v="352"/>
    <n v="483.34750366210938"/>
    <n v="486.14504291080738"/>
    <n v="479.0665801492176"/>
    <n v="484.15391004299232"/>
    <n v="25709100"/>
    <x v="2"/>
    <n v="1.7841087081432283"/>
    <n v="106.54854184324319"/>
    <n v="507.7951599121094"/>
    <x v="1265"/>
    <n v="0"/>
    <s v="Microsoft Corp."/>
    <s v="Technology"/>
  </r>
  <r>
    <x v="353"/>
    <n v="489.82867431640631"/>
    <n v="490.4459206738112"/>
    <n v="484.49242217644121"/>
    <n v="485.43822248683767"/>
    <n v="14386700"/>
    <x v="2"/>
    <n v="1.3408925473271216"/>
    <n v="107.97724330010494"/>
    <n v="507.48673034667968"/>
    <x v="1266"/>
    <n v="0"/>
    <s v="Microsoft Corp."/>
    <s v="Technology"/>
  </r>
  <r>
    <x v="354"/>
    <n v="484.58200073242188"/>
    <n v="487.68816317334665"/>
    <n v="482.50127051247262"/>
    <n v="486.27447583839381"/>
    <n v="23964000"/>
    <x v="2"/>
    <n v="-1.0711242234453855"/>
    <n v="106.82067289130896"/>
    <n v="506.88496093750001"/>
    <x v="1267"/>
    <n v="0"/>
    <s v="Microsoft Corp."/>
    <s v="Technology"/>
  </r>
  <r>
    <x v="355"/>
    <n v="487.82757568359375"/>
    <n v="491.312058367048"/>
    <n v="484.16389832530848"/>
    <n v="484.56211884124775"/>
    <n v="19562700"/>
    <x v="2"/>
    <n v="0.66976795387907462"/>
    <n v="107.53612352645297"/>
    <n v="506.41726440429687"/>
    <x v="1268"/>
    <n v="0"/>
    <s v="Microsoft Corp."/>
    <s v="Technology"/>
  </r>
  <r>
    <x v="356"/>
    <n v="475.61196899414063"/>
    <n v="482.09308589504877"/>
    <n v="473.0931871020635"/>
    <n v="474.2082166599713"/>
    <n v="34615100"/>
    <x v="2"/>
    <n v="-2.5040828559835693"/>
    <n v="104.84332989323775"/>
    <n v="505.80899841308593"/>
    <x v="1269"/>
    <n v="0"/>
    <s v="Microsoft Corp."/>
    <s v="Technology"/>
  </r>
  <r>
    <x v="357"/>
    <n v="478.70816040039063"/>
    <n v="479.18604322625202"/>
    <n v="474.37744033674369"/>
    <n v="477.63296202004813"/>
    <n v="22318200"/>
    <x v="2"/>
    <n v="0.65099106164170362"/>
    <n v="105.52585059957025"/>
    <n v="505.24437316894529"/>
    <x v="1270"/>
    <n v="0"/>
    <s v="Microsoft Corp."/>
    <s v="Technology"/>
  </r>
  <r>
    <x v="358"/>
    <n v="481.01788330078131"/>
    <n v="481.25680952330993"/>
    <n v="476.75686016611991"/>
    <n v="480.3807061976695"/>
    <n v="22608700"/>
    <x v="2"/>
    <n v="0.48249081412332639"/>
    <n v="106.03500313523868"/>
    <n v="504.78794921874999"/>
    <x v="1271"/>
    <n v="0"/>
    <s v="Microsoft Corp."/>
    <s v="Technology"/>
  </r>
  <r>
    <x v="359"/>
    <n v="488.84304809570313"/>
    <n v="490.11737199051481"/>
    <n v="482.23250238582978"/>
    <n v="482.74025101921535"/>
    <n v="21965900"/>
    <x v="2"/>
    <n v="1.6267929045017837"/>
    <n v="107.759973042531"/>
    <n v="504.39998718261717"/>
    <x v="1272"/>
    <n v="0"/>
    <s v="Microsoft Corp."/>
    <s v="Technology"/>
  </r>
  <r>
    <x v="360"/>
    <n v="489.83859252929688"/>
    <n v="489.93815525049575"/>
    <n v="486.33420957194568"/>
    <n v="486.93155551686198"/>
    <n v="14696100"/>
    <x v="2"/>
    <n v="0.20365318428314794"/>
    <n v="107.9794296590148"/>
    <n v="503.96953124999999"/>
    <x v="1273"/>
    <n v="0"/>
    <s v="Microsoft Corp."/>
    <s v="Technology"/>
  </r>
  <r>
    <x v="361"/>
    <n v="476.43826293945313"/>
    <n v="482.10303829287767"/>
    <n v="472.97368086448898"/>
    <n v="481.88401246545567"/>
    <n v="35756200"/>
    <x v="2"/>
    <n v="-2.7356622761491201"/>
    <n v="105.02547713583215"/>
    <n v="503.20448913574216"/>
    <x v="1274"/>
    <n v="0"/>
    <s v="Microsoft Corp."/>
    <s v="Technology"/>
  </r>
  <r>
    <x v="362"/>
    <n v="481.32650756835938"/>
    <n v="483.87515522209242"/>
    <n v="473.75023116737299"/>
    <n v="474.51683677020287"/>
    <n v="24669200"/>
    <x v="2"/>
    <n v="1.0259974920459936"/>
    <n v="106.10303589725511"/>
    <n v="502.50223388671873"/>
    <x v="1275"/>
    <n v="0"/>
    <s v="Microsoft Corp."/>
    <s v="Technology"/>
  </r>
  <r>
    <x v="363"/>
    <n v="476.40841674804688"/>
    <n v="480.31105063829824"/>
    <n v="474.22812377070761"/>
    <n v="477.69270598810579"/>
    <n v="21248100"/>
    <x v="2"/>
    <n v="-1.0217785106327315"/>
    <n v="105.01889787732803"/>
    <n v="501.78051818847655"/>
    <x v="1276"/>
    <n v="0"/>
    <s v="Microsoft Corp."/>
    <s v="Technology"/>
  </r>
  <r>
    <x v="364"/>
    <n v="472.71487426757813"/>
    <n v="478.58871031057299"/>
    <n v="470.42505317808713"/>
    <n v="477.97146396596463"/>
    <n v="23727700"/>
    <x v="2"/>
    <n v="-0.77528909033152127"/>
    <n v="104.2046978192987"/>
    <n v="500.95293457031249"/>
    <x v="1277"/>
    <n v="0"/>
    <s v="Microsoft Corp."/>
    <s v="Technology"/>
  </r>
  <r>
    <x v="365"/>
    <n v="474.27792358398438"/>
    <n v="475.77127328381169"/>
    <n v="468.79234263095657"/>
    <n v="469.8177748762136"/>
    <n v="20705600"/>
    <x v="2"/>
    <n v="0.33065371992535564"/>
    <n v="104.54925452897521"/>
    <n v="499.93362243652342"/>
    <x v="1278"/>
    <n v="0"/>
    <s v="Microsoft Corp."/>
    <s v="Technology"/>
  </r>
  <r>
    <x v="366"/>
    <n v="474.00909423828131"/>
    <n v="477.87189693298723"/>
    <n v="472.89406467326859"/>
    <n v="474.7956002423544"/>
    <n v="24527200"/>
    <x v="2"/>
    <n v="-5.6681817207848706E-2"/>
    <n v="104.48999411163093"/>
    <n v="499.00015686035158"/>
    <x v="1279"/>
    <n v="0"/>
    <s v="Microsoft Corp."/>
    <s v="Technology"/>
  </r>
  <r>
    <x v="367"/>
    <n v="481.83425903320313"/>
    <n v="487.42933759345539"/>
    <n v="475.77126302846659"/>
    <n v="476.06992080908338"/>
    <n v="28573500"/>
    <x v="2"/>
    <n v="1.6508469753089061"/>
    <n v="106.21496401892323"/>
    <n v="498.20590454101563"/>
    <x v="1280"/>
    <n v="0"/>
    <s v="Microsoft Corp."/>
    <s v="Technology"/>
  </r>
  <r>
    <x v="368"/>
    <n v="483.76565551757813"/>
    <n v="485.68709144559688"/>
    <n v="480.35083955461562"/>
    <n v="485.1992432324443"/>
    <n v="70836100"/>
    <x v="2"/>
    <n v="0.40084249888132639"/>
    <n v="106.64071873488258"/>
    <n v="497.49897033691406"/>
    <x v="1281"/>
    <n v="1"/>
    <s v="Microsoft Corp."/>
    <s v="Technology"/>
  </r>
  <r>
    <x v="369"/>
    <n v="482.77011108398438"/>
    <n v="486.5632169440421"/>
    <n v="480.54998689488741"/>
    <n v="483.96477263119721"/>
    <n v="16963000"/>
    <x v="2"/>
    <n v="-0.20579063896725147"/>
    <n v="106.4212621183988"/>
    <n v="496.99948608398438"/>
    <x v="1282"/>
    <n v="0"/>
    <s v="Microsoft Corp."/>
    <s v="Technology"/>
  </r>
  <r>
    <x v="370"/>
    <n v="484.69155883789063"/>
    <n v="485.66719456773416"/>
    <n v="482.59089771441307"/>
    <n v="482.82985433546497"/>
    <n v="14683600"/>
    <x v="2"/>
    <n v="0.39800470447350911"/>
    <n v="106.84482374819011"/>
    <n v="496.47701904296878"/>
    <x v="1283"/>
    <n v="0"/>
    <s v="Microsoft Corp."/>
    <s v="Technology"/>
  </r>
  <r>
    <x v="371"/>
    <n v="485.8563232421875"/>
    <n v="486.99128356758632"/>
    <n v="482.680463867149"/>
    <n v="483.5267014178325"/>
    <n v="5855900"/>
    <x v="2"/>
    <n v="0.24031043723755641"/>
    <n v="107.10158301130508"/>
    <n v="495.98738830566407"/>
    <x v="1284"/>
    <n v="0"/>
    <s v="Microsoft Corp."/>
    <s v="Technology"/>
  </r>
  <r>
    <x v="372"/>
    <n v="485.5477294921875"/>
    <n v="485.95591540329991"/>
    <n v="483.80548811616762"/>
    <n v="484.55216299160469"/>
    <n v="8842200"/>
    <x v="2"/>
    <n v="-6.3515433521732501E-2"/>
    <n v="107.03355697654682"/>
    <n v="495.49436706542969"/>
    <x v="1285"/>
    <n v="0"/>
    <s v="Microsoft Corp."/>
    <s v="Technology"/>
  </r>
  <r>
    <x v="373"/>
    <n v="484.9404296875"/>
    <n v="486.18488776492518"/>
    <n v="482.03336225043279"/>
    <n v="482.7103401528056"/>
    <n v="10893400"/>
    <x v="2"/>
    <n v="-0.12507520225100155"/>
    <n v="106.89968453868197"/>
    <n v="495.02537109374998"/>
    <x v="1286"/>
    <n v="0"/>
    <s v="Microsoft Corp."/>
    <s v="Technology"/>
  </r>
  <r>
    <x v="374"/>
    <n v="485.31875610351563"/>
    <n v="487.50898411884617"/>
    <n v="483.3475235456682"/>
    <n v="483.77560983811242"/>
    <n v="13944500"/>
    <x v="2"/>
    <n v="7.8015028827227439E-2"/>
    <n v="106.98308235839104"/>
    <n v="494.52478881835935"/>
    <x v="1287"/>
    <n v="0"/>
    <s v="Microsoft Corp."/>
    <s v="Technology"/>
  </r>
  <r>
    <x v="375"/>
    <n v="481.47586059570313"/>
    <n v="485.97584057107753"/>
    <n v="481.15727202744552"/>
    <n v="485.67715239498159"/>
    <n v="15601600"/>
    <x v="2"/>
    <n v="-0.79182917607923953"/>
    <n v="106.13595909880841"/>
    <n v="493.88355407714846"/>
    <x v="1288"/>
    <n v="0"/>
    <s v="Microsoft Corp."/>
    <s v="Technology"/>
  </r>
  <r>
    <x v="376"/>
    <n v="470.84320068359375"/>
    <n v="482.51124072733091"/>
    <n v="468.07552715971417"/>
    <n v="482.24244872265706"/>
    <n v="25571600"/>
    <x v="2"/>
    <n v="-2.2083474546271464"/>
    <n v="103.79210834760578"/>
    <n v="493.01237487792969"/>
    <x v="1289"/>
    <n v="0"/>
    <s v="Microsoft Corp."/>
    <s v="Technology"/>
  </r>
  <r>
    <x v="377"/>
    <n v="470.75360107421881"/>
    <n v="473.95932625248497"/>
    <n v="467.41844739653146"/>
    <n v="471.95822796941729"/>
    <n v="25250300"/>
    <x v="2"/>
    <n v="-1.9029606723608428E-2"/>
    <n v="103.77235711757709"/>
    <n v="492.08216735839846"/>
    <x v="1290"/>
    <n v="0"/>
    <s v="Microsoft Corp."/>
    <s v="Technology"/>
  </r>
  <r>
    <x v="378"/>
    <n v="476.38851928710938"/>
    <n v="476.61748012959299"/>
    <n v="467.66734732410129"/>
    <n v="471.69937935780575"/>
    <n v="23037700"/>
    <x v="2"/>
    <n v="1.1969994918853866"/>
    <n v="105.01451170499196"/>
    <n v="491.26425903320313"/>
    <x v="1291"/>
    <n v="0"/>
    <s v="Microsoft Corp."/>
    <s v="Technology"/>
  </r>
  <r>
    <x v="379"/>
    <n v="481.32650756835938"/>
    <n v="487.52889742210527"/>
    <n v="475.8309917616744"/>
    <n v="477.63296458601815"/>
    <n v="25564200"/>
    <x v="2"/>
    <n v="1.0365464492384069"/>
    <n v="106.10303589725511"/>
    <n v="490.4844952392578"/>
    <x v="1292"/>
    <n v="0"/>
    <s v="Microsoft Corp."/>
    <s v="Technology"/>
  </r>
  <r>
    <x v="380"/>
    <n v="475.99026489257813"/>
    <n v="480.52011050814451"/>
    <n v="473.75024036094072"/>
    <n v="479.10639276886479"/>
    <n v="18162600"/>
    <x v="2"/>
    <n v="-1.1086533967845869"/>
    <n v="104.92672098568863"/>
    <n v="489.44080078125"/>
    <x v="1293"/>
    <n v="0"/>
    <s v="Microsoft Corp."/>
    <s v="Technology"/>
  </r>
  <r>
    <x v="381"/>
    <n v="477.15509033203131"/>
    <n v="477.69270472588983"/>
    <n v="470.10649318413601"/>
    <n v="471.95823221080411"/>
    <n v="18491000"/>
    <x v="2"/>
    <n v="0.24471623168933476"/>
    <n v="105.18349370331998"/>
    <n v="488.21073242187498"/>
    <x v="1294"/>
    <n v="0"/>
    <s v="Microsoft Corp."/>
    <s v="Technology"/>
  </r>
  <r>
    <x v="382"/>
    <n v="475.06439208984375"/>
    <n v="478.8574978399144"/>
    <n v="473.57104241242143"/>
    <n v="474.5566738594685"/>
    <n v="23519900"/>
    <x v="2"/>
    <n v="-0.43815905657272891"/>
    <n v="104.7226226996393"/>
    <n v="486.94918457031253"/>
    <x v="1295"/>
    <n v="0"/>
    <s v="Microsoft Corp."/>
    <s v="Technology"/>
  </r>
  <r>
    <x v="383"/>
    <n v="468.58328247070313"/>
    <n v="473.67061253444427"/>
    <n v="463.88420753037366"/>
    <n v="472.57548334410274"/>
    <n v="28545800"/>
    <x v="2"/>
    <n v="-1.3642591882396693"/>
    <n v="103.29393469729391"/>
    <n v="485.87182678222655"/>
    <x v="1296"/>
    <n v="0"/>
    <s v="Microsoft Corp."/>
    <s v="Technology"/>
  </r>
  <r>
    <x v="384"/>
    <n v="457.34335327148438"/>
    <n v="466.12425727832346"/>
    <n v="455.14315976714448"/>
    <n v="464.39195087185891"/>
    <n v="28184300"/>
    <x v="2"/>
    <n v="-2.3987046955567637"/>
    <n v="100.81621823548458"/>
    <n v="484.72766967773435"/>
    <x v="1297"/>
    <n v="0"/>
    <s v="Microsoft Corp."/>
    <s v="Technology"/>
  </r>
  <r>
    <x v="385"/>
    <n v="454.63540649414063"/>
    <n v="462.19175266567697"/>
    <n v="453.87876622355958"/>
    <n v="462.06232415810086"/>
    <n v="23225800"/>
    <x v="2"/>
    <n v="-0.59210366958941663"/>
    <n v="100.21928170777099"/>
    <n v="483.5448553466797"/>
    <x v="1298"/>
    <n v="0"/>
    <s v="Microsoft Corp."/>
    <s v="Technology"/>
  </r>
  <r>
    <x v="386"/>
    <n v="457.82119750976563"/>
    <n v="461.13645097900303"/>
    <n v="454.45620825056551"/>
    <n v="455.8001987238622"/>
    <n v="34246700"/>
    <x v="2"/>
    <n v="0.70073535191457204"/>
    <n v="100.92155364413222"/>
    <n v="482.47941589355469"/>
    <x v="1299"/>
    <n v="0"/>
    <s v="Microsoft Corp."/>
    <s v="Technology"/>
  </r>
  <r>
    <x v="387"/>
    <n v="452.50485229492188"/>
    <n v="454.77474258752966"/>
    <n v="447.28809381488645"/>
    <n v="449.21949516008431"/>
    <n v="26130000"/>
    <x v="2"/>
    <n v="-1.1612274057560046"/>
    <n v="99.749624904901808"/>
    <n v="481.45014831542971"/>
    <x v="1300"/>
    <n v="0"/>
    <s v="Microsoft Corp."/>
    <s v="Technology"/>
  </r>
  <r>
    <x v="388"/>
    <n v="442.1409912109375"/>
    <n v="450.68296816672978"/>
    <n v="436.7350728053031"/>
    <n v="450.59337083419331"/>
    <n v="37980500"/>
    <x v="2"/>
    <n v="-2.2903314807395048"/>
    <n v="97.465027843785251"/>
    <n v="480.41353698730467"/>
    <x v="1301"/>
    <n v="0"/>
    <s v="Microsoft Corp."/>
    <s v="Technology"/>
  </r>
  <r>
    <x v="389"/>
    <n v="449.13986206054688"/>
    <n v="450.83230679325681"/>
    <n v="442.72841170304127"/>
    <n v="445.63544871794392"/>
    <n v="25349400"/>
    <x v="2"/>
    <n v="1.582950006612327"/>
    <n v="99.007850508483173"/>
    <n v="479.52246765136721"/>
    <x v="1302"/>
    <n v="0"/>
    <s v="Microsoft Corp."/>
    <s v="Technology"/>
  </r>
  <r>
    <x v="390"/>
    <n v="463.88418579101563"/>
    <n v="469.01134678020321"/>
    <n v="448.53253821850132"/>
    <n v="449.8665935761158"/>
    <n v="38000200"/>
    <x v="2"/>
    <n v="3.2827911695090473"/>
    <n v="102.25807148209638"/>
    <n v="478.74384033203125"/>
    <x v="1303"/>
    <n v="0"/>
    <s v="Microsoft Corp."/>
    <s v="Technology"/>
  </r>
  <r>
    <x v="391"/>
    <n v="468.19497680664063"/>
    <n v="472.1473767264207"/>
    <n v="459.95168802869023"/>
    <n v="463.24701046255609"/>
    <n v="29291200"/>
    <x v="2"/>
    <n v="0.92928173618900267"/>
    <n v="103.2083370641586"/>
    <n v="477.99816650390625"/>
    <x v="1304"/>
    <n v="0"/>
    <s v="Microsoft Corp."/>
    <s v="Technology"/>
  </r>
  <r>
    <x v="392"/>
    <n v="478.4493408203125"/>
    <n v="480.72919663912319"/>
    <n v="471.06225431764057"/>
    <n v="471.59986874099184"/>
    <n v="29213900"/>
    <x v="2"/>
    <n v="2.1901909507044515"/>
    <n v="105.46879672291037"/>
    <n v="477.40868896484375"/>
    <x v="1305"/>
    <n v="0"/>
    <s v="Microsoft Corp."/>
    <s v="Technology"/>
  </r>
  <r>
    <x v="393"/>
    <n v="479.49465942382813"/>
    <n v="481.59528998521279"/>
    <n v="475.88074846033959"/>
    <n v="481.06764099823619"/>
    <n v="36875400"/>
    <x v="2"/>
    <n v="0.21848051911272925"/>
    <n v="105.69922549749251"/>
    <n v="476.99613037109373"/>
    <x v="1306"/>
    <n v="0"/>
    <s v="Microsoft Corp."/>
    <s v="Technology"/>
  </r>
  <r>
    <x v="394"/>
    <n v="431.57806396484375"/>
    <n v="440.5381621786467"/>
    <n v="419.15338350408371"/>
    <n v="438.03928062113511"/>
    <n v="128855300"/>
    <x v="2"/>
    <n v="-9.9931447654833185"/>
    <n v="95.136548877533428"/>
    <n v="475.48830627441413"/>
    <x v="1307"/>
    <n v="1"/>
    <s v="Microsoft Corp."/>
    <s v="Technology"/>
  </r>
  <r>
    <x v="395"/>
    <n v="428.38229370117188"/>
    <n v="437.65101486434605"/>
    <n v="424.55932220203721"/>
    <n v="437.2229285851671"/>
    <n v="58566800"/>
    <x v="2"/>
    <n v="-0.74048486948404824"/>
    <n v="94.432077127745998"/>
    <n v="473.97002868652345"/>
    <x v="1308"/>
    <n v="0"/>
    <s v="Microsoft Corp."/>
    <s v="Technology"/>
  </r>
  <r>
    <x v="396"/>
    <n v="421.49298095703131"/>
    <n v="428.83030114365022"/>
    <n v="420.37795134689082"/>
    <n v="428.332517897532"/>
    <n v="42219900"/>
    <x v="2"/>
    <n v="-1.6082160363393494"/>
    <n v="92.91340531992924"/>
    <n v="472.586240234375"/>
    <x v="1309"/>
    <n v="0"/>
    <s v="Microsoft Corp."/>
    <s v="Technology"/>
  </r>
  <r>
    <x v="397"/>
    <n v="409.38687133789063"/>
    <n v="420.17880800844699"/>
    <n v="406.74862632222988"/>
    <n v="420.13900722569218"/>
    <n v="61424100"/>
    <x v="2"/>
    <n v="-2.8721972051949374"/>
    <n v="90.244749089078795"/>
    <n v="471.09289001464845"/>
    <x v="1310"/>
    <n v="0"/>
    <s v="Microsoft Corp."/>
    <s v="Technology"/>
  </r>
  <r>
    <x v="398"/>
    <n v="412.35369873046881"/>
    <n v="417.93881231579201"/>
    <n v="407.4256323109538"/>
    <n v="409.17783910585314"/>
    <n v="45012400"/>
    <x v="2"/>
    <n v="0.72470017977921408"/>
    <n v="90.898752947968646"/>
    <n v="469.81378662109375"/>
    <x v="1311"/>
    <n v="0"/>
    <s v="Microsoft Corp."/>
    <s v="Technology"/>
  </r>
  <r>
    <x v="399"/>
    <n v="391.92465209960938"/>
    <n v="406.48976353239379"/>
    <n v="390.58063133499547"/>
    <n v="405.6335909812077"/>
    <n v="66289200"/>
    <x v="2"/>
    <n v="-4.9542532766785445"/>
    <n v="86.395398501583969"/>
    <n v="468.25174316406247"/>
    <x v="1312"/>
    <n v="1"/>
    <s v="Microsoft Corp."/>
    <s v="Technology"/>
  </r>
  <r>
    <x v="400"/>
    <n v="399.36154174804688"/>
    <n v="400.00865386637872"/>
    <n v="391.17798428483081"/>
    <n v="397.40027461932362"/>
    <n v="53515300"/>
    <x v="2"/>
    <n v="1.8975304586217767"/>
    <n v="88.034777502999191"/>
    <n v="466.80100341796873"/>
    <x v="1313"/>
    <n v="0"/>
    <s v="Microsoft Corp."/>
    <s v="Technology"/>
  </r>
  <r>
    <x v="401"/>
    <n v="411.76629638671881"/>
    <n v="413.05058563481123"/>
    <n v="399.09272433776027"/>
    <n v="403.0550898097971"/>
    <n v="45480500"/>
    <x v="2"/>
    <n v="3.1061465218646278"/>
    <n v="90.769266682439849"/>
    <n v="465.53882507324221"/>
    <x v="1314"/>
    <n v="0"/>
    <s v="Microsoft Corp."/>
    <s v="Technology"/>
  </r>
  <r>
    <x v="402"/>
    <n v="411.437744140625"/>
    <n v="421.801594739736"/>
    <n v="410.87029434322648"/>
    <n v="417.75959730190846"/>
    <n v="44857900"/>
    <x v="2"/>
    <n v="-7.9790951560843038E-2"/>
    <n v="90.69684102082914"/>
    <n v="464.10062988281248"/>
    <x v="1315"/>
    <n v="0"/>
    <s v="Microsoft Corp."/>
    <s v="Technology"/>
  </r>
  <r>
    <x v="403"/>
    <n v="402.57717895507813"/>
    <n v="414.61357304478975"/>
    <n v="399.23209044580233"/>
    <n v="414.33481566901673"/>
    <n v="42491000"/>
    <x v="2"/>
    <n v="-2.1535615805142183"/>
    <n v="88.743628697864509"/>
    <n v="462.35559997558596"/>
    <x v="1316"/>
    <n v="0"/>
    <s v="Microsoft Corp."/>
    <s v="Technology"/>
  </r>
  <r>
    <x v="404"/>
    <n v="400.05841064453131"/>
    <n v="404.39909607875728"/>
    <n v="396.24540458526855"/>
    <n v="403.20440420966997"/>
    <n v="40802400"/>
    <x v="2"/>
    <n v="-0.6256609768801269"/>
    <n v="88.188394443634564"/>
    <n v="460.66512817382812"/>
    <x v="1317"/>
    <n v="0"/>
    <s v="Microsoft Corp."/>
    <s v="Technology"/>
  </r>
  <r>
    <x v="405"/>
    <n v="399.54074096679688"/>
    <n v="403.7420326637702"/>
    <n v="396.28521918206809"/>
    <n v="402.65686886295305"/>
    <n v="34091600"/>
    <x v="2"/>
    <n v="-0.1293985238056683"/>
    <n v="88.074279963056597"/>
    <n v="458.89939147949218"/>
    <x v="1318"/>
    <n v="0"/>
    <s v="Microsoft Corp."/>
    <s v="Technology"/>
  </r>
  <r>
    <x v="406"/>
    <n v="395.10049438476563"/>
    <n v="398.7442713079252"/>
    <n v="392.78083787972258"/>
    <n v="397.45004705087121"/>
    <n v="32078800"/>
    <x v="2"/>
    <n v="-1.1113376251159934"/>
    <n v="87.095477351777134"/>
    <n v="457.28916198730468"/>
    <x v="1319"/>
    <n v="0"/>
    <s v="Microsoft Corp."/>
    <s v="Technology"/>
  </r>
  <r>
    <x v="407"/>
    <n v="397.82833862304688"/>
    <n v="400.77520665339193"/>
    <n v="394.56288205367122"/>
    <n v="396.36485480304242"/>
    <n v="23223400"/>
    <x v="2"/>
    <n v="0.6904178245914272"/>
    <n v="87.696800051826798"/>
    <n v="455.67156555175779"/>
    <x v="1320"/>
    <n v="0"/>
    <s v="Microsoft Corp."/>
    <s v="Technology"/>
  </r>
  <r>
    <x v="408"/>
    <n v="397.59884643554688"/>
    <n v="403.55594539020558"/>
    <n v="395.81273687855492"/>
    <n v="399.82403795970674"/>
    <n v="28234000"/>
    <x v="2"/>
    <n v="-5.7686234292486649E-2"/>
    <n v="87.646211070281893"/>
    <n v="454.00318481445311"/>
    <x v="1321"/>
    <n v="0"/>
    <s v="Microsoft Corp."/>
    <s v="Technology"/>
  </r>
  <r>
    <x v="409"/>
    <n v="396.37152099609375"/>
    <n v="399.25525931878241"/>
    <n v="394.30598735341567"/>
    <n v="395.2539159508346"/>
    <n v="34015200"/>
    <x v="2"/>
    <n v="-0.30868435621884682"/>
    <n v="87.375660927889371"/>
    <n v="452.15375427246096"/>
    <x v="1322"/>
    <n v="0"/>
    <s v="Microsoft Corp."/>
    <s v="Technology"/>
  </r>
  <r>
    <x v="410"/>
    <n v="383.63906860351563"/>
    <n v="394.50551684604494"/>
    <n v="382.27203437696886"/>
    <n v="394.14630950985264"/>
    <n v="43238300"/>
    <x v="2"/>
    <n v="-3.2122520711329372"/>
    <n v="84.568934450067161"/>
    <n v="450.02976379394534"/>
    <x v="1323"/>
    <n v="0"/>
    <s v="Microsoft Corp."/>
    <s v="Technology"/>
  </r>
  <r>
    <x v="411"/>
    <n v="388.1593017578125"/>
    <n v="388.51850911695271"/>
    <n v="380.8850482189813"/>
    <n v="383.30981969967451"/>
    <n v="33884700"/>
    <x v="2"/>
    <n v="1.178251519260276"/>
    <n v="85.565369205047304"/>
    <n v="448.26418457031252"/>
    <x v="1324"/>
    <n v="0"/>
    <s v="Microsoft Corp."/>
    <s v="Technology"/>
  </r>
  <r>
    <x v="412"/>
    <n v="399.73422241210938"/>
    <n v="400.60233728073831"/>
    <n v="389.31678308531696"/>
    <n v="389.68597856263057"/>
    <n v="43625500"/>
    <x v="2"/>
    <n v="2.9820026473354799"/>
    <n v="88.116930779944198"/>
    <n v="446.63233886718751"/>
    <x v="1325"/>
    <n v="0"/>
    <s v="Microsoft Corp."/>
    <s v="Technology"/>
  </r>
  <r>
    <x v="413"/>
    <n v="400.851806640625"/>
    <n v="406.60932559262812"/>
    <n v="397.8782360341113"/>
    <n v="403.83533492810147"/>
    <n v="34405900"/>
    <x v="2"/>
    <n v="0.27958182358562844"/>
    <n v="88.363289701906439"/>
    <n v="445.12120666503904"/>
    <x v="1326"/>
    <n v="0"/>
    <s v="Microsoft Corp."/>
    <s v="Technology"/>
  </r>
  <r>
    <x v="414"/>
    <n v="391.89120483398438"/>
    <n v="395.96240423521652"/>
    <n v="389.0374004516944"/>
    <n v="390.03523926255787"/>
    <n v="51367200"/>
    <x v="2"/>
    <n v="-2.2353901512221608"/>
    <n v="86.388025426614121"/>
    <n v="443.50473327636718"/>
    <x v="1327"/>
    <n v="0"/>
    <s v="Microsoft Corp."/>
    <s v="Technology"/>
  </r>
  <r>
    <x v="415"/>
    <n v="397.68862915039063"/>
    <n v="400.32293811697241"/>
    <n v="389.78576315389057"/>
    <n v="392.01092411942051"/>
    <n v="35474900"/>
    <x v="2"/>
    <n v="1.4793453501622311"/>
    <n v="87.6660026638597"/>
    <n v="441.97294738769529"/>
    <x v="1328"/>
    <n v="0"/>
    <s v="Microsoft Corp."/>
    <s v="Technology"/>
  </r>
  <r>
    <x v="416"/>
    <n v="403.0570068359375"/>
    <n v="405.82103971635513"/>
    <n v="391.82136299902311"/>
    <n v="392.29034843872989"/>
    <n v="38199200"/>
    <x v="2"/>
    <n v="1.3498946894749508"/>
    <n v="88.849401378294118"/>
    <n v="440.55390563964846"/>
    <x v="1329"/>
    <n v="0"/>
    <s v="Microsoft Corp."/>
    <s v="Technology"/>
  </r>
  <r>
    <x v="417"/>
    <n v="404.32427978515625"/>
    <n v="410.14166638677375"/>
    <n v="399.44483360720761"/>
    <n v="400.40275029521609"/>
    <n v="35808000"/>
    <x v="2"/>
    <n v="0.31441531290252733"/>
    <n v="89.128757501649687"/>
    <n v="439.00370605468748"/>
    <x v="1330"/>
    <n v="0"/>
    <s v="Microsoft Corp."/>
    <s v="Technology"/>
  </r>
  <r>
    <x v="418"/>
    <n v="409.79241943359375"/>
    <n v="410.72040218284047"/>
    <n v="403.52599316568501"/>
    <n v="403.54596943015656"/>
    <n v="39001300"/>
    <x v="2"/>
    <n v="1.3524143668401711"/>
    <n v="90.334147623088128"/>
    <n v="437.52424133300781"/>
    <x v="1331"/>
    <n v="0"/>
    <s v="Microsoft Corp."/>
    <s v="Technology"/>
  </r>
  <r>
    <x v="419"/>
    <n v="408.07614135742188"/>
    <n v="412.15729833758019"/>
    <n v="407.62713217473828"/>
    <n v="408.3156433731429"/>
    <n v="31123900"/>
    <x v="2"/>
    <n v="-0.41881645310669624"/>
    <n v="89.955813350068965"/>
    <n v="436.03036193847657"/>
    <x v="1332"/>
    <n v="0"/>
    <s v="Microsoft Corp."/>
    <s v="Technology"/>
  </r>
  <r>
    <x v="420"/>
    <n v="408.07614135742188"/>
    <n v="409.32343584223219"/>
    <n v="402.62794618065146"/>
    <n v="404.04489064151301"/>
    <n v="30131900"/>
    <x v="2"/>
    <n v="0"/>
    <n v="89.955813350068965"/>
    <n v="434.49805358886721"/>
    <x v="1333"/>
    <n v="0"/>
    <s v="Microsoft Corp."/>
    <s v="Technology"/>
  </r>
  <r>
    <x v="421"/>
    <n v="404.88308715820313"/>
    <n v="409.31349393117438"/>
    <n v="402.05918625996463"/>
    <n v="409.14384793397721"/>
    <n v="31706400"/>
    <x v="2"/>
    <n v="-0.78246529890166894"/>
    <n v="89.251940326259913"/>
    <n v="432.87858886718749"/>
    <x v="1334"/>
    <n v="0"/>
    <s v="Microsoft Corp."/>
    <s v="Technology"/>
  </r>
  <r>
    <x v="422"/>
    <n v="404.00497436523438"/>
    <n v="408.12605344221151"/>
    <n v="400.7220762180728"/>
    <n v="404.69348556680131"/>
    <n v="25512100"/>
    <x v="2"/>
    <n v="-0.21688058128880305"/>
    <n v="89.058370199268793"/>
    <n v="431.24773376464844"/>
    <x v="1335"/>
    <n v="0"/>
    <s v="Microsoft Corp."/>
    <s v="Technology"/>
  </r>
  <r>
    <x v="423"/>
    <n v="400.99148559570313"/>
    <n v="405.24228862869421"/>
    <n v="400.8418158660113"/>
    <n v="403.7555185610488"/>
    <n v="27263900"/>
    <x v="2"/>
    <n v="-0.74590387761090948"/>
    <n v="88.394080362615355"/>
    <n v="429.56875488281253"/>
    <x v="1336"/>
    <n v="0"/>
    <s v="Microsoft Corp."/>
    <s v="Technology"/>
  </r>
  <r>
    <x v="424"/>
    <n v="394.69512939453131"/>
    <n v="403.92513839357161"/>
    <n v="393.3979511212616"/>
    <n v="400.1333630935344"/>
    <n v="26848000"/>
    <x v="2"/>
    <n v="-1.5701969810700822"/>
    <n v="87.006119181316905"/>
    <n v="427.75628234863279"/>
    <x v="1337"/>
    <n v="0"/>
    <s v="Microsoft Corp."/>
    <s v="Technology"/>
  </r>
  <r>
    <x v="425"/>
    <n v="399.08563232421881"/>
    <n v="399.76415538636962"/>
    <n v="393.93678056415871"/>
    <n v="397.20969054517099"/>
    <n v="27733700"/>
    <x v="2"/>
    <n v="1.1123782896491852"/>
    <n v="87.973956361756166"/>
    <n v="426.10847778320311"/>
    <x v="1338"/>
    <n v="0"/>
    <s v="Microsoft Corp."/>
    <s v="Technology"/>
  </r>
  <r>
    <x v="426"/>
    <n v="398.54678344726563"/>
    <n v="403.52598912341051"/>
    <n v="396.8903674487218"/>
    <n v="399.40491016551118"/>
    <n v="26228300"/>
    <x v="2"/>
    <n v="-0.13502086602692476"/>
    <n v="87.855173163998373"/>
    <n v="424.66254943847656"/>
    <x v="1339"/>
    <n v="0"/>
    <s v="Microsoft Corp."/>
    <s v="Technology"/>
  </r>
  <r>
    <x v="427"/>
    <n v="390.94326782226563"/>
    <n v="397.13983817793417"/>
    <n v="390.1549666521916"/>
    <n v="396.27172330342302"/>
    <n v="25908500"/>
    <x v="2"/>
    <n v="-1.9078100591435554"/>
    <n v="86.179063332897627"/>
    <n v="423.0663427734375"/>
    <x v="1340"/>
    <n v="0"/>
    <s v="Microsoft Corp."/>
    <s v="Technology"/>
  </r>
  <r>
    <x v="428"/>
    <n v="388.17922973632813"/>
    <n v="391.64173150764282"/>
    <n v="386.22347426152328"/>
    <n v="389.2569126674818"/>
    <n v="25138800"/>
    <x v="2"/>
    <n v="-0.70701769628479516"/>
    <n v="85.569762104641555"/>
    <n v="421.30215698242188"/>
    <x v="1341"/>
    <n v="0"/>
    <s v="Microsoft Corp."/>
    <s v="Technology"/>
  </r>
  <r>
    <x v="429"/>
    <n v="381.04470825195313"/>
    <n v="386.16362631018529"/>
    <n v="379.2984903035221"/>
    <n v="385.95408868282834"/>
    <n v="50853200"/>
    <x v="2"/>
    <n v="-1.8379451907360234"/>
    <n v="83.997036777315031"/>
    <n v="419.29652099609376"/>
    <x v="1342"/>
    <n v="0"/>
    <s v="Microsoft Corp."/>
    <s v="Technology"/>
  </r>
  <r>
    <x v="430"/>
    <n v="382.17227172851563"/>
    <n v="386.37316467458572"/>
    <n v="380.85511716508233"/>
    <n v="383.07032058481127"/>
    <n v="29680100"/>
    <x v="2"/>
    <n v="0.2959136952026542"/>
    <n v="84.245595512703517"/>
    <n v="417.4201611328125"/>
    <x v="1343"/>
    <n v="0"/>
    <s v="Microsoft Corp."/>
    <s v="Technology"/>
  </r>
  <r>
    <x v="431"/>
    <n v="371.93441772460938"/>
    <n v="381.6434000325674"/>
    <n v="371.04635704379217"/>
    <n v="381.53362193174286"/>
    <n v="42733600"/>
    <x v="2"/>
    <n v="-2.6788584000617788"/>
    <n v="81.988775300629385"/>
    <n v="415.31574768066406"/>
    <x v="1344"/>
    <n v="0"/>
    <s v="Microsoft Corp."/>
    <s v="Technology"/>
  </r>
  <r>
    <x v="432"/>
    <n v="370.23812866210938"/>
    <n v="376.24510746671041"/>
    <n v="368.83117225513502"/>
    <n v="376.10542586510894"/>
    <n v="31181200"/>
    <x v="2"/>
    <n v="-0.45607208735276572"/>
    <n v="81.61484738172085"/>
    <n v="413.21922241210939"/>
    <x v="1345"/>
    <n v="0"/>
    <s v="Microsoft Corp."/>
    <s v="Technology"/>
  </r>
  <r>
    <x v="433"/>
    <n v="365.1790771484375"/>
    <n v="373.91016689456632"/>
    <n v="364.40076408056188"/>
    <n v="370.01860155518807"/>
    <n v="36836600"/>
    <x v="2"/>
    <n v="-1.366431796733969"/>
    <n v="80.49963615624111"/>
    <n v="411.15113830566406"/>
    <x v="1346"/>
    <n v="0"/>
    <s v="Microsoft Corp."/>
    <s v="Technology"/>
  </r>
  <r>
    <x v="434"/>
    <n v="355.99893188476563"/>
    <n v="361.66667931920341"/>
    <n v="355.73951450811694"/>
    <n v="361.11784971721511"/>
    <n v="37883400"/>
    <x v="2"/>
    <n v="-2.5138749282561879"/>
    <n v="78.475975985571907"/>
    <n v="409.12424987792969"/>
    <x v="1347"/>
    <n v="0"/>
    <s v="Microsoft Corp."/>
    <s v="Technology"/>
  </r>
  <r>
    <x v="435"/>
    <n v="358.1842041015625"/>
    <n v="364.5703662773937"/>
    <n v="355.51000344849933"/>
    <n v="361.11785258495769"/>
    <n v="44797000"/>
    <x v="2"/>
    <n v="0.61384235206194404"/>
    <n v="78.957694762365321"/>
    <n v="407.19522583007813"/>
    <x v="1348"/>
    <n v="0"/>
    <s v="Microsoft Corp."/>
    <s v="Technology"/>
  </r>
  <r>
    <x v="436"/>
    <n v="369.3699951171875"/>
    <n v="372.0940755014272"/>
    <n v="362.28533367877645"/>
    <n v="363.76211558624033"/>
    <n v="45244400"/>
    <x v="2"/>
    <n v="3.1229157756083703"/>
    <n v="81.423477068155933"/>
    <n v="405.42620178222654"/>
    <x v="1349"/>
    <n v="0"/>
    <s v="Microsoft Corp."/>
    <s v="Technology"/>
  </r>
  <r>
    <x v="437"/>
    <n v="368.57171630859375"/>
    <n v="373.18172673767282"/>
    <n v="367.40426195402119"/>
    <n v="372.682807332766"/>
    <n v="29417200"/>
    <x v="2"/>
    <n v="-0.21611901863888283"/>
    <n v="81.247505448574586"/>
    <n v="403.74753906249998"/>
    <x v="1350"/>
    <n v="0"/>
    <s v="Microsoft Corp."/>
    <s v="Technology"/>
  </r>
  <r>
    <x v="438"/>
    <n v="372.65286254882813"/>
    <n v="372.83249667260446"/>
    <n v="363.36298593576691"/>
    <n v="366.41637016886642"/>
    <n v="24099100"/>
    <x v="2"/>
    <n v="1.1072868751592857"/>
    <n v="82.147148412800973"/>
    <n v="402.35777648925779"/>
    <x v="1351"/>
    <n v="0"/>
    <s v="Microsoft Corp."/>
    <s v="Technology"/>
  </r>
  <r>
    <x v="439"/>
    <n v="372.07412719726563"/>
    <n v="372.92229624611912"/>
    <n v="368.70142726638522"/>
    <n v="372.68279423307803"/>
    <n v="16146600"/>
    <x v="2"/>
    <n v="-0.15530146410365209"/>
    <n v="82.019572688596497"/>
    <n v="400.8164617919922"/>
    <x v="1352"/>
    <n v="0"/>
    <s v="Microsoft Corp."/>
    <s v="Technology"/>
  </r>
  <r>
    <x v="440"/>
    <n v="371.48541259765625"/>
    <n v="371.64507045865599"/>
    <n v="365.76778535387177"/>
    <n v="369.5396147715723"/>
    <n v="21443300"/>
    <x v="2"/>
    <n v="-0.15822508381434508"/>
    <n v="81.889797150965791"/>
    <n v="398.96848632812498"/>
    <x v="1353"/>
    <n v="0"/>
    <s v="Microsoft Corp."/>
    <s v="Technology"/>
  </r>
  <r>
    <x v="441"/>
    <n v="373.52099609375"/>
    <n v="384.167949815935"/>
    <n v="370.60732376104278"/>
    <n v="384.14800400190597"/>
    <n v="33064800"/>
    <x v="2"/>
    <n v="0.54795785435011179"/>
    <n v="82.338518726365891"/>
    <n v="397.0750067138672"/>
    <x v="1354"/>
    <n v="0"/>
    <s v="Microsoft Corp."/>
    <s v="Technology"/>
  </r>
  <r>
    <x v="442"/>
    <n v="372.26373291015625"/>
    <n v="372.69279629093683"/>
    <n v="366.25672377273293"/>
    <n v="371.6949574789129"/>
    <n v="30435300"/>
    <x v="2"/>
    <n v="-0.33659772723410031"/>
    <n v="82.061369143694705"/>
    <n v="394.95129455566405"/>
    <x v="1355"/>
    <n v="0"/>
    <s v="Microsoft Corp."/>
    <s v="Technology"/>
  </r>
  <r>
    <x v="443"/>
    <n v="370.0684814453125"/>
    <n v="374.82819214619138"/>
    <n v="369.23030048358606"/>
    <n v="372.17393720824543"/>
    <n v="28111100"/>
    <x v="2"/>
    <n v="-0.58970328580828513"/>
    <n v="81.577450553475074"/>
    <n v="392.76277099609376"/>
    <x v="1356"/>
    <n v="0"/>
    <s v="Microsoft Corp."/>
    <s v="Technology"/>
  </r>
  <r>
    <x v="444"/>
    <n v="383.539306640625"/>
    <n v="383.70895264062807"/>
    <n v="370.21815215501169"/>
    <n v="372.80255107338581"/>
    <n v="35745800"/>
    <x v="2"/>
    <n v="3.6400898403186943"/>
    <n v="84.546943043063123"/>
    <n v="391.8019958496094"/>
    <x v="1357"/>
    <n v="0"/>
    <s v="Microsoft Corp."/>
    <s v="Technology"/>
  </r>
  <r>
    <x v="445"/>
    <n v="392.26040649414063"/>
    <n v="393.83700889302281"/>
    <n v="385.68465228127297"/>
    <n v="387.08165099976333"/>
    <n v="37504500"/>
    <x v="2"/>
    <n v="2.2738477393367207"/>
    <n v="86.469411796126138"/>
    <n v="391.07955810546878"/>
    <x v="1358"/>
    <n v="0"/>
    <s v="Microsoft Corp."/>
    <s v="Technology"/>
  </r>
  <r>
    <x v="446"/>
    <n v="410.33126831054688"/>
    <n v="413.47445440771634"/>
    <n v="395.87259399259352"/>
    <n v="397.13983829290362"/>
    <n v="45063400"/>
    <x v="2"/>
    <n v="4.6068533854630056"/>
    <n v="90.452930820845907"/>
    <n v="390.85632385253905"/>
    <x v="1359"/>
    <n v="0"/>
    <s v="Microsoft Corp."/>
    <s v="Technology"/>
  </r>
  <r>
    <x v="447"/>
    <n v="419.35174560546881"/>
    <n v="419.91053289970131"/>
    <n v="411.24929938747272"/>
    <n v="418.95258572248241"/>
    <n v="41642400"/>
    <x v="2"/>
    <n v="2.1983402171766864"/>
    <n v="92.441393976695579"/>
    <n v="391.05562133789061"/>
    <x v="1360"/>
    <n v="0"/>
    <s v="Microsoft Corp."/>
    <s v="Technology"/>
  </r>
  <r>
    <x v="448"/>
    <n v="421.87628173828131"/>
    <n v="430.64726300980999"/>
    <n v="419.78081413338697"/>
    <n v="423.90189331763349"/>
    <n v="48568200"/>
    <x v="2"/>
    <n v="0.60200921047020017"/>
    <n v="92.997899682722334"/>
    <n v="391.24607299804688"/>
    <x v="1361"/>
    <n v="0"/>
    <s v="Microsoft Corp."/>
    <s v="Technology"/>
  </r>
  <r>
    <x v="449"/>
    <n v="417.16647338867188"/>
    <n v="422.41508475653688"/>
    <n v="415.40027922801778"/>
    <n v="420.23980348632722"/>
    <n v="27582200"/>
    <x v="2"/>
    <n v="-1.1163956243767315"/>
    <n v="91.959675199902165"/>
    <n v="391.75090942382815"/>
    <x v="1362"/>
    <n v="0"/>
    <s v="Microsoft Corp."/>
    <s v="Technology"/>
  </r>
  <r>
    <x v="450"/>
    <n v="423.24331665039063"/>
    <n v="426.25677891783363"/>
    <n v="416.2983670043314"/>
    <n v="419.33177508554746"/>
    <n v="32048500"/>
    <x v="2"/>
    <n v="1.4566950244961241"/>
    <n v="93.299247213081941"/>
    <n v="392.22854492187503"/>
    <x v="1363"/>
    <n v="0"/>
    <s v="Microsoft Corp."/>
    <s v="Technology"/>
  </r>
  <r>
    <x v="451"/>
    <n v="431.984375"/>
    <n v="432.76268802486447"/>
    <n v="422.75436634987551"/>
    <n v="425.26890909521711"/>
    <n v="29378200"/>
    <x v="2"/>
    <n v="2.0652560845584977"/>
    <n v="95.226115592997388"/>
    <n v="392.63290649414063"/>
    <x v="1364"/>
    <n v="0"/>
    <s v="Microsoft Corp."/>
    <s v="Technology"/>
  </r>
  <r>
    <x v="452"/>
    <n v="414.85147094726563"/>
    <n v="422.74437931629592"/>
    <n v="410.52085431544441"/>
    <n v="418.98253809494457"/>
    <n v="38308000"/>
    <x v="2"/>
    <n v="-3.9660934617680055"/>
    <n v="91.449358848567869"/>
    <n v="392.70118103027346"/>
    <x v="1365"/>
    <n v="0"/>
    <s v="Microsoft Corp."/>
    <s v="Technology"/>
  </r>
  <r>
    <x v="453"/>
    <n v="423.70230102539063"/>
    <n v="424.03160487813528"/>
    <n v="414.9013556123021"/>
    <n v="416.0688403922519"/>
    <n v="27457400"/>
    <x v="2"/>
    <n v="2.1334937195510273"/>
    <n v="93.400425176171751"/>
    <n v="393.12368347167967"/>
    <x v="1366"/>
    <n v="0"/>
    <s v="Microsoft Corp."/>
    <s v="Technology"/>
  </r>
  <r>
    <x v="454"/>
    <n v="423.90188598632813"/>
    <n v="426.18691491133688"/>
    <n v="416.16863529249542"/>
    <n v="421.46715688014001"/>
    <n v="30867300"/>
    <x v="2"/>
    <n v="4.7104998121194619E-2"/>
    <n v="93.444421444696189"/>
    <n v="393.60055297851562"/>
    <x v="1367"/>
    <n v="0"/>
    <s v="Microsoft Corp."/>
    <s v="Technology"/>
  </r>
  <r>
    <x v="455"/>
    <n v="428.32229614257813"/>
    <n v="428.99086152362304"/>
    <n v="420.98817502220589"/>
    <n v="423.65241796244749"/>
    <n v="30438100"/>
    <x v="2"/>
    <n v="1.0427908679775388"/>
    <n v="94.418851338155932"/>
    <n v="394.17618408203123"/>
    <x v="1368"/>
    <n v="0"/>
    <s v="Microsoft Corp."/>
    <s v="Technology"/>
  </r>
  <r>
    <x v="456"/>
    <n v="423.54263305664063"/>
    <n v="425.89754837349932"/>
    <n v="419.38166246548025"/>
    <n v="423.66236883600891"/>
    <n v="38288300"/>
    <x v="2"/>
    <n v="-1.1159034047451222"/>
    <n v="93.365228161352206"/>
    <n v="394.74502685546872"/>
    <x v="1369"/>
    <n v="0"/>
    <s v="Microsoft Corp."/>
    <s v="Technology"/>
  </r>
  <r>
    <x v="457"/>
    <n v="406.89871215820313"/>
    <n v="413.52437652930712"/>
    <n v="397.14983786480138"/>
    <n v="409.92216255995794"/>
    <n v="70909400"/>
    <x v="2"/>
    <n v="-3.9296919836194433"/>
    <n v="89.696262274807566"/>
    <n v="394.92643432617189"/>
    <x v="1370"/>
    <n v="1"/>
    <s v="Microsoft Corp."/>
    <s v="Technology"/>
  </r>
  <r>
    <x v="458"/>
    <n v="413.5443115234375"/>
    <n v="416.20852404601129"/>
    <n v="409.5529563541748"/>
    <n v="411.90784128726062"/>
    <n v="31372400"/>
    <x v="2"/>
    <n v="1.633231850252348"/>
    <n v="91.161210198765588"/>
    <n v="395.24534362792969"/>
    <x v="1371"/>
    <n v="0"/>
    <s v="Microsoft Corp."/>
    <s v="Technology"/>
  </r>
  <r>
    <x v="459"/>
    <n v="412.72607421875"/>
    <n v="419.87060358807366"/>
    <n v="409.91216153093808"/>
    <n v="410.65058294044348"/>
    <n v="28066500"/>
    <x v="2"/>
    <n v="-0.19785964451384253"/>
    <n v="90.980838952331794"/>
    <n v="395.57243469238279"/>
    <x v="1372"/>
    <n v="0"/>
    <s v="Microsoft Corp."/>
    <s v="Technology"/>
  </r>
  <r>
    <x v="460"/>
    <n v="410.49093627929688"/>
    <n v="415.87925978593353"/>
    <n v="407.91649508561699"/>
    <n v="414.42242364358015"/>
    <n v="25700900"/>
    <x v="2"/>
    <n v="-0.5415548178495877"/>
    <n v="90.488127835665466"/>
    <n v="396.10947204589843"/>
    <x v="1373"/>
    <n v="0"/>
    <s v="Microsoft Corp."/>
    <s v="Technology"/>
  </r>
  <r>
    <x v="461"/>
    <n v="413.06533813476563"/>
    <n v="417.51572107575487"/>
    <n v="404.23445872829495"/>
    <n v="407.11822745622243"/>
    <n v="30285900"/>
    <x v="2"/>
    <n v="0.62715193636264654"/>
    <n v="91.055625881565135"/>
    <n v="396.60759277343749"/>
    <x v="1374"/>
    <n v="0"/>
    <s v="Microsoft Corp."/>
    <s v="Technology"/>
  </r>
  <r>
    <x v="462"/>
    <n v="419.86062622070313"/>
    <n v="427.05506598481406"/>
    <n v="417.85499091445467"/>
    <n v="419.2020489501835"/>
    <n v="34942400"/>
    <x v="2"/>
    <n v="1.6450879458010714"/>
    <n v="92.553571006916485"/>
    <n v="397.01012084960939"/>
    <x v="1375"/>
    <n v="0"/>
    <s v="Microsoft Corp."/>
    <s v="Technology"/>
  </r>
  <r>
    <x v="463"/>
    <n v="414.22283935546881"/>
    <n v="417.72526330127789"/>
    <n v="413.10526476748799"/>
    <n v="416.48795292910256"/>
    <n v="33383800"/>
    <x v="2"/>
    <n v="-1.3427757958591635"/>
    <n v="91.310784057232297"/>
    <n v="397.27754150390626"/>
    <x v="1376"/>
    <n v="0"/>
    <s v="Microsoft Corp."/>
    <s v="Technology"/>
  </r>
  <r>
    <x v="464"/>
    <n v="411.76815795898438"/>
    <n v="411.79809190456297"/>
    <n v="404.62362858186441"/>
    <n v="406.98850163744447"/>
    <n v="21697800"/>
    <x v="2"/>
    <n v="-0.59259923965175876"/>
    <n v="90.769677045189084"/>
    <n v="397.67508056640622"/>
    <x v="1377"/>
    <n v="0"/>
    <s v="Microsoft Corp."/>
    <s v="Technology"/>
  </r>
  <r>
    <x v="465"/>
    <n v="406.88870239257813"/>
    <n v="414.60200701147681"/>
    <n v="405.76117016707218"/>
    <n v="413.58422243338288"/>
    <n v="38594200"/>
    <x v="2"/>
    <n v="-1.185000702966521"/>
    <n v="89.69405573412314"/>
    <n v="397.85908203125001"/>
    <x v="1378"/>
    <n v="0"/>
    <s v="Microsoft Corp."/>
    <s v="Technology"/>
  </r>
  <r>
    <x v="466"/>
    <n v="404.33425903320313"/>
    <n v="405.43188782364791"/>
    <n v="400.16330008113692"/>
    <n v="402.32862371554279"/>
    <n v="29667100"/>
    <x v="2"/>
    <n v="-0.62779903800582737"/>
    <n v="89.130957315075904"/>
    <n v="397.88462707519534"/>
    <x v="1379"/>
    <n v="0"/>
    <s v="Microsoft Corp."/>
    <s v="Technology"/>
  </r>
  <r>
    <x v="467"/>
    <n v="408.54513549804688"/>
    <n v="410.94993067744383"/>
    <n v="400.01362587766801"/>
    <n v="403.6058516736889"/>
    <n v="27077500"/>
    <x v="2"/>
    <n v="1.0414344989990054"/>
    <n v="90.059197853843187"/>
    <n v="397.96904418945314"/>
    <x v="1380"/>
    <n v="0"/>
    <s v="Microsoft Corp."/>
    <s v="Technology"/>
  </r>
  <r>
    <x v="468"/>
    <n v="421.00814819335938"/>
    <n v="427.24464052002446"/>
    <n v="412.01761111071977"/>
    <n v="413.3746572242232"/>
    <n v="50771200"/>
    <x v="2"/>
    <n v="3.0505840389261074"/>
    <n v="92.806529369157417"/>
    <n v="398.19335876464845"/>
    <x v="1381"/>
    <n v="0"/>
    <s v="Microsoft Corp."/>
    <s v="Technology"/>
  </r>
  <r>
    <x v="469"/>
    <n v="422.62466430664063"/>
    <n v="424.20123625082789"/>
    <n v="414.71177928415773"/>
    <n v="415.71960624154531"/>
    <n v="32564100"/>
    <x v="2"/>
    <n v="0.38396314185795699"/>
    <n v="93.162872235172571"/>
    <n v="398.48432922363281"/>
    <x v="1382"/>
    <n v="0"/>
    <s v="Microsoft Corp."/>
    <s v="Technology"/>
  </r>
  <r>
    <x v="470"/>
    <n v="416.51788330078131"/>
    <n v="431.76485887372678"/>
    <n v="415.58987007798993"/>
    <n v="428.9708919761278"/>
    <n v="33018700"/>
    <x v="2"/>
    <n v="-1.4449655975185771"/>
    <n v="91.816700781714147"/>
    <n v="398.65316406250003"/>
    <x v="1383"/>
    <n v="0"/>
    <s v="Microsoft Corp."/>
    <s v="Technology"/>
  </r>
  <r>
    <x v="471"/>
    <n v="420.14999389648438"/>
    <n v="421.18775475321456"/>
    <n v="410.41107766783853"/>
    <n v="413.27490054325131"/>
    <n v="27864000"/>
    <x v="2"/>
    <n v="0.87201792319688831"/>
    <n v="92.617358869018744"/>
    <n v="398.9585021972656"/>
    <x v="1384"/>
    <n v="0"/>
    <s v="Microsoft Corp."/>
    <s v="Technology"/>
  </r>
  <r>
    <x v="472"/>
    <n v="419.08999633789063"/>
    <n v="426.33999633789063"/>
    <n v="415.70999145507813"/>
    <n v="424.75"/>
    <n v="31393500"/>
    <x v="2"/>
    <n v="-0.25229027109182622"/>
    <n v="92.383694283249994"/>
    <n v="399.26020263671876"/>
    <x v="1385"/>
    <n v="0"/>
    <s v="Microsoft Corp."/>
    <s v="Technology"/>
  </r>
  <r>
    <x v="473"/>
    <n v="418.57000732421881"/>
    <n v="424.39999389648438"/>
    <n v="416.32998657226563"/>
    <n v="419.54000854492188"/>
    <n v="22390300"/>
    <x v="2"/>
    <n v="-0.1240757398686676"/>
    <n v="92.269068531050053"/>
    <n v="399.61177307128906"/>
    <x v="1386"/>
    <n v="0"/>
    <s v="Microsoft Corp."/>
    <s v="Technology"/>
  </r>
  <r>
    <x v="474"/>
    <n v="416.02999877929688"/>
    <n v="419.76998901367188"/>
    <n v="413.01998901367188"/>
    <n v="416.42999267578131"/>
    <n v="30398000"/>
    <x v="2"/>
    <n v="-0.60683004048937006"/>
    <n v="91.709152105123906"/>
    <n v="400.03847045898436"/>
    <x v="1387"/>
    <n v="0"/>
    <s v="Microsoft Corp."/>
    <s v="Technology"/>
  </r>
  <r>
    <x v="475"/>
    <n v="412.67001342773438"/>
    <n v="415.94000244140631"/>
    <n v="409.57998657226563"/>
    <n v="411.010009765625"/>
    <n v="28901500"/>
    <x v="2"/>
    <n v="-0.80763054621572072"/>
    <n v="90.968480979047484"/>
    <n v="400.31015808105468"/>
    <x v="1388"/>
    <n v="0"/>
    <s v="Microsoft Corp."/>
    <s v="Technology"/>
  </r>
  <r>
    <x v="476"/>
    <n v="426.989990234375"/>
    <n v="429.489990234375"/>
    <n v="412.67001342773438"/>
    <n v="412.98001098632813"/>
    <n v="47250500"/>
    <x v="2"/>
    <n v="3.4700793226276616"/>
    <n v="94.125159427609901"/>
    <n v="400.8790222167969"/>
    <x v="1389"/>
    <n v="0"/>
    <s v="Microsoft Corp."/>
    <s v="Technology"/>
  </r>
  <r>
    <x v="477"/>
    <n v="450.239990234375"/>
    <n v="450.32998657226563"/>
    <n v="432.3599853515625"/>
    <n v="432.54998779296881"/>
    <n v="79654400"/>
    <x v="2"/>
    <n v="5.4450925154564178"/>
    <n v="99.250361438764088"/>
    <n v="402.06495666503906"/>
    <x v="1390"/>
    <n v="1"/>
    <s v="Microsoft Corp."/>
    <s v="Technology"/>
  </r>
  <r>
    <x v="478"/>
    <n v="460.51998901367188"/>
    <n v="466.32000732421881"/>
    <n v="458.26998901367188"/>
    <n v="464.83999633789063"/>
    <n v="53628900"/>
    <x v="2"/>
    <n v="2.2832265019252507"/>
    <n v="101.51647199439053"/>
    <n v="403.51177185058594"/>
    <x v="1391"/>
    <n v="0"/>
    <s v="Microsoft Corp."/>
    <s v="Technology"/>
  </r>
  <r>
    <x v="479"/>
    <n v="441.30999755859375"/>
    <n v="453.5"/>
    <n v="440.42999267578131"/>
    <n v="446.8800048828125"/>
    <n v="37036800"/>
    <x v="2"/>
    <n v="-4.1713697371142384"/>
    <n v="97.281844603430486"/>
    <n v="404.71707763671873"/>
    <x v="1392"/>
    <n v="0"/>
    <s v="Microsoft Corp."/>
    <s v="Technology"/>
  </r>
  <r>
    <x v="480"/>
    <n v="427.33999633789063"/>
    <n v="440.3900146484375"/>
    <n v="424.25"/>
    <n v="438.45001220703131"/>
    <n v="39037000"/>
    <x v="2"/>
    <n v="-3.1655755133551677"/>
    <n v="94.20231435172407"/>
    <n v="405.62043212890626"/>
    <x v="1393"/>
    <n v="0"/>
    <s v="Microsoft Corp."/>
    <s v="Technology"/>
  </r>
  <r>
    <x v="481"/>
    <n v="428.04998779296881"/>
    <n v="436.14999389648438"/>
    <n v="426.41000366210938"/>
    <n v="435.80999755859375"/>
    <n v="26899500"/>
    <x v="2"/>
    <n v="0.16614205577818453"/>
    <n v="94.358824013378651"/>
    <n v="406.74274353027346"/>
    <x v="1394"/>
    <n v="0"/>
    <s v="Microsoft Corp."/>
    <s v="Technology"/>
  </r>
  <r>
    <x v="482"/>
    <n v="416.67001342773438"/>
    <n v="429.47000122070313"/>
    <n v="414.39999389648438"/>
    <n v="428.33999633789063"/>
    <n v="34782200"/>
    <x v="2"/>
    <n v="-2.6585620113925734"/>
    <n v="91.85023616376219"/>
    <n v="407.67138122558595"/>
    <x v="1395"/>
    <n v="0"/>
    <s v="Microsoft Corp."/>
    <s v="Technology"/>
  </r>
  <r>
    <x v="483"/>
    <n v="411.739990234375"/>
    <n v="417.16000366210938"/>
    <n v="408.55999755859375"/>
    <n v="414.1400146484375"/>
    <n v="32086700"/>
    <x v="2"/>
    <n v="-1.1831960627074034"/>
    <n v="90.763467785885098"/>
    <n v="408.6025994873047"/>
    <x v="1396"/>
    <n v="0"/>
    <s v="Microsoft Corp."/>
    <s v="Technology"/>
  </r>
  <r>
    <x v="484"/>
    <n v="403.41000366210938"/>
    <n v="411.98001098632813"/>
    <n v="398.48001098632813"/>
    <n v="409.02999877929688"/>
    <n v="35317300"/>
    <x v="2"/>
    <n v="-2.0231181740505533"/>
    <n v="88.927215573710328"/>
    <n v="409.55082092285159"/>
    <x v="1397"/>
    <n v="0"/>
    <s v="Microsoft Corp."/>
    <s v="Technology"/>
  </r>
  <r>
    <x v="485"/>
    <n v="397.3599853515625"/>
    <n v="405.04000854492188"/>
    <n v="397.16000366210938"/>
    <n v="398.54998779296881"/>
    <n v="32576000"/>
    <x v="2"/>
    <n v="-1.4997194555478321"/>
    <n v="87.593556820474433"/>
    <n v="410.33433654785154"/>
    <x v="1398"/>
    <n v="0"/>
    <s v="Microsoft Corp."/>
    <s v="Technology"/>
  </r>
  <r>
    <x v="486"/>
    <n v="390.33999633789063"/>
    <n v="396.85000610351563"/>
    <n v="384"/>
    <n v="395.20999145507813"/>
    <n v="47224100"/>
    <x v="2"/>
    <n v="-1.7666572560045224"/>
    <n v="86.046078893113091"/>
    <n v="410.75373657226561"/>
    <x v="1399"/>
    <n v="0"/>
    <s v="Microsoft Corp."/>
    <s v="Technology"/>
  </r>
  <r>
    <x v="487"/>
    <n v="390.739990234375"/>
    <n v="391.739990234375"/>
    <n v="382.26998901367188"/>
    <n v="391.42999267578131"/>
    <n v="34865800"/>
    <x v="2"/>
    <n v="0.10247320290952544"/>
    <n v="86.134253066132914"/>
    <n v="411.19710205078127"/>
    <x v="1400"/>
    <n v="0"/>
    <s v="Microsoft Corp."/>
    <s v="Technology"/>
  </r>
  <r>
    <x v="488"/>
    <n v="399.760009765625"/>
    <n v="401.75"/>
    <n v="392.85000610351563"/>
    <n v="396.79998779296881"/>
    <n v="32266400"/>
    <x v="2"/>
    <n v="2.3084454513702557"/>
    <n v="88.122615313109804"/>
    <n v="411.73924499511719"/>
    <x v="1401"/>
    <n v="0"/>
    <s v="Microsoft Corp."/>
    <s v="Technology"/>
  </r>
  <r>
    <x v="489"/>
    <n v="393.82998657226563"/>
    <n v="396.83999633789063"/>
    <n v="390.69000244140631"/>
    <n v="395.79000854492188"/>
    <n v="31506800"/>
    <x v="2"/>
    <n v="-1.4833957996038927"/>
    <n v="86.815408139054043"/>
    <n v="412.17436218261719"/>
    <x v="1402"/>
    <n v="0"/>
    <s v="Microsoft Corp."/>
    <s v="Technology"/>
  </r>
  <r>
    <x v="490"/>
    <n v="378.91000366210938"/>
    <n v="390.3699951171875"/>
    <n v="377.32000732421881"/>
    <n v="390.25"/>
    <n v="41987800"/>
    <x v="2"/>
    <n v="-3.7884324248678047"/>
    <n v="83.526465067332794"/>
    <n v="412.32285400390623"/>
    <x v="1403"/>
    <n v="0"/>
    <s v="Microsoft Corp."/>
    <s v="Technology"/>
  </r>
  <r>
    <x v="491"/>
    <n v="379.39999389648438"/>
    <n v="381.3699951171875"/>
    <n v="373.27999877929688"/>
    <n v="377.82000732421881"/>
    <n v="59714200"/>
    <x v="2"/>
    <n v="0.12931572923366996"/>
    <n v="83.634477924737723"/>
    <n v="412.44043395996096"/>
    <x v="1404"/>
    <n v="0"/>
    <s v="Microsoft Corp."/>
    <s v="Technology"/>
  </r>
  <r>
    <x v="492"/>
    <n v="367.33999633789063"/>
    <n v="381.6300048828125"/>
    <n v="367.07000732421881"/>
    <n v="375.739990234375"/>
    <n v="45171100"/>
    <x v="2"/>
    <n v="-3.178702623248908"/>
    <n v="80.975986581003554"/>
    <n v="412.34195922851563"/>
    <x v="1405"/>
    <n v="0"/>
    <s v="Microsoft Corp."/>
    <s v="Technology"/>
  </r>
  <r>
    <x v="493"/>
    <n v="373.94000244140631"/>
    <n v="377.22000122070313"/>
    <n v="370.67001342773438"/>
    <n v="372.3800048828125"/>
    <n v="40647600"/>
    <x v="2"/>
    <n v="1.7967022838005331"/>
    <n v="82.430883981234459"/>
    <n v="412.41938964843752"/>
    <x v="1406"/>
    <n v="0"/>
    <s v="Microsoft Corp."/>
    <s v="Technology"/>
  </r>
  <r>
    <x v="494"/>
    <n v="365.45999145507813"/>
    <n v="378.8800048828125"/>
    <n v="364.77999877929688"/>
    <n v="371.57000732421881"/>
    <n v="44509900"/>
    <x v="2"/>
    <n v="-2.2677464114465584"/>
    <n v="80.561560567826334"/>
    <n v="412.05780334472655"/>
    <x v="1407"/>
    <n v="0"/>
    <s v="Microsoft Corp."/>
    <s v="Technology"/>
  </r>
  <r>
    <x v="495"/>
    <n v="352.82998657226563"/>
    <n v="364.23001098632813"/>
    <n v="349.20001220703125"/>
    <n v="362.76998901367188"/>
    <n v="66179000"/>
    <x v="2"/>
    <n v="-3.4559199852564393"/>
    <n v="77.777417495728358"/>
    <n v="411.26919494628908"/>
    <x v="1408"/>
    <n v="0"/>
    <s v="Microsoft Corp."/>
    <s v="Technology"/>
  </r>
  <r>
    <x v="496"/>
    <n v="372.97000122070313"/>
    <n v="376.6099853515625"/>
    <n v="355.42999267578125"/>
    <n v="357.14999389648438"/>
    <n v="186201600"/>
    <x v="2"/>
    <n v="5.7081357636569408"/>
    <n v="82.217058079850801"/>
    <n v="410.5219696044922"/>
    <x v="1409"/>
    <n v="1"/>
    <s v="Microsoft Corp."/>
    <s v="Technology"/>
  </r>
  <r>
    <x v="497"/>
    <n v="368.57000732421881"/>
    <n v="380.5"/>
    <n v="359.89999389648438"/>
    <n v="377.5"/>
    <n v="51229900"/>
    <x v="2"/>
    <n v="-1.1797179081651232"/>
    <n v="81.247128722116287"/>
    <n v="409.50633483886719"/>
    <x v="1410"/>
    <n v="0"/>
    <s v="Microsoft Corp."/>
    <s v="Technology"/>
  </r>
  <r>
    <x v="498"/>
    <n v="373.01998901367188"/>
    <n v="374.14999389648438"/>
    <n v="367.45001220703131"/>
    <n v="371.02999877929688"/>
    <n v="44945700"/>
    <x v="2"/>
    <n v="1.2073640288203347"/>
    <n v="82.22807732875647"/>
    <n v="408.52920898437497"/>
    <x v="1411"/>
    <n v="0"/>
    <s v="Microsoft Corp."/>
    <s v="Technology"/>
  </r>
  <r>
    <x v="499"/>
    <n v="384.27999877929688"/>
    <n v="388.82998657226563"/>
    <n v="374.8900146484375"/>
    <n v="380.82998657226563"/>
    <n v="48065800"/>
    <x v="2"/>
    <n v="3.0186076074363744"/>
    <n v="84.710220326450965"/>
    <n v="407.87147949218752"/>
    <x v="1412"/>
    <n v="0"/>
    <s v="Microsoft Corp."/>
    <s v="Technology"/>
  </r>
  <r>
    <x v="500"/>
    <n v="390.489990234375"/>
    <n v="392.20001220703131"/>
    <n v="383.70001220703131"/>
    <n v="384.48001098632813"/>
    <n v="42128900"/>
    <x v="2"/>
    <n v="1.6160069415022349"/>
    <n v="86.07914336708825"/>
    <n v="407.21641296386719"/>
    <x v="1413"/>
    <n v="0"/>
    <s v="Microsoft Corp."/>
    <s v="Technology"/>
  </r>
  <r>
    <x v="0"/>
    <n v="1533.927001953125"/>
    <n v="1556.2329594590622"/>
    <n v="1524.3919631894751"/>
    <n v="1547.6612788804939"/>
    <n v="11513110"/>
    <x v="3"/>
    <m/>
    <n v="100"/>
    <m/>
    <x v="0"/>
    <n v="0"/>
    <s v="Reliance Industries"/>
    <s v="Energy &amp; Conglomerate"/>
  </r>
  <r>
    <x v="501"/>
    <n v="1535.5079345703125"/>
    <n v="1548.822348177101"/>
    <n v="1532.321386398175"/>
    <n v="1538.4474616342879"/>
    <n v="6837176"/>
    <x v="3"/>
    <n v="0.10306439714371507"/>
    <n v="100.10306439714371"/>
    <m/>
    <x v="0"/>
    <n v="0"/>
    <s v="Reliance Industries"/>
    <s v="Energy &amp; Conglomerate"/>
  </r>
  <r>
    <x v="1"/>
    <n v="1569.6956787109375"/>
    <n v="1579.4530127748419"/>
    <n v="1529.5547474353805"/>
    <n v="1535.3102911811948"/>
    <n v="12269710"/>
    <x v="3"/>
    <n v="2.2264778560191489"/>
    <n v="102.33183695914269"/>
    <m/>
    <x v="0"/>
    <n v="0"/>
    <s v="Reliance Industries"/>
    <s v="Energy &amp; Conglomerate"/>
  </r>
  <r>
    <x v="2"/>
    <n v="1581.824462890625"/>
    <n v="1589.6303543798022"/>
    <n v="1563.6684106310508"/>
    <n v="1570.0662334946016"/>
    <n v="9500806"/>
    <x v="3"/>
    <n v="0.77268379751467275"/>
    <n v="103.12253848302512"/>
    <m/>
    <x v="0"/>
    <n v="0"/>
    <s v="Reliance Industries"/>
    <s v="Energy &amp; Conglomerate"/>
  </r>
  <r>
    <x v="3"/>
    <n v="1571.325927734375"/>
    <n v="1581.4290665009253"/>
    <n v="1561.6673786971023"/>
    <n v="1578.563597646217"/>
    <n v="6960002"/>
    <x v="3"/>
    <n v="-0.66369786297684197"/>
    <n v="102.43811639886582"/>
    <m/>
    <x v="0"/>
    <n v="0"/>
    <s v="Reliance Industries"/>
    <s v="Energy &amp; Conglomerate"/>
  </r>
  <r>
    <x v="4"/>
    <n v="1565.3480224609375"/>
    <n v="1578.4648673124634"/>
    <n v="1544.5241914718106"/>
    <n v="1575.9946562525065"/>
    <n v="7134578"/>
    <x v="3"/>
    <n v="-0.3804370034202087"/>
    <n v="102.04840389847787"/>
    <m/>
    <x v="0"/>
    <n v="0"/>
    <s v="Reliance Industries"/>
    <s v="Energy &amp; Conglomerate"/>
  </r>
  <r>
    <x v="5"/>
    <n v="1561.815673828125"/>
    <n v="1585.1344421846698"/>
    <n v="1551.7865927698449"/>
    <n v="1568.5840280306456"/>
    <n v="11940946"/>
    <x v="3"/>
    <n v="-0.22565899609079398"/>
    <n v="101.81812249471389"/>
    <m/>
    <x v="0"/>
    <n v="0"/>
    <s v="Reliance Industries"/>
    <s v="Energy &amp; Conglomerate"/>
  </r>
  <r>
    <x v="6"/>
    <n v="1577.69921875"/>
    <n v="1586.0238790122885"/>
    <n v="1555.739064587694"/>
    <n v="1565.619909710512"/>
    <n v="12924784"/>
    <x v="3"/>
    <n v="1.0169922858401792"/>
    <n v="102.85360494607244"/>
    <m/>
    <x v="0"/>
    <n v="0"/>
    <s v="Reliance Industries"/>
    <s v="Energy &amp; Conglomerate"/>
  </r>
  <r>
    <x v="7"/>
    <n v="1578.1932373046875"/>
    <n v="1586.7154660951303"/>
    <n v="1566.607970695329"/>
    <n v="1585.3321236755539"/>
    <n v="5329688"/>
    <x v="3"/>
    <n v="3.1312594239540914E-2"/>
    <n v="102.88581107804993"/>
    <m/>
    <x v="0"/>
    <n v="0"/>
    <s v="Reliance Industries"/>
    <s v="Energy &amp; Conglomerate"/>
  </r>
  <r>
    <x v="8"/>
    <n v="1557.4681396484375"/>
    <n v="1580.9351457176842"/>
    <n v="1550.4280378276635"/>
    <n v="1574.5125966882065"/>
    <n v="11513110"/>
    <x v="3"/>
    <n v="-1.3132167320425991"/>
    <n v="101.53469739207523"/>
    <m/>
    <x v="0"/>
    <n v="0"/>
    <s v="Reliance Industries"/>
    <s v="Energy &amp; Conglomerate"/>
  </r>
  <r>
    <x v="10"/>
    <n v="1567.7689208984375"/>
    <n v="1574.9078068261192"/>
    <n v="1539.2625884242743"/>
    <n v="1557.2210712967385"/>
    <n v="12298374"/>
    <x v="3"/>
    <n v="0.66137990163479543"/>
    <n v="102.20622747381212"/>
    <m/>
    <x v="0"/>
    <n v="0"/>
    <s v="Reliance Industries"/>
    <s v="Energy &amp; Conglomerate"/>
  </r>
  <r>
    <x v="11"/>
    <n v="1536.61962890625"/>
    <n v="1571.0296232516939"/>
    <n v="1534.2976544625544"/>
    <n v="1567.1020115011324"/>
    <n v="13140390"/>
    <x v="3"/>
    <n v="-1.9868547958162619"/>
    <n v="100.17553814162581"/>
    <m/>
    <x v="0"/>
    <n v="0"/>
    <s v="Reliance Industries"/>
    <s v="Energy &amp; Conglomerate"/>
  </r>
  <r>
    <x v="12"/>
    <n v="1482.793701171875"/>
    <n v="1519.1798633102128"/>
    <n v="1481.4103587992008"/>
    <n v="1518.9328421942273"/>
    <n v="19674376"/>
    <x v="3"/>
    <n v="-3.5028790939425791"/>
    <n v="96.666510158818326"/>
    <m/>
    <x v="0"/>
    <n v="0"/>
    <s v="Reliance Industries"/>
    <s v="Energy &amp; Conglomerate"/>
  </r>
  <r>
    <x v="13"/>
    <n v="1470.1708984375"/>
    <n v="1487.808182000688"/>
    <n v="1445.5675711552426"/>
    <n v="1483.1147807956386"/>
    <n v="18052044"/>
    <x v="3"/>
    <n v="-0.85128516019450373"/>
    <n v="95.84360250295839"/>
    <m/>
    <x v="0"/>
    <n v="0"/>
    <s v="Reliance Industries"/>
    <s v="Energy &amp; Conglomerate"/>
  </r>
  <r>
    <x v="14"/>
    <n v="1477.8779296875"/>
    <n v="1491.5135439533938"/>
    <n v="1458.8079713194404"/>
    <n v="1467.3054738461674"/>
    <n v="11913362"/>
    <x v="3"/>
    <n v="0.52422689485902563"/>
    <n v="96.346040444280689"/>
    <m/>
    <x v="0"/>
    <n v="0"/>
    <s v="Reliance Industries"/>
    <s v="Energy &amp; Conglomerate"/>
  </r>
  <r>
    <x v="15"/>
    <n v="1474.6171875"/>
    <n v="1482.595920809754"/>
    <n v="1459.4747216510741"/>
    <n v="1463.3530011800513"/>
    <n v="12519876"/>
    <x v="3"/>
    <n v="-0.22063677398508341"/>
    <n v="96.133465648782064"/>
    <m/>
    <x v="0"/>
    <n v="0"/>
    <s v="Reliance Industries"/>
    <s v="Energy &amp; Conglomerate"/>
  </r>
  <r>
    <x v="16"/>
    <n v="1491.044189453125"/>
    <n v="1494.4037007697482"/>
    <n v="1472.5916637544599"/>
    <n v="1474.6172851615388"/>
    <n v="9859940"/>
    <x v="3"/>
    <n v="1.1139841643223125"/>
    <n v="97.204377232723729"/>
    <m/>
    <x v="0"/>
    <n v="0"/>
    <s v="Reliance Industries"/>
    <s v="Energy &amp; Conglomerate"/>
  </r>
  <r>
    <x v="17"/>
    <n v="1501.9871826171875"/>
    <n v="1509.2990318372968"/>
    <n v="1493.7614276294271"/>
    <n v="1493.9342700426571"/>
    <n v="7538550"/>
    <x v="3"/>
    <n v="0.73391474521462552"/>
    <n v="97.917774490228737"/>
    <m/>
    <x v="0"/>
    <n v="0"/>
    <s v="Reliance Industries"/>
    <s v="Energy &amp; Conglomerate"/>
  </r>
  <r>
    <x v="18"/>
    <n v="1495.1199951171875"/>
    <n v="1506.8287716127938"/>
    <n v="1492.0075050067665"/>
    <n v="1498.9488223237445"/>
    <n v="8228208"/>
    <x v="3"/>
    <n v="-0.45720679773272321"/>
    <n v="97.470087769070815"/>
    <m/>
    <x v="0"/>
    <n v="0"/>
    <s v="Reliance Industries"/>
    <s v="Energy &amp; Conglomerate"/>
  </r>
  <r>
    <x v="19"/>
    <n v="1487.4869384765625"/>
    <n v="1492.4519658681731"/>
    <n v="1483.2628537354881"/>
    <n v="1486.0788700242824"/>
    <n v="10057346"/>
    <x v="3"/>
    <n v="-0.51053137310405061"/>
    <n v="96.972472391617643"/>
    <m/>
    <x v="0"/>
    <n v="0"/>
    <s v="Reliance Industries"/>
    <s v="Energy &amp; Conglomerate"/>
  </r>
  <r>
    <x v="20"/>
    <n v="1497.244384765625"/>
    <n v="1499.9121644798522"/>
    <n v="1486.37545603751"/>
    <n v="1493.9836579008804"/>
    <n v="10764222"/>
    <x v="3"/>
    <n v="0.65596853570060176"/>
    <n v="97.608581298797631"/>
    <m/>
    <x v="0"/>
    <n v="0"/>
    <s v="Reliance Industries"/>
    <s v="Energy &amp; Conglomerate"/>
  </r>
  <r>
    <x v="21"/>
    <n v="1481.4595947265625"/>
    <n v="1491.3404387261814"/>
    <n v="1475.4817564762559"/>
    <n v="1487.0670219426547"/>
    <n v="10268248"/>
    <x v="3"/>
    <n v="-1.0542560853573302"/>
    <n v="96.579536890624098"/>
    <m/>
    <x v="0"/>
    <n v="0"/>
    <s v="Reliance Industries"/>
    <s v="Energy &amp; Conglomerate"/>
  </r>
  <r>
    <x v="22"/>
    <n v="1430.0792236328125"/>
    <n v="1466.2184833782828"/>
    <n v="1416.1719837774867"/>
    <n v="1462.3649300475706"/>
    <n v="17046704"/>
    <x v="3"/>
    <n v="-3.4682262868757752"/>
    <n v="93.229940004440579"/>
    <m/>
    <x v="0"/>
    <n v="0"/>
    <s v="Reliance Industries"/>
    <s v="Energy &amp; Conglomerate"/>
  </r>
  <r>
    <x v="23"/>
    <n v="1438.700439453125"/>
    <n v="1459.8948030686215"/>
    <n v="1434.0316438440889"/>
    <n v="1437.8111393077952"/>
    <n v="10236186"/>
    <x v="3"/>
    <n v="0.60284882668333317"/>
    <n v="93.791975603874917"/>
    <m/>
    <x v="0"/>
    <n v="0"/>
    <s v="Reliance Industries"/>
    <s v="Energy &amp; Conglomerate"/>
  </r>
  <r>
    <x v="24"/>
    <n v="1447.3707275390625"/>
    <n v="1454.954323788822"/>
    <n v="1444.0853950542364"/>
    <n v="1451.4960282823629"/>
    <n v="8174568"/>
    <x v="3"/>
    <n v="0.60264721189862147"/>
    <n v="94.35721032983632"/>
    <m/>
    <x v="0"/>
    <n v="0"/>
    <s v="Reliance Industries"/>
    <s v="Energy &amp; Conglomerate"/>
  </r>
  <r>
    <x v="25"/>
    <n v="1431.85791015625"/>
    <n v="1447.5437511456266"/>
    <n v="1428.6960880928923"/>
    <n v="1440.1578438422889"/>
    <n v="12387192"/>
    <x v="3"/>
    <n v="-1.0717929475600685"/>
    <n v="93.345896404006709"/>
    <m/>
    <x v="0"/>
    <n v="0"/>
    <s v="Reliance Industries"/>
    <s v="Energy &amp; Conglomerate"/>
  </r>
  <r>
    <x v="26"/>
    <n v="1456.7330322265625"/>
    <n v="1458.9067698886504"/>
    <n v="1438.6510375603625"/>
    <n v="1442.6033755756382"/>
    <n v="6249776"/>
    <x v="3"/>
    <n v="1.7372619094305319"/>
    <n v="94.967559106249993"/>
    <m/>
    <x v="0"/>
    <n v="0"/>
    <s v="Reliance Industries"/>
    <s v="Energy &amp; Conglomerate"/>
  </r>
  <r>
    <x v="27"/>
    <n v="1443.220947265625"/>
    <n v="1455.4484931603015"/>
    <n v="1440.380204279993"/>
    <n v="1452.4842396100769"/>
    <n v="8184584"/>
    <x v="3"/>
    <n v="-0.92756082700237164"/>
    <n v="94.086677229620093"/>
    <m/>
    <x v="0"/>
    <n v="0"/>
    <s v="Reliance Industries"/>
    <s v="Energy &amp; Conglomerate"/>
  </r>
  <r>
    <x v="28"/>
    <n v="1446.1851806640625"/>
    <n v="1452.5582774619256"/>
    <n v="1440.6272053348389"/>
    <n v="1443.3444377180149"/>
    <n v="6265064"/>
    <x v="3"/>
    <n v="0.20539013129303729"/>
    <n v="94.279921979511258"/>
    <m/>
    <x v="0"/>
    <n v="0"/>
    <s v="Reliance Industries"/>
    <s v="Energy &amp; Conglomerate"/>
  </r>
  <r>
    <x v="29"/>
    <n v="1444.4312744140625"/>
    <n v="1454.4603560192809"/>
    <n v="1436.3783617708266"/>
    <n v="1446.1110904012166"/>
    <n v="6267466"/>
    <x v="3"/>
    <n v="-0.12127812353841527"/>
    <n v="94.165581059261044"/>
    <m/>
    <x v="0"/>
    <n v="0"/>
    <s v="Reliance Industries"/>
    <s v="Energy &amp; Conglomerate"/>
  </r>
  <r>
    <x v="31"/>
    <n v="1460.5863037109375"/>
    <n v="1462.760161748311"/>
    <n v="1440.676499654279"/>
    <n v="1451.1501701128775"/>
    <n v="9416902"/>
    <x v="3"/>
    <n v="1.1184353027407612"/>
    <n v="95.218762160858773"/>
    <m/>
    <x v="1414"/>
    <n v="0"/>
    <s v="Reliance Industries"/>
    <s v="Energy &amp; Conglomerate"/>
  </r>
  <r>
    <x v="32"/>
    <n v="1475.65625"/>
    <n v="1485.47150978375"/>
    <n v="1467.8238660907391"/>
    <n v="1469.8067419652286"/>
    <n v="13797742"/>
    <x v="3"/>
    <n v="1.0317737644652603"/>
    <n v="96.20120436768309"/>
    <m/>
    <x v="1415"/>
    <n v="0"/>
    <s v="Reliance Industries"/>
    <s v="Energy &amp; Conglomerate"/>
  </r>
  <r>
    <x v="33"/>
    <n v="1483.1416015625"/>
    <n v="1491.0484162933285"/>
    <n v="1477.2674041310693"/>
    <n v="1484.4057091952604"/>
    <n v="8411808"/>
    <x v="3"/>
    <n v="0.50725577603185634"/>
    <n v="96.689190533450358"/>
    <m/>
    <x v="1416"/>
    <n v="0"/>
    <s v="Reliance Industries"/>
    <s v="Energy &amp; Conglomerate"/>
  </r>
  <r>
    <x v="34"/>
    <n v="1485.8433837890625"/>
    <n v="1494.964564922092"/>
    <n v="1477.2426107826689"/>
    <n v="1480.4647842625641"/>
    <n v="7769996"/>
    <x v="3"/>
    <n v="0.1821661683359288"/>
    <n v="96.865325527040184"/>
    <m/>
    <x v="1417"/>
    <n v="0"/>
    <s v="Reliance Industries"/>
    <s v="Energy &amp; Conglomerate"/>
  </r>
  <r>
    <x v="35"/>
    <n v="1485.2979736328125"/>
    <n v="1493.6012664349316"/>
    <n v="1477.8869991875908"/>
    <n v="1490.1312336221058"/>
    <n v="10445782"/>
    <x v="3"/>
    <n v="-3.6707109389899628E-2"/>
    <n v="96.829769066038082"/>
    <m/>
    <x v="1418"/>
    <n v="0"/>
    <s v="Reliance Industries"/>
    <s v="Energy &amp; Conglomerate"/>
  </r>
  <r>
    <x v="36"/>
    <n v="1487.1322021484375"/>
    <n v="1498.3849993365056"/>
    <n v="1485.5955458508122"/>
    <n v="1490.8749048344312"/>
    <n v="9249654"/>
    <x v="3"/>
    <n v="0.12349229233368231"/>
    <n v="96.949346367519169"/>
    <m/>
    <x v="1419"/>
    <n v="0"/>
    <s v="Reliance Industries"/>
    <s v="Energy &amp; Conglomerate"/>
  </r>
  <r>
    <x v="37"/>
    <n v="1499.6490478515625"/>
    <n v="1509.9600269352031"/>
    <n v="1490.131267553257"/>
    <n v="1494.0722092753902"/>
    <n v="8816114"/>
    <x v="3"/>
    <n v="0.84167673089468042"/>
    <n v="97.765346456649056"/>
    <m/>
    <x v="1420"/>
    <n v="0"/>
    <s v="Reliance Industries"/>
    <s v="Energy &amp; Conglomerate"/>
  </r>
  <r>
    <x v="38"/>
    <n v="1487.6031494140625"/>
    <n v="1500.5166540094151"/>
    <n v="1486.6117113802566"/>
    <n v="1497.5671500638723"/>
    <n v="6251156"/>
    <x v="3"/>
    <n v="-0.8032478302011592"/>
    <n v="96.980048432547378"/>
    <m/>
    <x v="1421"/>
    <n v="0"/>
    <s v="Reliance Industries"/>
    <s v="Energy &amp; Conglomerate"/>
  </r>
  <r>
    <x v="39"/>
    <n v="1485.4715576171875"/>
    <n v="1494.567928369235"/>
    <n v="1480.2168879705305"/>
    <n v="1492.1141436005682"/>
    <n v="9610286"/>
    <x v="3"/>
    <n v="-0.14329035251872124"/>
    <n v="96.841085379275555"/>
    <m/>
    <x v="1422"/>
    <n v="0"/>
    <s v="Reliance Industries"/>
    <s v="Energy &amp; Conglomerate"/>
  </r>
  <r>
    <x v="40"/>
    <n v="1507.90283203125"/>
    <n v="1523.8401488737277"/>
    <n v="1481.2083164719252"/>
    <n v="1490.2303777286736"/>
    <n v="38335358"/>
    <x v="3"/>
    <n v="1.5100440192906905"/>
    <n v="98.303428397261484"/>
    <m/>
    <x v="1423"/>
    <n v="1"/>
    <s v="Reliance Industries"/>
    <s v="Energy &amp; Conglomerate"/>
  </r>
  <r>
    <x v="41"/>
    <n v="1496.6995849609375"/>
    <n v="1526.5418444404818"/>
    <n v="1490.4534771750382"/>
    <n v="1520.8658861174649"/>
    <n v="41620730"/>
    <x v="3"/>
    <n v="-0.74296876644371901"/>
    <n v="97.57306462792647"/>
    <m/>
    <x v="1424"/>
    <n v="1"/>
    <s v="Reliance Industries"/>
    <s v="Energy &amp; Conglomerate"/>
  </r>
  <r>
    <x v="502"/>
    <n v="1503.267822265625"/>
    <n v="1513.7275412609431"/>
    <n v="1493.7252318027679"/>
    <n v="1497.9388431759776"/>
    <n v="11240852"/>
    <x v="3"/>
    <n v="0.43884807416840754"/>
    <n v="98.001262142953209"/>
    <m/>
    <x v="1425"/>
    <n v="0"/>
    <s v="Reliance Industries"/>
    <s v="Energy &amp; Conglomerate"/>
  </r>
  <r>
    <x v="42"/>
    <n v="1496.203857421875"/>
    <n v="1509.9600595401412"/>
    <n v="1494.5927706873033"/>
    <n v="1508.2250430567562"/>
    <n v="10923800"/>
    <x v="3"/>
    <n v="-0.46990727394827791"/>
    <n v="97.54074708358236"/>
    <m/>
    <x v="1426"/>
    <n v="0"/>
    <s v="Reliance Industries"/>
    <s v="Energy &amp; Conglomerate"/>
  </r>
  <r>
    <x v="43"/>
    <n v="1501.5823974609375"/>
    <n v="1504.5070910070399"/>
    <n v="1486.6612078847161"/>
    <n v="1487.8508850161479"/>
    <n v="11983304"/>
    <x v="3"/>
    <n v="0.35947909186186955"/>
    <n v="97.891385675393707"/>
    <m/>
    <x v="1427"/>
    <n v="0"/>
    <s v="Reliance Industries"/>
    <s v="Energy &amp; Conglomerate"/>
  </r>
  <r>
    <x v="44"/>
    <n v="1480.192138671875"/>
    <n v="1512.7113538076746"/>
    <n v="1474.3179410781215"/>
    <n v="1506.0439573959177"/>
    <n v="16264168"/>
    <x v="3"/>
    <n v="-1.4245144871990911"/>
    <n v="96.496908704727787"/>
    <m/>
    <x v="1428"/>
    <n v="0"/>
    <s v="Reliance Industries"/>
    <s v="Energy &amp; Conglomerate"/>
  </r>
  <r>
    <x v="45"/>
    <n v="1480.192138671875"/>
    <n v="1484.1826462606271"/>
    <n v="1449.1105279496919"/>
    <n v="1479.7211753800841"/>
    <n v="19394228"/>
    <x v="3"/>
    <n v="0"/>
    <n v="96.496908704727787"/>
    <m/>
    <x v="1429"/>
    <n v="0"/>
    <s v="Reliance Industries"/>
    <s v="Energy &amp; Conglomerate"/>
  </r>
  <r>
    <x v="46"/>
    <n v="1449.9283447265625"/>
    <n v="1457.3394400346181"/>
    <n v="1443.1370191466497"/>
    <n v="1453.943716732093"/>
    <n v="9010298"/>
    <x v="3"/>
    <n v="-2.044585507153629"/>
    <n v="94.523946894499659"/>
    <m/>
    <x v="1430"/>
    <n v="0"/>
    <s v="Reliance Industries"/>
    <s v="Energy &amp; Conglomerate"/>
  </r>
  <r>
    <x v="47"/>
    <n v="1449.0113525390625"/>
    <n v="1459.4462610127246"/>
    <n v="1445.0951000796938"/>
    <n v="1447.9951044503912"/>
    <n v="10768260"/>
    <x v="3"/>
    <n v="-6.3243965871495611E-2"/>
    <n v="94.464166201785304"/>
    <m/>
    <x v="1431"/>
    <n v="0"/>
    <s v="Reliance Industries"/>
    <s v="Energy &amp; Conglomerate"/>
  </r>
  <r>
    <x v="48"/>
    <n v="1439.0721435546875"/>
    <n v="1456.1744477064742"/>
    <n v="1435.1560121734635"/>
    <n v="1450.5232999620257"/>
    <n v="9760202"/>
    <x v="3"/>
    <n v="-0.68593037362743026"/>
    <n v="93.816207793613373"/>
    <m/>
    <x v="1432"/>
    <n v="0"/>
    <s v="Reliance Industries"/>
    <s v="Energy &amp; Conglomerate"/>
  </r>
  <r>
    <x v="49"/>
    <n v="1467.1298828125"/>
    <n v="1473.2767495080643"/>
    <n v="1433.4953029575861"/>
    <n v="1444.5250498204912"/>
    <n v="22349376"/>
    <x v="3"/>
    <n v="1.949710400793836"/>
    <n v="95.645352154595798"/>
    <n v="1495.1427709960938"/>
    <x v="1433"/>
    <n v="0"/>
    <s v="Reliance Industries"/>
    <s v="Energy &amp; Conglomerate"/>
  </r>
  <r>
    <x v="50"/>
    <n v="1460.016357421875"/>
    <n v="1470.4512663815869"/>
    <n v="1456.9181137298669"/>
    <n v="1463.7590600068495"/>
    <n v="8711328"/>
    <x v="3"/>
    <n v="-0.48485996188615266"/>
    <n v="95.18160613659316"/>
    <n v="1493.6645581054688"/>
    <x v="1434"/>
    <n v="0"/>
    <s v="Reliance Industries"/>
    <s v="Energy &amp; Conglomerate"/>
  </r>
  <r>
    <x v="51"/>
    <n v="1458.752197265625"/>
    <n v="1468.2204780575375"/>
    <n v="1452.2087310287416"/>
    <n v="1464.8991851443227"/>
    <n v="5481774"/>
    <x v="3"/>
    <n v="-8.6585341994538378E-2"/>
    <n v="95.099192817403889"/>
    <n v="1492.129443359375"/>
    <x v="1435"/>
    <n v="0"/>
    <s v="Reliance Industries"/>
    <s v="Energy &amp; Conglomerate"/>
  </r>
  <r>
    <x v="52"/>
    <n v="1459.6942138671875"/>
    <n v="1464.8248328952709"/>
    <n v="1454.0677548146175"/>
    <n v="1461.3796100548857"/>
    <n v="5935328"/>
    <x v="3"/>
    <n v="6.4576876273325645E-2"/>
    <n v="95.160604905486508"/>
    <n v="1489.9294140625"/>
    <x v="1436"/>
    <n v="0"/>
    <s v="Reliance Industries"/>
    <s v="Energy &amp; Conglomerate"/>
  </r>
  <r>
    <x v="53"/>
    <n v="1450.919921875"/>
    <n v="1469.3111455549956"/>
    <n v="1448.0448484372855"/>
    <n v="1457.4138893156839"/>
    <n v="8574714"/>
    <x v="3"/>
    <n v="-0.60110480050076243"/>
    <n v="94.588589941214067"/>
    <n v="1487.3113232421874"/>
    <x v="1437"/>
    <n v="0"/>
    <s v="Reliance Industries"/>
    <s v="Energy &amp; Conglomerate"/>
  </r>
  <r>
    <x v="54"/>
    <n v="1457.0916748046875"/>
    <n v="1463.8581906691411"/>
    <n v="1443.0876132109174"/>
    <n v="1453.6959512825115"/>
    <n v="16955902"/>
    <x v="3"/>
    <n v="0.42536826716885745"/>
    <n v="94.990939787186463"/>
    <n v="1485.0266381835938"/>
    <x v="1438"/>
    <n v="0"/>
    <s v="Reliance Industries"/>
    <s v="Energy &amp; Conglomerate"/>
  </r>
  <r>
    <x v="55"/>
    <n v="1473.2025146484375"/>
    <n v="1482.1997658201983"/>
    <n v="1458.7770437683578"/>
    <n v="1461.3795684407844"/>
    <n v="30897320"/>
    <x v="3"/>
    <n v="1.1056847089535138"/>
    <n v="96.041240083304615"/>
    <n v="1483.1837280273437"/>
    <x v="1439"/>
    <n v="1"/>
    <s v="Reliance Industries"/>
    <s v="Energy &amp; Conglomerate"/>
  </r>
  <r>
    <x v="56"/>
    <n v="1480.5887451171875"/>
    <n v="1488.6441789861601"/>
    <n v="1476.2015834923338"/>
    <n v="1478.2340798324108"/>
    <n v="8832314"/>
    <x v="3"/>
    <n v="0.50137237720591088"/>
    <n v="96.522764331808304"/>
    <n v="1481.5591894531251"/>
    <x v="1440"/>
    <n v="0"/>
    <s v="Reliance Industries"/>
    <s v="Energy &amp; Conglomerate"/>
  </r>
  <r>
    <x v="57"/>
    <n v="1476.6229248046875"/>
    <n v="1487.6526722077606"/>
    <n v="1475.1357678514642"/>
    <n v="1475.7554165819738"/>
    <n v="17137444"/>
    <x v="3"/>
    <n v="-0.26785427929117978"/>
    <n v="96.264223977055423"/>
    <n v="1479.5376635742186"/>
    <x v="1441"/>
    <n v="0"/>
    <s v="Reliance Industries"/>
    <s v="Energy &amp; Conglomerate"/>
  </r>
  <r>
    <x v="58"/>
    <n v="1481.15869140625"/>
    <n v="1483.6869066134093"/>
    <n v="1467.5264194610884"/>
    <n v="1471.1948125268714"/>
    <n v="7069002"/>
    <x v="3"/>
    <n v="0.30717162285438526"/>
    <n v="96.559920356073931"/>
    <n v="1477.59697265625"/>
    <x v="1442"/>
    <n v="0"/>
    <s v="Reliance Industries"/>
    <s v="Energy &amp; Conglomerate"/>
  </r>
  <r>
    <x v="59"/>
    <n v="1485.12451171875"/>
    <n v="1491.122760061236"/>
    <n v="1475.309372285805"/>
    <n v="1477.8870868947113"/>
    <n v="18818998"/>
    <x v="3"/>
    <n v="0.267751209611089"/>
    <n v="96.818460710826812"/>
    <n v="1476.1501000976561"/>
    <x v="1443"/>
    <n v="0"/>
    <s v="Reliance Industries"/>
    <s v="Energy &amp; Conglomerate"/>
  </r>
  <r>
    <x v="60"/>
    <n v="1513.10791015625"/>
    <n v="1520.3453348076939"/>
    <n v="1479.2254687210309"/>
    <n v="1486.1655345930462"/>
    <n v="20597478"/>
    <x v="3"/>
    <n v="1.8842459481807738"/>
    <n v="98.642758633861561"/>
    <n v="1475.0568798828126"/>
    <x v="1444"/>
    <n v="0"/>
    <s v="Reliance Industries"/>
    <s v="Energy &amp; Conglomerate"/>
  </r>
  <r>
    <x v="61"/>
    <n v="1463.9324951171875"/>
    <n v="1511.9181178232873"/>
    <n v="1461.7761901136828"/>
    <n v="1506.3908994638518"/>
    <n v="27008814"/>
    <x v="3"/>
    <n v="-3.2499608725186313"/>
    <n v="95.436907574688064"/>
    <n v="1473.6031372070313"/>
    <x v="1445"/>
    <n v="0"/>
    <s v="Reliance Industries"/>
    <s v="Energy &amp; Conglomerate"/>
  </r>
  <r>
    <x v="62"/>
    <n v="1452.2830810546875"/>
    <n v="1475.2100841908111"/>
    <n v="1450.3002051077794"/>
    <n v="1467.9726595996829"/>
    <n v="16431642"/>
    <x v="3"/>
    <n v="-0.79576169675552588"/>
    <n v="94.677457219640729"/>
    <n v="1472.9929248046874"/>
    <x v="1446"/>
    <n v="0"/>
    <s v="Reliance Industries"/>
    <s v="Energy &amp; Conglomerate"/>
  </r>
  <r>
    <x v="64"/>
    <n v="1394.928466796875"/>
    <n v="1436.9902726871703"/>
    <n v="1390.0703963537039"/>
    <n v="1424.2750076222519"/>
    <n v="11513110"/>
    <x v="3"/>
    <n v="-3.9492723564719889"/>
    <n v="90.938386573854856"/>
    <n v="1471.488076171875"/>
    <x v="1447"/>
    <n v="0"/>
    <s v="Reliance Industries"/>
    <s v="Energy &amp; Conglomerate"/>
  </r>
  <r>
    <x v="65"/>
    <n v="1374.653564453125"/>
    <n v="1405.2145916660445"/>
    <n v="1369.9442340651565"/>
    <n v="1391.9046094477658"/>
    <n v="37072876"/>
    <x v="3"/>
    <n v="-1.453472549048096"/>
    <n v="89.616622088456637"/>
    <n v="1469.4235888671874"/>
    <x v="1448"/>
    <n v="1"/>
    <s v="Reliance Industries"/>
    <s v="Energy &amp; Conglomerate"/>
  </r>
  <r>
    <x v="66"/>
    <n v="1374.653564453125"/>
    <n v="1384.5432314460647"/>
    <n v="1349.7189700751069"/>
    <n v="1381.5689173076198"/>
    <n v="22181340"/>
    <x v="3"/>
    <n v="0"/>
    <n v="89.616622088456637"/>
    <n v="1467.42431640625"/>
    <x v="1449"/>
    <n v="0"/>
    <s v="Reliance Industries"/>
    <s v="Energy &amp; Conglomerate"/>
  </r>
  <r>
    <x v="67"/>
    <n v="1385.3858642578125"/>
    <n v="1389.004637160655"/>
    <n v="1353.4119887771335"/>
    <n v="1361.2195630224155"/>
    <n v="17020808"/>
    <x v="3"/>
    <n v="0.78072760164538124"/>
    <n v="90.316283792763457"/>
    <n v="1465.3111499023437"/>
    <x v="1450"/>
    <n v="0"/>
    <s v="Reliance Industries"/>
    <s v="Energy &amp; Conglomerate"/>
  </r>
  <r>
    <x v="68"/>
    <n v="1362.8306884765625"/>
    <n v="1388.9798664534119"/>
    <n v="1360.7486928237199"/>
    <n v="1385.5594536683957"/>
    <n v="11513110"/>
    <x v="3"/>
    <n v="-1.6280789607546198"/>
    <n v="88.845863378198032"/>
    <n v="1462.5280200195311"/>
    <x v="1451"/>
    <n v="0"/>
    <s v="Reliance Industries"/>
    <s v="Energy &amp; Conglomerate"/>
  </r>
  <r>
    <x v="69"/>
    <n v="1359.31103515625"/>
    <n v="1374.1329839394809"/>
    <n v="1357.6999485048059"/>
    <n v="1368.2091664568909"/>
    <n v="22358646"/>
    <x v="3"/>
    <n v="-0.25826049780599547"/>
    <n v="88.616409609157472"/>
    <n v="1459.8118408203125"/>
    <x v="1452"/>
    <n v="0"/>
    <s v="Reliance Industries"/>
    <s v="Energy &amp; Conglomerate"/>
  </r>
  <r>
    <x v="70"/>
    <n v="1360.35205078125"/>
    <n v="1371.4314188021033"/>
    <n v="1357.1050671377104"/>
    <n v="1358.2700551936466"/>
    <n v="7980122"/>
    <x v="3"/>
    <n v="7.658406340240731E-2"/>
    <n v="88.684275656477467"/>
    <n v="1457.2691430664063"/>
    <x v="1453"/>
    <n v="0"/>
    <s v="Reliance Industries"/>
    <s v="Energy &amp; Conglomerate"/>
  </r>
  <r>
    <x v="71"/>
    <n v="1360.7734375"/>
    <n v="1368.2587216327886"/>
    <n v="1356.5350159311083"/>
    <n v="1367.6390728953818"/>
    <n v="12221432"/>
    <x v="3"/>
    <n v="3.097629900348231E-2"/>
    <n v="88.711746762873901"/>
    <n v="1454.5397241210937"/>
    <x v="1454"/>
    <n v="0"/>
    <s v="Reliance Industries"/>
    <s v="Energy &amp; Conglomerate"/>
  </r>
  <r>
    <x v="72"/>
    <n v="1332.5174560546875"/>
    <n v="1359.9554295521657"/>
    <n v="1329.2208521541709"/>
    <n v="1346.8933067731043"/>
    <n v="33762794"/>
    <x v="3"/>
    <n v="-2.0764648005787145"/>
    <n v="86.869678567364289"/>
    <n v="1451.5608813476563"/>
    <x v="1455"/>
    <n v="1"/>
    <s v="Reliance Industries"/>
    <s v="Energy &amp; Conglomerate"/>
  </r>
  <r>
    <x v="73"/>
    <n v="1342.4813232421875"/>
    <n v="1352.3213935222657"/>
    <n v="1326.1722170162907"/>
    <n v="1328.5268821992931"/>
    <n v="20034438"/>
    <x v="3"/>
    <n v="0.74774759176521322"/>
    <n v="87.519244496825948"/>
    <n v="1449.8089233398437"/>
    <x v="1456"/>
    <n v="0"/>
    <s v="Reliance Industries"/>
    <s v="Energy &amp; Conglomerate"/>
  </r>
  <r>
    <x v="74"/>
    <n v="1344.811279296875"/>
    <n v="1356.7332239102464"/>
    <n v="1340.4737382347969"/>
    <n v="1354.0067695283683"/>
    <n v="15543660"/>
    <x v="3"/>
    <n v="0.17355593812362624"/>
    <n v="87.671139342651117"/>
    <n v="1447.9311401367188"/>
    <x v="1457"/>
    <n v="0"/>
    <s v="Reliance Industries"/>
    <s v="Energy &amp; Conglomerate"/>
  </r>
  <r>
    <x v="75"/>
    <n v="1347.66162109375"/>
    <n v="1356.7084921676401"/>
    <n v="1329.840427555484"/>
    <n v="1340.5976258716714"/>
    <n v="12082452"/>
    <x v="3"/>
    <n v="0.21195106263276475"/>
    <n v="87.856959254110123"/>
    <n v="1445.9369580078126"/>
    <x v="1458"/>
    <n v="0"/>
    <s v="Reliance Industries"/>
    <s v="Energy &amp; Conglomerate"/>
  </r>
  <r>
    <x v="76"/>
    <n v="1357.476806640625"/>
    <n v="1362.2357572594483"/>
    <n v="1346.1000802528206"/>
    <n v="1355.4196212833499"/>
    <n v="14067408"/>
    <x v="3"/>
    <n v="0.72831231469729918"/>
    <n v="88.496832307676385"/>
    <n v="1444.4493359375001"/>
    <x v="1459"/>
    <n v="0"/>
    <s v="Reliance Industries"/>
    <s v="Energy &amp; Conglomerate"/>
  </r>
  <r>
    <x v="77"/>
    <n v="1331.8482666015625"/>
    <n v="1364.2187428070656"/>
    <n v="1328.7500227270916"/>
    <n v="1357.4769157261562"/>
    <n v="15831960"/>
    <x v="3"/>
    <n v="-1.8879541745163153"/>
    <n v="86.826052667808909"/>
    <n v="1441.951640625"/>
    <x v="1460"/>
    <n v="0"/>
    <s v="Reliance Industries"/>
    <s v="Energy &amp; Conglomerate"/>
  </r>
  <r>
    <x v="78"/>
    <n v="1327.0645751953125"/>
    <n v="1345.8522769141389"/>
    <n v="1323.56973203491"/>
    <n v="1326.0483270387208"/>
    <n v="11513110"/>
    <x v="3"/>
    <n v="-0.35917690672500058"/>
    <n v="86.514193537605252"/>
    <n v="1439.6285131835937"/>
    <x v="1461"/>
    <n v="0"/>
    <s v="Reliance Industries"/>
    <s v="Energy &amp; Conglomerate"/>
  </r>
  <r>
    <x v="79"/>
    <n v="1328.3287353515625"/>
    <n v="1332.1952468902052"/>
    <n v="1311.7964576126849"/>
    <n v="1323.8424540123256"/>
    <n v="22155934"/>
    <x v="3"/>
    <n v="9.5259882591913758E-2"/>
    <n v="86.596606856794523"/>
    <n v="1437.2713842773437"/>
    <x v="1462"/>
    <n v="0"/>
    <s v="Reliance Industries"/>
    <s v="Energy &amp; Conglomerate"/>
  </r>
  <r>
    <x v="80"/>
    <n v="1316.4808349609375"/>
    <n v="1332.8395608533488"/>
    <n v="1310.6809472586556"/>
    <n v="1331.996862815434"/>
    <n v="18597496"/>
    <x v="3"/>
    <n v="-0.89194038157197619"/>
    <n v="85.82421675116764"/>
    <n v="1434.7123754882812"/>
    <x v="1463"/>
    <n v="0"/>
    <s v="Reliance Industries"/>
    <s v="Energy &amp; Conglomerate"/>
  </r>
  <r>
    <x v="81"/>
    <n v="1316.4808349609375"/>
    <n v="1341.4155124030335"/>
    <n v="1310.7800563182918"/>
    <n v="1325.552505604476"/>
    <n v="10824350"/>
    <x v="3"/>
    <n v="0"/>
    <n v="85.82421675116764"/>
    <n v="1431.8302661132811"/>
    <x v="1464"/>
    <n v="0"/>
    <s v="Reliance Industries"/>
    <s v="Energy &amp; Conglomerate"/>
  </r>
  <r>
    <x v="82"/>
    <n v="1328.52685546875"/>
    <n v="1331.6994085045892"/>
    <n v="1308.9955762275119"/>
    <n v="1316.7287196367979"/>
    <n v="12008361"/>
    <x v="3"/>
    <n v="0.91501677714662666"/>
    <n v="86.609522733295506"/>
    <n v="1428.8876782226562"/>
    <x v="1465"/>
    <n v="0"/>
    <s v="Reliance Industries"/>
    <s v="Energy &amp; Conglomerate"/>
  </r>
  <r>
    <x v="83"/>
    <n v="1332.3935546875"/>
    <n v="1338.4413022928309"/>
    <n v="1314.0023313459362"/>
    <n v="1323.569732267355"/>
    <n v="11984423"/>
    <x v="3"/>
    <n v="0.29105164135998507"/>
    <n v="86.861601170784809"/>
    <n v="1425.8727172851563"/>
    <x v="1466"/>
    <n v="0"/>
    <s v="Reliance Industries"/>
    <s v="Energy &amp; Conglomerate"/>
  </r>
  <r>
    <x v="84"/>
    <n v="1320.64501953125"/>
    <n v="1331.5012170832631"/>
    <n v="1314.7955112005386"/>
    <n v="1328.5269031210521"/>
    <n v="9331650"/>
    <x v="3"/>
    <n v="-0.88176163228330662"/>
    <n v="86.095688898473881"/>
    <n v="1422.5687499999999"/>
    <x v="1467"/>
    <n v="0"/>
    <s v="Reliance Industries"/>
    <s v="Energy &amp; Conglomerate"/>
  </r>
  <r>
    <x v="85"/>
    <n v="1327.1884765625"/>
    <n v="1330.4601492824747"/>
    <n v="1321.5868277686543"/>
    <n v="1321.6364480777279"/>
    <n v="2127335"/>
    <x v="3"/>
    <n v="0.49547432765637556"/>
    <n v="86.522270934184732"/>
    <n v="1419.4065600585936"/>
    <x v="1468"/>
    <n v="0"/>
    <s v="Reliance Industries"/>
    <s v="Energy &amp; Conglomerate"/>
  </r>
  <r>
    <x v="86"/>
    <n v="1291.0009765625"/>
    <n v="1328.52687951389"/>
    <n v="1274.0969107675833"/>
    <n v="1326.3952636738204"/>
    <n v="19796890"/>
    <x v="3"/>
    <n v="-2.7266285564600312"/>
    <n v="84.163129987195546"/>
    <n v="1415.483935546875"/>
    <x v="1469"/>
    <n v="0"/>
    <s v="Reliance Industries"/>
    <s v="Energy &amp; Conglomerate"/>
  </r>
  <r>
    <x v="87"/>
    <n v="1294.1240234375"/>
    <n v="1298.337634786513"/>
    <n v="1275.1379622128013"/>
    <n v="1281.9292880644173"/>
    <n v="16267479"/>
    <x v="3"/>
    <n v="0.24190894752966763"/>
    <n v="84.366728129155575"/>
    <n v="1411.3734350585937"/>
    <x v="1470"/>
    <n v="0"/>
    <s v="Reliance Industries"/>
    <s v="Energy &amp; Conglomerate"/>
  </r>
  <r>
    <x v="88"/>
    <n v="1314.002197265625"/>
    <n v="1316.9270116872765"/>
    <n v="1289.0675098622075"/>
    <n v="1298.7836496974789"/>
    <n v="21625209"/>
    <x v="3"/>
    <n v="1.5360331365554813"/>
    <n v="85.662629029447075"/>
    <n v="1407.901416015625"/>
    <x v="1471"/>
    <n v="0"/>
    <s v="Reliance Industries"/>
    <s v="Energy &amp; Conglomerate"/>
  </r>
  <r>
    <x v="89"/>
    <n v="1294.470947265625"/>
    <n v="1312.6638089321268"/>
    <n v="1291.447013193"/>
    <n v="1312.6638089321268"/>
    <n v="9611974"/>
    <x v="3"/>
    <n v="-1.4863940136967457"/>
    <n v="84.389344839578129"/>
    <n v="1404.0814038085937"/>
    <x v="1472"/>
    <n v="0"/>
    <s v="Reliance Industries"/>
    <s v="Energy &amp; Conglomerate"/>
  </r>
  <r>
    <x v="90"/>
    <n v="1272.758544921875"/>
    <n v="1290.5053095001092"/>
    <n v="1264.0834623372079"/>
    <n v="1286.5395574614042"/>
    <n v="19814406"/>
    <x v="3"/>
    <n v="-1.6773186288664199"/>
    <n v="82.973866637805557"/>
    <n v="1399.3785180664063"/>
    <x v="1473"/>
    <n v="0"/>
    <s v="Reliance Industries"/>
    <s v="Energy &amp; Conglomerate"/>
  </r>
  <r>
    <x v="91"/>
    <n v="1261.802978515625"/>
    <n v="1274.9891511168566"/>
    <n v="1256.151830843746"/>
    <n v="1267.9994654475693"/>
    <n v="9056552"/>
    <x v="3"/>
    <n v="-0.86077335327749971"/>
    <n v="82.259649703603316"/>
    <n v="1394.6805859374999"/>
    <x v="1474"/>
    <n v="0"/>
    <s v="Reliance Industries"/>
    <s v="Energy &amp; Conglomerate"/>
  </r>
  <r>
    <x v="92"/>
    <n v="1263.33984375"/>
    <n v="1278.2610337323058"/>
    <n v="1256.6476373969983"/>
    <n v="1264.6287615317467"/>
    <n v="10671091"/>
    <x v="3"/>
    <n v="0.12179914460044294"/>
    <n v="82.359841253293638"/>
    <n v="1389.8820263671876"/>
    <x v="1475"/>
    <n v="0"/>
    <s v="Reliance Industries"/>
    <s v="Energy &amp; Conglomerate"/>
  </r>
  <r>
    <x v="93"/>
    <n v="1241.3299560546875"/>
    <n v="1264.5295076822267"/>
    <n v="1238.8017408266169"/>
    <n v="1259.3740786594719"/>
    <n v="14633633"/>
    <x v="3"/>
    <n v="-1.7421984911027644"/>
    <n v="80.924969341704113"/>
    <n v="1384.7845483398437"/>
    <x v="1476"/>
    <n v="0"/>
    <s v="Reliance Industries"/>
    <s v="Energy &amp; Conglomerate"/>
  </r>
  <r>
    <x v="94"/>
    <n v="1256.746826171875"/>
    <n v="1261.7040163358736"/>
    <n v="1240.3880986306799"/>
    <n v="1242.8666937126791"/>
    <n v="11513110"/>
    <x v="3"/>
    <n v="1.2419639147505102"/>
    <n v="81.930028258950998"/>
    <n v="1379.8878369140625"/>
    <x v="1477"/>
    <n v="0"/>
    <s v="Reliance Industries"/>
    <s v="Energy &amp; Conglomerate"/>
  </r>
  <r>
    <x v="96"/>
    <n v="1249.9554443359375"/>
    <n v="1262.0014401044657"/>
    <n v="1233.2497384302701"/>
    <n v="1256.7467703539512"/>
    <n v="13620611"/>
    <x v="3"/>
    <n v="-0.54039379248916886"/>
    <n v="81.487283472054997"/>
    <n v="1375.2831030273437"/>
    <x v="1478"/>
    <n v="0"/>
    <s v="Reliance Industries"/>
    <s v="Energy &amp; Conglomerate"/>
  </r>
  <r>
    <x v="97"/>
    <n v="1231.0189208984375"/>
    <n v="1270.5276979121372"/>
    <n v="1224.5745744010292"/>
    <n v="1249.9553610165642"/>
    <n v="14183746"/>
    <x v="3"/>
    <n v="-1.5149758756049403"/>
    <n v="80.252770785767552"/>
    <n v="1370.2996386718751"/>
    <x v="1479"/>
    <n v="0"/>
    <s v="Reliance Industries"/>
    <s v="Energy &amp; Conglomerate"/>
  </r>
  <r>
    <x v="99"/>
    <n v="1212.528564453125"/>
    <n v="1233.299140266532"/>
    <n v="1206.8277964681656"/>
    <n v="1231.0189056876295"/>
    <n v="19433843"/>
    <x v="3"/>
    <n v="-1.5020367381370248"/>
    <n v="79.047344685192428"/>
    <n v="1365.5516430664063"/>
    <x v="1480"/>
    <n v="0"/>
    <s v="Reliance Industries"/>
    <s v="Energy &amp; Conglomerate"/>
  </r>
  <r>
    <x v="100"/>
    <n v="1254.565673828125"/>
    <n v="1257.9860865301257"/>
    <n v="1211.9833389629089"/>
    <n v="1218.8739057022899"/>
    <n v="20471957"/>
    <x v="3"/>
    <n v="3.4668964185565088"/>
    <n v="81.787834247047371"/>
    <n v="1361.6627294921875"/>
    <x v="1481"/>
    <n v="0"/>
    <s v="Reliance Industries"/>
    <s v="Energy &amp; Conglomerate"/>
  </r>
  <r>
    <x v="101"/>
    <n v="1275.9805908203125"/>
    <n v="1293.2811339485756"/>
    <n v="1271.4694999174592"/>
    <n v="1278.9549045518283"/>
    <n v="28923341"/>
    <x v="3"/>
    <n v="1.7069586263143144"/>
    <n v="83.183918739003005"/>
    <n v="1358.4008984375"/>
    <x v="1482"/>
    <n v="0"/>
    <s v="Reliance Industries"/>
    <s v="Energy &amp; Conglomerate"/>
  </r>
  <r>
    <x v="102"/>
    <n v="1284.6060791015625"/>
    <n v="1286.7376948587628"/>
    <n v="1273.2045428922677"/>
    <n v="1283.8625006531302"/>
    <n v="9247557"/>
    <x v="3"/>
    <n v="0.67598898786578321"/>
    <n v="83.746232869353875"/>
    <n v="1354.7504223632814"/>
    <x v="1483"/>
    <n v="0"/>
    <s v="Reliance Industries"/>
    <s v="Energy &amp; Conglomerate"/>
  </r>
  <r>
    <x v="103"/>
    <n v="1282.1275634765625"/>
    <n v="1292.6864023015985"/>
    <n v="1274.9892583407009"/>
    <n v="1282.4250432843671"/>
    <n v="9572746"/>
    <x v="3"/>
    <n v="-0.19293973968529388"/>
    <n v="83.584653105659513"/>
    <n v="1351.192646484375"/>
    <x v="1484"/>
    <n v="0"/>
    <s v="Reliance Industries"/>
    <s v="Energy &amp; Conglomerate"/>
  </r>
  <r>
    <x v="503"/>
    <n v="1259.91943359375"/>
    <n v="1285.4984608667178"/>
    <n v="1258.1844171284749"/>
    <n v="1278.905374093644"/>
    <n v="15027412"/>
    <x v="3"/>
    <n v="-1.732131069906484"/>
    <n v="82.13685735954283"/>
    <n v="1347.2159912109375"/>
    <x v="1485"/>
    <n v="0"/>
    <s v="Reliance Industries"/>
    <s v="Energy &amp; Conglomerate"/>
  </r>
  <r>
    <x v="104"/>
    <n v="1281.1361083984375"/>
    <n v="1288.3736540571424"/>
    <n v="1264.3312830599236"/>
    <n v="1269.0406134614409"/>
    <n v="13202307"/>
    <x v="3"/>
    <n v="1.6839707555085237"/>
    <n v="83.520018016971292"/>
    <n v="1343.6448291015624"/>
    <x v="1486"/>
    <n v="0"/>
    <s v="Reliance Industries"/>
    <s v="Energy &amp; Conglomerate"/>
  </r>
  <r>
    <x v="105"/>
    <n v="1297.9410400390625"/>
    <n v="1300.1221551586505"/>
    <n v="1266.1159054706329"/>
    <n v="1276.9721028104004"/>
    <n v="11024152"/>
    <x v="3"/>
    <n v="1.3117210209329766"/>
    <n v="84.615567649986914"/>
    <n v="1340.5852514648439"/>
    <x v="1487"/>
    <n v="0"/>
    <s v="Reliance Industries"/>
    <s v="Energy &amp; Conglomerate"/>
  </r>
  <r>
    <x v="106"/>
    <n v="1311.969970703125"/>
    <n v="1315.4400037478051"/>
    <n v="1295.8094826849822"/>
    <n v="1305.7238628126408"/>
    <n v="16869482"/>
    <x v="3"/>
    <n v="1.0808603959113761"/>
    <n v="85.530143809491221"/>
    <n v="1337.6828173828126"/>
    <x v="1488"/>
    <n v="0"/>
    <s v="Reliance Industries"/>
    <s v="Energy &amp; Conglomerate"/>
  </r>
  <r>
    <x v="107"/>
    <n v="1297.74267578125"/>
    <n v="1317.0262168141671"/>
    <n v="1292.8847265732211"/>
    <n v="1314.6467414933138"/>
    <n v="19608540"/>
    <x v="3"/>
    <n v="-1.0844222992581254"/>
    <n v="84.602635857433555"/>
    <n v="1334.1736206054688"/>
    <x v="1489"/>
    <n v="0"/>
    <s v="Reliance Industries"/>
    <s v="Energy &amp; Conglomerate"/>
  </r>
  <r>
    <x v="108"/>
    <n v="1310.7305908203125"/>
    <n v="1318.5628538088615"/>
    <n v="1294.9667032029149"/>
    <n v="1303.0964459866591"/>
    <n v="16858723"/>
    <x v="3"/>
    <n v="1.0008081942164404"/>
    <n v="85.449345969617852"/>
    <n v="1330.7764575195313"/>
    <x v="1490"/>
    <n v="0"/>
    <s v="Reliance Industries"/>
    <s v="Energy &amp; Conglomerate"/>
  </r>
  <r>
    <x v="109"/>
    <n v="1300.320556640625"/>
    <n v="1312.564791729292"/>
    <n v="1298.7837793313574"/>
    <n v="1312.564791729292"/>
    <n v="9037514"/>
    <x v="3"/>
    <n v="-0.79421616101692516"/>
    <n v="84.770693454443887"/>
    <n v="1327.2504101562499"/>
    <x v="1491"/>
    <n v="0"/>
    <s v="Reliance Industries"/>
    <s v="Energy &amp; Conglomerate"/>
  </r>
  <r>
    <x v="110"/>
    <n v="1284.0609130859375"/>
    <n v="1303.7409326166044"/>
    <n v="1282.0284168341586"/>
    <n v="1291.8436769577456"/>
    <n v="14650002"/>
    <x v="3"/>
    <n v="-1.2504334774722237"/>
    <n v="83.710692324404164"/>
    <n v="1323.3084545898437"/>
    <x v="1492"/>
    <n v="0"/>
    <s v="Reliance Industries"/>
    <s v="Energy &amp; Conglomerate"/>
  </r>
  <r>
    <x v="111"/>
    <n v="1273.8489990234375"/>
    <n v="1283.8129986211379"/>
    <n v="1269.238788448007"/>
    <n v="1278.2113501165884"/>
    <n v="16043729"/>
    <x v="3"/>
    <n v="-0.79528268156361381"/>
    <n v="83.044955685731182"/>
    <n v="1319.0829443359376"/>
    <x v="1493"/>
    <n v="0"/>
    <s v="Reliance Industries"/>
    <s v="Energy &amp; Conglomerate"/>
  </r>
  <r>
    <x v="112"/>
    <n v="1267.2559814453125"/>
    <n v="1278.9549980546296"/>
    <n v="1265.1244866020038"/>
    <n v="1273.9978081396894"/>
    <n v="11724373"/>
    <x v="3"/>
    <n v="-0.51756664904391014"/>
    <n v="82.615142691388542"/>
    <n v="1314.1659057617187"/>
    <x v="1494"/>
    <n v="0"/>
    <s v="Reliance Industries"/>
    <s v="Energy &amp; Conglomerate"/>
  </r>
  <r>
    <x v="113"/>
    <n v="1252.0870361328125"/>
    <n v="1267.2559644540599"/>
    <n v="1249.8066803924569"/>
    <n v="1259.1262215126185"/>
    <n v="20906813"/>
    <x v="3"/>
    <n v="-1.1969914156727657"/>
    <n v="81.62624652532682"/>
    <n v="1309.9289965820312"/>
    <x v="1495"/>
    <n v="0"/>
    <s v="Reliance Industries"/>
    <s v="Energy &amp; Conglomerate"/>
  </r>
  <r>
    <x v="114"/>
    <n v="1261.9517822265625"/>
    <n v="1264.2816372257721"/>
    <n v="1228.9864700814942"/>
    <n v="1249.2118286552261"/>
    <n v="28630222"/>
    <x v="3"/>
    <n v="0.78786424657970588"/>
    <n v="82.269350537524872"/>
    <n v="1306.1223706054689"/>
    <x v="1496"/>
    <n v="0"/>
    <s v="Reliance Industries"/>
    <s v="Energy &amp; Conglomerate"/>
  </r>
  <r>
    <x v="115"/>
    <n v="1257.4407958984375"/>
    <n v="1270.032009408355"/>
    <n v="1255.7057794921418"/>
    <n v="1264.0833817296273"/>
    <n v="9486781"/>
    <x v="3"/>
    <n v="-0.35746106877125872"/>
    <n v="81.975269637822265"/>
    <n v="1303.3726171875001"/>
    <x v="1497"/>
    <n v="0"/>
    <s v="Reliance Industries"/>
    <s v="Energy &amp; Conglomerate"/>
  </r>
  <r>
    <x v="116"/>
    <n v="1234.6378173828125"/>
    <n v="1253.0785403896136"/>
    <n v="1232.1592223274588"/>
    <n v="1250.2529662315403"/>
    <n v="17462791"/>
    <x v="3"/>
    <n v="-1.8134435108201119"/>
    <n v="80.488694430097894"/>
    <n v="1300.5723022460938"/>
    <x v="1498"/>
    <n v="0"/>
    <s v="Reliance Industries"/>
    <s v="Energy &amp; Conglomerate"/>
  </r>
  <r>
    <x v="117"/>
    <n v="1234.6378173828125"/>
    <n v="1249.1622394023721"/>
    <n v="1230.0275589282251"/>
    <n v="1230.0275589282251"/>
    <n v="12670179"/>
    <x v="3"/>
    <n v="0"/>
    <n v="80.488694430097894"/>
    <n v="1297.7719873046874"/>
    <x v="1499"/>
    <n v="0"/>
    <s v="Reliance Industries"/>
    <s v="Energy &amp; Conglomerate"/>
  </r>
  <r>
    <x v="118"/>
    <n v="1219.914794921875"/>
    <n v="1234.2411461229626"/>
    <n v="1218.4772582835096"/>
    <n v="1228.3916379278016"/>
    <n v="14244653"/>
    <x v="3"/>
    <n v="-1.192497285734162"/>
    <n v="79.528868933696117"/>
    <n v="1294.4625659179687"/>
    <x v="1500"/>
    <n v="0"/>
    <s v="Reliance Industries"/>
    <s v="Energy &amp; Conglomerate"/>
  </r>
  <r>
    <x v="119"/>
    <n v="1194.9803466796875"/>
    <n v="1228.8874800507767"/>
    <n v="1191.2128336272758"/>
    <n v="1213.5201900622435"/>
    <n v="20312896"/>
    <x v="3"/>
    <n v="-2.0439499828989516"/>
    <n v="77.903338630726097"/>
    <n v="1291.1055590820313"/>
    <x v="1501"/>
    <n v="0"/>
    <s v="Reliance Industries"/>
    <s v="Energy &amp; Conglomerate"/>
  </r>
  <r>
    <x v="120"/>
    <n v="1211.834716796875"/>
    <n v="1216.6926661807136"/>
    <n v="1202.8125341694108"/>
    <n v="1204.5971709809228"/>
    <n v="10052824"/>
    <x v="3"/>
    <n v="1.4104307375446101"/>
    <n v="79.002111264347334"/>
    <n v="1288.1560327148438"/>
    <x v="1502"/>
    <n v="0"/>
    <s v="Reliance Industries"/>
    <s v="Energy &amp; Conglomerate"/>
  </r>
  <r>
    <x v="121"/>
    <n v="1212.2808837890625"/>
    <n v="1222.988463211123"/>
    <n v="1210.5458671898959"/>
    <n v="1211.8347850736238"/>
    <n v="6734917"/>
    <x v="3"/>
    <n v="3.6817478984829677E-2"/>
    <n v="79.031197850059641"/>
    <n v="1285.194609375"/>
    <x v="1503"/>
    <n v="0"/>
    <s v="Reliance Industries"/>
    <s v="Energy &amp; Conglomerate"/>
  </r>
  <r>
    <x v="122"/>
    <n v="1206.1339111328125"/>
    <n v="1217.1883476811242"/>
    <n v="1203.8535553911518"/>
    <n v="1213.767935093776"/>
    <n v="10016178"/>
    <x v="3"/>
    <n v="-0.50705844977422254"/>
    <n v="78.630463483403133"/>
    <n v="1282.1018188476562"/>
    <x v="1504"/>
    <n v="0"/>
    <s v="Reliance Industries"/>
    <s v="Energy &amp; Conglomerate"/>
  </r>
  <r>
    <x v="123"/>
    <n v="1210.595458984375"/>
    <n v="1217.3867853075249"/>
    <n v="1206.5800865394056"/>
    <n v="1207.86900439277"/>
    <n v="7000397"/>
    <x v="3"/>
    <n v="0.36990485139185569"/>
    <n v="78.921321382500139"/>
    <n v="1279.66337890625"/>
    <x v="1505"/>
    <n v="0"/>
    <s v="Reliance Industries"/>
    <s v="Energy &amp; Conglomerate"/>
  </r>
  <r>
    <x v="124"/>
    <n v="1200.3338623046875"/>
    <n v="1212.7268365212019"/>
    <n v="1197.7561478726802"/>
    <n v="1205.9851311625014"/>
    <n v="8818766"/>
    <x v="3"/>
    <n v="-0.84764870077213006"/>
    <n v="78.252345827169179"/>
    <n v="1276.8204296875001"/>
    <x v="1506"/>
    <n v="0"/>
    <s v="Reliance Industries"/>
    <s v="Energy &amp; Conglomerate"/>
  </r>
  <r>
    <x v="125"/>
    <n v="1205.043212890625"/>
    <n v="1208.6619856280877"/>
    <n v="1195.8229125326573"/>
    <n v="1197.6570485426987"/>
    <n v="6405475"/>
    <x v="3"/>
    <n v="0.39233672679159781"/>
    <n v="78.559358519425146"/>
    <n v="1274.0250683593749"/>
    <x v="1507"/>
    <n v="0"/>
    <s v="Reliance Industries"/>
    <s v="Energy &amp; Conglomerate"/>
  </r>
  <r>
    <x v="504"/>
    <n v="1210.7935791015625"/>
    <n v="1215.800389087432"/>
    <n v="1201.2261788160188"/>
    <n v="1204.4483521073844"/>
    <n v="5892590"/>
    <x v="3"/>
    <n v="0.4771917014613658"/>
    <n v="78.934237259001122"/>
    <n v="1271.2877075195313"/>
    <x v="1508"/>
    <n v="0"/>
    <s v="Reliance Industries"/>
    <s v="Energy &amp; Conglomerate"/>
  </r>
  <r>
    <x v="126"/>
    <n v="1231.167724609375"/>
    <n v="1233.7949384205442"/>
    <n v="1209.5543283646059"/>
    <n v="1210.7936258321929"/>
    <n v="15486276"/>
    <x v="3"/>
    <n v="1.6827100720942623"/>
    <n v="80.262471619689109"/>
    <n v="1268.7615258789062"/>
    <x v="1509"/>
    <n v="0"/>
    <s v="Reliance Industries"/>
    <s v="Energy &amp; Conglomerate"/>
  </r>
  <r>
    <x v="127"/>
    <n v="1240.4376220703125"/>
    <n v="1251.2443199889096"/>
    <n v="1224.9215938636924"/>
    <n v="1233.2496968938565"/>
    <n v="15521102"/>
    <x v="3"/>
    <n v="0.75293538610903266"/>
    <n v="80.866796170279471"/>
    <n v="1266.9333129882812"/>
    <x v="1510"/>
    <n v="0"/>
    <s v="Reliance Industries"/>
    <s v="Energy &amp; Conglomerate"/>
  </r>
  <r>
    <x v="128"/>
    <n v="1207.571533203125"/>
    <n v="1251.1948069805778"/>
    <n v="1204.597219081935"/>
    <n v="1243.2136823453243"/>
    <n v="14816766"/>
    <x v="3"/>
    <n v="-2.6495559536749091"/>
    <n v="78.724185157803689"/>
    <n v="1264.5434521484376"/>
    <x v="1511"/>
    <n v="0"/>
    <s v="Reliance Industries"/>
    <s v="Energy &amp; Conglomerate"/>
  </r>
  <r>
    <x v="129"/>
    <n v="1230.2257080078125"/>
    <n v="1233.8444805890149"/>
    <n v="1210.7935491517349"/>
    <n v="1211.5371275851955"/>
    <n v="10070505"/>
    <x v="3"/>
    <n v="1.8760110007393527"/>
    <n v="80.201059531606504"/>
    <n v="1262.5813916015625"/>
    <x v="1512"/>
    <n v="0"/>
    <s v="Reliance Industries"/>
    <s v="Energy &amp; Conglomerate"/>
  </r>
  <r>
    <x v="130"/>
    <n v="1254.664794921875"/>
    <n v="1260.167324257905"/>
    <n v="1234.6872949225542"/>
    <n v="1238.3060678446636"/>
    <n v="19346579"/>
    <x v="3"/>
    <n v="1.9865530979382928"/>
    <n v="81.79429616431095"/>
    <n v="1261.3450708007813"/>
    <x v="1513"/>
    <n v="0"/>
    <s v="Reliance Industries"/>
    <s v="Energy &amp; Conglomerate"/>
  </r>
  <r>
    <x v="505"/>
    <n v="1244.0068359375"/>
    <n v="1258.878406002503"/>
    <n v="1237.3642497185242"/>
    <n v="1256.1519514905858"/>
    <n v="12794704"/>
    <x v="3"/>
    <n v="-0.84946664858310816"/>
    <n v="81.09948089795185"/>
    <n v="1259.8955908203125"/>
    <x v="1514"/>
    <n v="0"/>
    <s v="Reliance Industries"/>
    <s v="Energy &amp; Conglomerate"/>
  </r>
  <r>
    <x v="131"/>
    <n v="1231.266845703125"/>
    <n v="1245.9896754309789"/>
    <n v="1225.4173374439545"/>
    <n v="1243.114481097643"/>
    <n v="8120332"/>
    <x v="3"/>
    <n v="-1.0241093429984249"/>
    <n v="80.268933536952687"/>
    <n v="1257.950390625"/>
    <x v="1515"/>
    <n v="0"/>
    <s v="Reliance Industries"/>
    <s v="Energy &amp; Conglomerate"/>
  </r>
  <r>
    <x v="132"/>
    <n v="1229.234375"/>
    <n v="1234.5881643828388"/>
    <n v="1215.899582365329"/>
    <n v="1219.4687349455062"/>
    <n v="13764861"/>
    <x v="3"/>
    <n v="-0.16507150421680716"/>
    <n v="80.136432400944457"/>
    <n v="1255.88720703125"/>
    <x v="1516"/>
    <n v="0"/>
    <s v="Reliance Industries"/>
    <s v="Energy &amp; Conglomerate"/>
  </r>
  <r>
    <x v="133"/>
    <n v="1228.143798828125"/>
    <n v="1242.6187691440975"/>
    <n v="1216.742262047884"/>
    <n v="1233.4479678208604"/>
    <n v="13095266"/>
    <x v="3"/>
    <n v="-8.8719953985583189E-2"/>
    <n v="80.065335394992658"/>
    <n v="1254.0371826171875"/>
    <x v="1517"/>
    <n v="0"/>
    <s v="Reliance Industries"/>
    <s v="Energy &amp; Conglomerate"/>
  </r>
  <r>
    <x v="134"/>
    <n v="1241.478515625"/>
    <n v="1246.2374660533972"/>
    <n v="1231.2171573529768"/>
    <n v="1234.2905907014622"/>
    <n v="9578856"/>
    <x v="3"/>
    <n v="1.0857618472363662"/>
    <n v="80.934654259573307"/>
    <n v="1252.3229833984376"/>
    <x v="1518"/>
    <n v="0"/>
    <s v="Reliance Industries"/>
    <s v="Energy &amp; Conglomerate"/>
  </r>
  <r>
    <x v="135"/>
    <n v="1255.6065673828125"/>
    <n v="1264.0834104275011"/>
    <n v="1240.5863789731411"/>
    <n v="1248.1212833322295"/>
    <n v="14117603"/>
    <x v="3"/>
    <n v="1.1380021144143493"/>
    <n v="81.855692336341207"/>
    <n v="1251.6150952148437"/>
    <x v="1519"/>
    <n v="0"/>
    <s v="Reliance Industries"/>
    <s v="Energy &amp; Conglomerate"/>
  </r>
  <r>
    <x v="136"/>
    <n v="1291.19921875"/>
    <n v="1314.6467509950228"/>
    <n v="1273.997794139219"/>
    <n v="1310.9288585996749"/>
    <n v="29366277"/>
    <x v="3"/>
    <n v="2.8346977701285025"/>
    <n v="84.176053821722704"/>
    <n v="1251.5565991210938"/>
    <x v="1520"/>
    <n v="1"/>
    <s v="Reliance Industries"/>
    <s v="Energy &amp; Conglomerate"/>
  </r>
  <r>
    <x v="506"/>
    <n v="1294.272705078125"/>
    <n v="1304.7324245206253"/>
    <n v="1289.1172758229052"/>
    <n v="1304.7324245206253"/>
    <n v="14040244"/>
    <x v="3"/>
    <n v="0.23803347179069956"/>
    <n v="84.376421005050958"/>
    <n v="1251.1620092773437"/>
    <x v="1521"/>
    <n v="0"/>
    <s v="Reliance Industries"/>
    <s v="Energy &amp; Conglomerate"/>
  </r>
  <r>
    <x v="137"/>
    <n v="1262.7945556640625"/>
    <n v="1301.7581181984158"/>
    <n v="1259.3245225995579"/>
    <n v="1299.2795231523412"/>
    <n v="14562976"/>
    <x v="3"/>
    <n v="-2.4321110451110406"/>
    <n v="82.324292750317724"/>
    <n v="1250.5284814453125"/>
    <x v="1522"/>
    <n v="0"/>
    <s v="Reliance Industries"/>
    <s v="Energy &amp; Conglomerate"/>
  </r>
  <r>
    <x v="138"/>
    <n v="1266.16552734375"/>
    <n v="1271.9159165250771"/>
    <n v="1257.8374234010246"/>
    <n v="1267.3553256356561"/>
    <n v="10273590"/>
    <x v="3"/>
    <n v="0.26694537639297966"/>
    <n v="82.544053643462917"/>
    <n v="1250.3966210937499"/>
    <x v="1523"/>
    <n v="0"/>
    <s v="Reliance Industries"/>
    <s v="Energy &amp; Conglomerate"/>
  </r>
  <r>
    <x v="139"/>
    <n v="1252.8306884765625"/>
    <n v="1266.4133410521551"/>
    <n v="1250.7981921087951"/>
    <n v="1259.1262957502838"/>
    <n v="8720682"/>
    <x v="3"/>
    <n v="-1.0531671080290961"/>
    <n v="81.67472682085608"/>
    <n v="1250.2171752929687"/>
    <x v="1524"/>
    <n v="0"/>
    <s v="Reliance Industries"/>
    <s v="Energy &amp; Conglomerate"/>
  </r>
  <r>
    <x v="140"/>
    <n v="1252.8306884765625"/>
    <n v="1262.1006196074511"/>
    <n v="1232.8531975505623"/>
    <n v="1255.1605533566642"/>
    <n v="14235970"/>
    <x v="3"/>
    <n v="0"/>
    <n v="81.67472682085608"/>
    <n v="1250.0069921874999"/>
    <x v="1525"/>
    <n v="0"/>
    <s v="Reliance Industries"/>
    <s v="Energy &amp; Conglomerate"/>
  </r>
  <r>
    <x v="141"/>
    <n v="1218.82421875"/>
    <n v="1229.8291557820492"/>
    <n v="1209.5542981292017"/>
    <n v="1228.4907387555406"/>
    <n v="9536019"/>
    <x v="3"/>
    <n v="-2.7143707477276346"/>
    <n v="79.457771927744304"/>
    <n v="1249.5568774414062"/>
    <x v="1526"/>
    <n v="0"/>
    <s v="Reliance Industries"/>
    <s v="Energy &amp; Conglomerate"/>
  </r>
  <r>
    <x v="142"/>
    <n v="1223.8310546875"/>
    <n v="1234.0924134746083"/>
    <n v="1208.0671667554209"/>
    <n v="1227.4002071753887"/>
    <n v="10568025"/>
    <x v="3"/>
    <n v="0.41079229149507679"/>
    <n v="79.784178329817209"/>
    <n v="1248.8985620117187"/>
    <x v="1527"/>
    <n v="0"/>
    <s v="Reliance Industries"/>
    <s v="Energy &amp; Conglomerate"/>
  </r>
  <r>
    <x v="143"/>
    <n v="1224.921630859375"/>
    <n v="1232.1095562529249"/>
    <n v="1217.53546627882"/>
    <n v="1225.4173498520336"/>
    <n v="5928156"/>
    <x v="3"/>
    <n v="8.9111660281693261E-2"/>
    <n v="79.855275335769022"/>
    <n v="1248.3978857421876"/>
    <x v="1528"/>
    <n v="0"/>
    <s v="Reliance Industries"/>
    <s v="Energy &amp; Conglomerate"/>
  </r>
  <r>
    <x v="144"/>
    <n v="1242.3214111328125"/>
    <n v="1246.2375427496929"/>
    <n v="1221.8481926097395"/>
    <n v="1224.9712464565041"/>
    <n v="9269259"/>
    <x v="3"/>
    <n v="1.420481101409754"/>
    <n v="80.989604430392333"/>
    <n v="1248.6239355468749"/>
    <x v="1529"/>
    <n v="0"/>
    <s v="Reliance Industries"/>
    <s v="Energy &amp; Conglomerate"/>
  </r>
  <r>
    <x v="145"/>
    <n v="1254.2681884765625"/>
    <n v="1256.1519448799122"/>
    <n v="1238.3060608958251"/>
    <n v="1245.0973869847401"/>
    <n v="6584612"/>
    <x v="3"/>
    <n v="0.96164947627010999"/>
    <n v="81.768440537230433"/>
    <n v="1249.4587280273438"/>
    <x v="1530"/>
    <n v="0"/>
    <s v="Reliance Industries"/>
    <s v="Energy &amp; Conglomerate"/>
  </r>
  <r>
    <x v="507"/>
    <n v="1253.7724609375"/>
    <n v="1259.6715896071485"/>
    <n v="1230.3745485227571"/>
    <n v="1254.2681799336815"/>
    <n v="7118453"/>
    <x v="3"/>
    <n v="-3.9523248984307813E-2"/>
    <n v="81.736122992886322"/>
    <n v="1249.4428637695312"/>
    <x v="1531"/>
    <n v="0"/>
    <s v="Reliance Industries"/>
    <s v="Energy &amp; Conglomerate"/>
  </r>
  <r>
    <x v="146"/>
    <n v="1235.232666015625"/>
    <n v="1245.2461659154887"/>
    <n v="1226.9541826685895"/>
    <n v="1240.2889757645512"/>
    <n v="9252345"/>
    <x v="3"/>
    <n v="-1.4787208604033264"/>
    <n v="80.527473891705597"/>
    <n v="1248.6279052734376"/>
    <x v="1532"/>
    <n v="0"/>
    <s v="Reliance Industries"/>
    <s v="Energy &amp; Conglomerate"/>
  </r>
  <r>
    <x v="147"/>
    <n v="1274.196044921875"/>
    <n v="1277.7653184740125"/>
    <n v="1235.9265630557768"/>
    <n v="1237.3642207434832"/>
    <n v="16691069"/>
    <x v="3"/>
    <n v="3.1543352097326283"/>
    <n v="83.06758035417991"/>
    <n v="1248.4197045898438"/>
    <x v="1533"/>
    <n v="0"/>
    <s v="Reliance Industries"/>
    <s v="Energy &amp; Conglomerate"/>
  </r>
  <r>
    <x v="148"/>
    <n v="1267.2559814453125"/>
    <n v="1279.4507170461238"/>
    <n v="1265.7688244708304"/>
    <n v="1271.6679530846959"/>
    <n v="10112028"/>
    <x v="3"/>
    <n v="-0.54466214239332622"/>
    <n v="82.615142691388542"/>
    <n v="1248.1222729492188"/>
    <x v="1534"/>
    <n v="0"/>
    <s v="Reliance Industries"/>
    <s v="Energy &amp; Conglomerate"/>
  </r>
  <r>
    <x v="149"/>
    <n v="1270.577392578125"/>
    <n v="1276.9721191435924"/>
    <n v="1259.4732145791811"/>
    <n v="1262.7945076095025"/>
    <n v="9956001"/>
    <x v="3"/>
    <n v="0.26209472919784815"/>
    <n v="82.831672625901945"/>
    <n v="1248.3354321289062"/>
    <x v="1535"/>
    <n v="0"/>
    <s v="Reliance Industries"/>
    <s v="Energy &amp; Conglomerate"/>
  </r>
  <r>
    <x v="150"/>
    <n v="1255.8544921875"/>
    <n v="1272.7089385364054"/>
    <n v="1251.1947819010977"/>
    <n v="1265.2236540965398"/>
    <n v="8764283"/>
    <x v="3"/>
    <n v="-1.158756678390982"/>
    <n v="81.871855087526342"/>
    <n v="1247.8297998046876"/>
    <x v="1536"/>
    <n v="0"/>
    <s v="Reliance Industries"/>
    <s v="Energy &amp; Conglomerate"/>
  </r>
  <r>
    <x v="151"/>
    <n v="1242.916259765625"/>
    <n v="1255.6562137259159"/>
    <n v="1234.8856362555491"/>
    <n v="1253.6733377468779"/>
    <n v="6970972"/>
    <x v="3"/>
    <n v="-1.0302333990412138"/>
    <n v="81.028383892000036"/>
    <n v="1246.7293041992189"/>
    <x v="1537"/>
    <n v="0"/>
    <s v="Reliance Industries"/>
    <s v="Energy &amp; Conglomerate"/>
  </r>
  <r>
    <x v="152"/>
    <n v="1224.2772216796875"/>
    <n v="1253.7230036544372"/>
    <n v="1219.567891058193"/>
    <n v="1253.7230036544372"/>
    <n v="8859714"/>
    <x v="3"/>
    <n v="-1.4996213895739241"/>
    <n v="79.81326491552953"/>
    <n v="1244.9754492187501"/>
    <x v="1538"/>
    <n v="0"/>
    <s v="Reliance Industries"/>
    <s v="Energy &amp; Conglomerate"/>
  </r>
  <r>
    <x v="153"/>
    <n v="1206.1339111328125"/>
    <n v="1216.3952699199999"/>
    <n v="1183.1324776076383"/>
    <n v="1209.0089844264594"/>
    <n v="21131654"/>
    <x v="3"/>
    <n v="-1.4819609664862288"/>
    <n v="78.630463483403133"/>
    <n v="1243.1432739257812"/>
    <x v="1539"/>
    <n v="0"/>
    <s v="Reliance Industries"/>
    <s v="Energy &amp; Conglomerate"/>
  </r>
  <r>
    <x v="154"/>
    <n v="1205.6876220703125"/>
    <n v="1217.4857574427408"/>
    <n v="1201.622750831109"/>
    <n v="1206.6295607029597"/>
    <n v="8511216"/>
    <x v="3"/>
    <n v="-3.7001618011123227E-2"/>
    <n v="78.601368939664624"/>
    <n v="1241.0424145507814"/>
    <x v="1540"/>
    <n v="0"/>
    <s v="Reliance Industries"/>
    <s v="Energy &amp; Conglomerate"/>
  </r>
  <r>
    <x v="155"/>
    <n v="1206.827880859375"/>
    <n v="1213.5200872227356"/>
    <n v="1195.1288642881832"/>
    <n v="1208.56289732395"/>
    <n v="10298145"/>
    <x v="3"/>
    <n v="9.4573318012880492E-2"/>
    <n v="78.675704862274415"/>
    <n v="1239.1725610351561"/>
    <x v="1541"/>
    <n v="0"/>
    <s v="Reliance Industries"/>
    <s v="Energy &amp; Conglomerate"/>
  </r>
  <r>
    <x v="508"/>
    <n v="1214.4124755859375"/>
    <n v="1216.9901902768092"/>
    <n v="1194.1871154284454"/>
    <n v="1200.7305822668588"/>
    <n v="8166683"/>
    <x v="3"/>
    <n v="0.62847360811397746"/>
    <n v="79.170160903331464"/>
    <n v="1237.7795922851562"/>
    <x v="1542"/>
    <n v="0"/>
    <s v="Reliance Industries"/>
    <s v="Energy &amp; Conglomerate"/>
  </r>
  <r>
    <x v="156"/>
    <n v="1214.908203125"/>
    <n v="1219.3696743222742"/>
    <n v="1205.6877809072391"/>
    <n v="1214.362863790828"/>
    <n v="6673250"/>
    <x v="3"/>
    <n v="4.0820359558924046E-2"/>
    <n v="79.202478447675588"/>
    <n v="1236.6007763671876"/>
    <x v="1543"/>
    <n v="0"/>
    <s v="Reliance Industries"/>
    <s v="Energy &amp; Conglomerate"/>
  </r>
  <r>
    <x v="157"/>
    <n v="1216.9404296875"/>
    <n v="1222.1950990873445"/>
    <n v="1207.1252910738519"/>
    <n v="1209.0585466128707"/>
    <n v="6217338"/>
    <x v="3"/>
    <n v="0.16727408352932294"/>
    <n v="79.334963667631442"/>
    <n v="1235.5944653320312"/>
    <x v="1544"/>
    <n v="0"/>
    <s v="Reliance Industries"/>
    <s v="Energy &amp; Conglomerate"/>
  </r>
  <r>
    <x v="158"/>
    <n v="1222.4429931640625"/>
    <n v="1228.7385999457269"/>
    <n v="1211.5371757068001"/>
    <n v="1213.4704313005311"/>
    <n v="7795582"/>
    <x v="3"/>
    <n v="0.45216374954157867"/>
    <n v="79.693687614048457"/>
    <n v="1235.0015844726563"/>
    <x v="1545"/>
    <n v="0"/>
    <s v="Reliance Industries"/>
    <s v="Energy &amp; Conglomerate"/>
  </r>
  <r>
    <x v="159"/>
    <n v="1217.634521484375"/>
    <n v="1229.3830367840983"/>
    <n v="1211.6858938870323"/>
    <n v="1218.1797397323817"/>
    <n v="6904025"/>
    <x v="3"/>
    <n v="-0.39334935915839031"/>
    <n v="79.380213004528912"/>
    <n v="1234.1152392578124"/>
    <x v="1546"/>
    <n v="0"/>
    <s v="Reliance Industries"/>
    <s v="Energy &amp; Conglomerate"/>
  </r>
  <r>
    <x v="160"/>
    <n v="1204.151123046875"/>
    <n v="1212.7765856074127"/>
    <n v="1200.1357505642943"/>
    <n v="1206.1339991320699"/>
    <n v="7172498"/>
    <x v="3"/>
    <n v="-1.1073436404433479"/>
    <n v="78.501201264052881"/>
    <n v="1233.0494458007813"/>
    <x v="1547"/>
    <n v="0"/>
    <s v="Reliance Industries"/>
    <s v="Energy &amp; Conglomerate"/>
  </r>
  <r>
    <x v="161"/>
    <n v="1193.69140625"/>
    <n v="1210.5458530159883"/>
    <n v="1191.2128111373545"/>
    <n v="1200.631472565407"/>
    <n v="11552182"/>
    <x v="3"/>
    <n v="-0.86863821298515109"/>
    <n v="77.819309832220924"/>
    <n v="1232.230517578125"/>
    <x v="1548"/>
    <n v="0"/>
    <s v="Reliance Industries"/>
    <s v="Energy &amp; Conglomerate"/>
  </r>
  <r>
    <x v="163"/>
    <n v="1196.7647705078125"/>
    <n v="1204.5971548141019"/>
    <n v="1190.370043898487"/>
    <n v="1202.416039651657"/>
    <n v="11509215"/>
    <x v="3"/>
    <n v="0.25746723497552804"/>
    <n v="78.019669057523004"/>
    <n v="1231.4730566406249"/>
    <x v="1549"/>
    <n v="0"/>
    <s v="Reliance Industries"/>
    <s v="Energy &amp; Conglomerate"/>
  </r>
  <r>
    <x v="164"/>
    <n v="1189.82470703125"/>
    <n v="1206.9270123506617"/>
    <n v="1183.0830013175257"/>
    <n v="1191.7084634163882"/>
    <n v="23007298"/>
    <x v="3"/>
    <n v="-0.57990205323454891"/>
    <n v="77.567231394731635"/>
    <n v="1230.8712548828125"/>
    <x v="1550"/>
    <n v="1"/>
    <s v="Reliance Industries"/>
    <s v="Energy &amp; Conglomerate"/>
  </r>
  <r>
    <x v="165"/>
    <n v="1161.2216796875"/>
    <n v="1196.1202465389174"/>
    <n v="1146.1022512006402"/>
    <n v="1193.6912720117396"/>
    <n v="17944938"/>
    <x v="3"/>
    <n v="-2.4039698599903736"/>
    <n v="75.702538530773296"/>
    <n v="1230.1960815429688"/>
    <x v="1551"/>
    <n v="0"/>
    <s v="Reliance Industries"/>
    <s v="Energy &amp; Conglomerate"/>
  </r>
  <r>
    <x v="166"/>
    <n v="1151.9517822265625"/>
    <n v="1163.9481572573211"/>
    <n v="1149.6219272411693"/>
    <n v="1152.2491409974891"/>
    <n v="11377373"/>
    <x v="3"/>
    <n v="-0.79828835639996765"/>
    <n v="75.098213980182919"/>
    <n v="1228.9984228515625"/>
    <x v="1552"/>
    <n v="0"/>
    <s v="Reliance Industries"/>
    <s v="Energy &amp; Conglomerate"/>
  </r>
  <r>
    <x v="167"/>
    <n v="1165.534423828125"/>
    <n v="1172.8710888254675"/>
    <n v="1147.0937022578751"/>
    <n v="1151.0594540375048"/>
    <n v="8664095"/>
    <x v="3"/>
    <n v="1.1790981021192692"/>
    <n v="75.983695595948731"/>
    <n v="1228.0634936523438"/>
    <x v="1553"/>
    <n v="0"/>
    <s v="Reliance Industries"/>
    <s v="Energy &amp; Conglomerate"/>
  </r>
  <r>
    <x v="168"/>
    <n v="1199.2432861328125"/>
    <n v="1203.5560168880777"/>
    <n v="1175.0026773522586"/>
    <n v="1186.7511925218207"/>
    <n v="14468014"/>
    <x v="3"/>
    <n v="2.892137856724375"/>
    <n v="78.18124882121738"/>
    <n v="1227.9256811523437"/>
    <x v="1554"/>
    <n v="0"/>
    <s v="Reliance Industries"/>
    <s v="Energy &amp; Conglomerate"/>
  </r>
  <r>
    <x v="169"/>
    <n v="1239.0992431640625"/>
    <n v="1244.0564330934674"/>
    <n v="1201.622838887705"/>
    <n v="1205.5885908312289"/>
    <n v="16474965"/>
    <x v="3"/>
    <n v="3.3234254877317682"/>
    <n v="80.779544371168711"/>
    <n v="1228.4957568359375"/>
    <x v="1555"/>
    <n v="0"/>
    <s v="Reliance Industries"/>
    <s v="Energy &amp; Conglomerate"/>
  </r>
  <r>
    <x v="170"/>
    <n v="1227.796875"/>
    <n v="1247.2290360950196"/>
    <n v="1224.8225609234617"/>
    <n v="1234.340341763354"/>
    <n v="11931051"/>
    <x v="3"/>
    <n v="-0.91214390020945002"/>
    <n v="80.042718684570104"/>
    <n v="1229.0450170898437"/>
    <x v="1556"/>
    <n v="0"/>
    <s v="Reliance Industries"/>
    <s v="Energy &amp; Conglomerate"/>
  </r>
  <r>
    <x v="171"/>
    <n v="1236.62060546875"/>
    <n v="1238.8017205522631"/>
    <n v="1219.2208210077197"/>
    <n v="1229.3830600118497"/>
    <n v="10089838"/>
    <x v="3"/>
    <n v="0.71866370149784586"/>
    <n v="80.617956649448146"/>
    <n v="1229.6765649414062"/>
    <x v="1557"/>
    <n v="0"/>
    <s v="Reliance Industries"/>
    <s v="Energy &amp; Conglomerate"/>
  </r>
  <r>
    <x v="172"/>
    <n v="1246.2872314453125"/>
    <n v="1252.1862393488909"/>
    <n v="1233.3489166666827"/>
    <n v="1247.2290491693625"/>
    <n v="11977555"/>
    <x v="3"/>
    <n v="0.78169698400734067"/>
    <n v="81.248144785145229"/>
    <n v="1230.3864379882812"/>
    <x v="1558"/>
    <n v="0"/>
    <s v="Reliance Industries"/>
    <s v="Energy &amp; Conglomerate"/>
  </r>
  <r>
    <x v="173"/>
    <n v="1237.2154541015625"/>
    <n v="1253.3263209465169"/>
    <n v="1233.2000819547634"/>
    <n v="1249.2614495168184"/>
    <n v="9505270"/>
    <x v="3"/>
    <n v="-0.72790421941734129"/>
    <n v="80.656736111055849"/>
    <n v="1230.5073925781251"/>
    <x v="1559"/>
    <n v="0"/>
    <s v="Reliance Industries"/>
    <s v="Energy &amp; Conglomerate"/>
  </r>
  <r>
    <x v="175"/>
    <n v="1228.242919921875"/>
    <n v="1246.6341428999226"/>
    <n v="1222.5421515247892"/>
    <n v="1231.514713672869"/>
    <n v="16640917"/>
    <x v="3"/>
    <n v="-0.72522002129395968"/>
    <n v="80.071797312256237"/>
    <n v="1230.2634985351563"/>
    <x v="1560"/>
    <n v="0"/>
    <s v="Reliance Industries"/>
    <s v="Energy &amp; Conglomerate"/>
  </r>
  <r>
    <x v="176"/>
    <n v="1228.242919921875"/>
    <n v="1228.242919921875"/>
    <n v="1228.242919921875"/>
    <n v="1228.242919921875"/>
    <n v="0"/>
    <x v="3"/>
    <n v="0"/>
    <n v="80.071797312256237"/>
    <n v="1230.6769262695314"/>
    <x v="1561"/>
    <n v="0"/>
    <s v="Reliance Industries"/>
    <s v="Energy &amp; Conglomerate"/>
  </r>
  <r>
    <x v="177"/>
    <n v="1236.471923828125"/>
    <n v="1242.5196714129374"/>
    <n v="1228.1934407470596"/>
    <n v="1230.4241762433128"/>
    <n v="16162399"/>
    <x v="3"/>
    <n v="0.66998179047297324"/>
    <n v="80.608263773552764"/>
    <n v="1230.8018505859375"/>
    <x v="1562"/>
    <n v="0"/>
    <s v="Reliance Industries"/>
    <s v="Energy &amp; Conglomerate"/>
  </r>
  <r>
    <x v="178"/>
    <n v="1258.283447265625"/>
    <n v="1262.1004590128364"/>
    <n v="1239.3470073959113"/>
    <n v="1241.1315230182402"/>
    <n v="15971477"/>
    <x v="3"/>
    <n v="1.7640128350000284"/>
    <n v="82.030203892588929"/>
    <n v="1230.8742236328126"/>
    <x v="1563"/>
    <n v="0"/>
    <s v="Reliance Industries"/>
    <s v="Energy &amp; Conglomerate"/>
  </r>
  <r>
    <x v="179"/>
    <n v="1265.421875"/>
    <n v="1270.0320859338292"/>
    <n v="1259.2253874612909"/>
    <n v="1264.0834578966685"/>
    <n v="21780769"/>
    <x v="3"/>
    <n v="0.56731476122391378"/>
    <n v="82.495573347933657"/>
    <n v="1231.3025244140624"/>
    <x v="1564"/>
    <n v="0"/>
    <s v="Reliance Industries"/>
    <s v="Energy &amp; Conglomerate"/>
  </r>
  <r>
    <x v="180"/>
    <n v="1290.951416015625"/>
    <n v="1294.8180484818181"/>
    <n v="1273.2542716407156"/>
    <n v="1279.946478246575"/>
    <n v="20299319"/>
    <x v="3"/>
    <n v="2.0174727116697655"/>
    <n v="84.159899028563743"/>
    <n v="1232.4962158203125"/>
    <x v="1565"/>
    <n v="0"/>
    <s v="Reliance Industries"/>
    <s v="Energy &amp; Conglomerate"/>
  </r>
  <r>
    <x v="181"/>
    <n v="1274.4439697265625"/>
    <n v="1296.50346593687"/>
    <n v="1271.6183955406093"/>
    <n v="1296.50346593687"/>
    <n v="13713899"/>
    <x v="3"/>
    <n v="-1.2787039143588252"/>
    <n v="83.083743105365059"/>
    <n v="1233.4004077148438"/>
    <x v="1566"/>
    <n v="0"/>
    <s v="Reliance Industries"/>
    <s v="Energy &amp; Conglomerate"/>
  </r>
  <r>
    <x v="182"/>
    <n v="1262.150146484375"/>
    <n v="1282.7224842048431"/>
    <n v="1257.8869148358597"/>
    <n v="1279.9464094999762"/>
    <n v="12074747"/>
    <x v="3"/>
    <n v="-0.96464211328374239"/>
    <n v="82.282282330078232"/>
    <n v="1234.0805346679688"/>
    <x v="1567"/>
    <n v="0"/>
    <s v="Reliance Industries"/>
    <s v="Energy &amp; Conglomerate"/>
  </r>
  <r>
    <x v="183"/>
    <n v="1267.2559814453125"/>
    <n v="1273.9978081396894"/>
    <n v="1260.4151561828105"/>
    <n v="1267.2064821612498"/>
    <n v="15028056"/>
    <x v="3"/>
    <n v="0.4045346724523613"/>
    <n v="82.615142691388542"/>
    <n v="1234.5960839843749"/>
    <x v="1568"/>
    <n v="0"/>
    <s v="Reliance Industries"/>
    <s v="Energy &amp; Conglomerate"/>
  </r>
  <r>
    <x v="184"/>
    <n v="1264.1824951171875"/>
    <n v="1284.6557128160621"/>
    <n v="1258.1347478785124"/>
    <n v="1269.0405652360091"/>
    <n v="18147129"/>
    <x v="3"/>
    <n v="-0.2425308203808707"/>
    <n v="82.414775508060288"/>
    <n v="1234.7676025390624"/>
    <x v="1569"/>
    <n v="0"/>
    <s v="Reliance Industries"/>
    <s v="Energy &amp; Conglomerate"/>
  </r>
  <r>
    <x v="186"/>
    <n v="1241.8751220703125"/>
    <n v="1266.9585500115554"/>
    <n v="1238.6034495291531"/>
    <n v="1253.7723771839194"/>
    <n v="12099648"/>
    <x v="3"/>
    <n v="-1.7645690501992828"/>
    <n v="80.960509886653824"/>
    <n v="1233.7811206054687"/>
    <x v="1570"/>
    <n v="0"/>
    <s v="Reliance Industries"/>
    <s v="Energy &amp; Conglomerate"/>
  </r>
  <r>
    <x v="187"/>
    <n v="1240.4376220703125"/>
    <n v="1244.7999732789831"/>
    <n v="1233.2496968938565"/>
    <n v="1236.8684696359969"/>
    <n v="10142590"/>
    <x v="3"/>
    <n v="-0.11575237916060521"/>
    <n v="80.866796170279471"/>
    <n v="1232.7044189453125"/>
    <x v="1571"/>
    <n v="0"/>
    <s v="Reliance Industries"/>
    <s v="Energy &amp; Conglomerate"/>
  </r>
  <r>
    <x v="188"/>
    <n v="1238.008544921875"/>
    <n v="1241.0820994494682"/>
    <n v="1222.4926375090713"/>
    <n v="1222.4926375090713"/>
    <n v="7434366"/>
    <x v="3"/>
    <n v="-0.19582420794229671"/>
    <n v="80.70843940719071"/>
    <n v="1232.2086987304688"/>
    <x v="1572"/>
    <n v="0"/>
    <s v="Reliance Industries"/>
    <s v="Energy &amp; Conglomerate"/>
  </r>
  <r>
    <x v="189"/>
    <n v="1194.38525390625"/>
    <n v="1234.7863505024063"/>
    <n v="1182.9342181609516"/>
    <n v="1230.4736196106669"/>
    <n v="17908652"/>
    <x v="3"/>
    <n v="-3.5236663910407695"/>
    <n v="77.864543253066032"/>
    <n v="1230.7730932617187"/>
    <x v="1573"/>
    <n v="0"/>
    <s v="Reliance Industries"/>
    <s v="Energy &amp; Conglomerate"/>
  </r>
  <r>
    <x v="190"/>
    <n v="1155.71923828125"/>
    <n v="1161.2217676393543"/>
    <n v="1105.3046397460778"/>
    <n v="1122.506064991245"/>
    <n v="22156106"/>
    <x v="3"/>
    <n v="-3.2373152212439305"/>
    <n v="75.343822542382455"/>
    <n v="1228.8308642578124"/>
    <x v="1574"/>
    <n v="0"/>
    <s v="Reliance Industries"/>
    <s v="Energy &amp; Conglomerate"/>
  </r>
  <r>
    <x v="191"/>
    <n v="1172.0780029296875"/>
    <n v="1186.3547349162204"/>
    <n v="1153.3399207865864"/>
    <n v="1161.9653833278503"/>
    <n v="19555040"/>
    <x v="3"/>
    <n v="1.4154618272830488"/>
    <n v="76.41028558968577"/>
    <n v="1227.215810546875"/>
    <x v="1575"/>
    <n v="0"/>
    <s v="Reliance Industries"/>
    <s v="Energy &amp; Conglomerate"/>
  </r>
  <r>
    <x v="192"/>
    <n v="1175.2010498046875"/>
    <n v="1179.613021672609"/>
    <n v="1157.9996241138483"/>
    <n v="1159.4867811653644"/>
    <n v="10223104"/>
    <x v="3"/>
    <n v="0.26645384242292014"/>
    <n v="76.613883731645799"/>
    <n v="1226.3433471679687"/>
    <x v="1576"/>
    <n v="0"/>
    <s v="Reliance Industries"/>
    <s v="Energy &amp; Conglomerate"/>
  </r>
  <r>
    <x v="194"/>
    <n v="1208.5133056640625"/>
    <n v="1212.1816988912135"/>
    <n v="1184.917153801556"/>
    <n v="1184.917153801556"/>
    <n v="11224242"/>
    <x v="3"/>
    <n v="2.834600587270697"/>
    <n v="78.785581329833917"/>
    <n v="1226.0369921874999"/>
    <x v="1577"/>
    <n v="0"/>
    <s v="Reliance Industries"/>
    <s v="Energy &amp; Conglomerate"/>
  </r>
  <r>
    <x v="196"/>
    <n v="1229.4822998046875"/>
    <n v="1240.2889987389381"/>
    <n v="1226.5079856590305"/>
    <n v="1240.2889987389381"/>
    <n v="13378535"/>
    <x v="3"/>
    <n v="1.7351066010069971"/>
    <n v="80.152595152129607"/>
    <n v="1226.1282055664062"/>
    <x v="1578"/>
    <n v="0"/>
    <s v="Reliance Industries"/>
    <s v="Energy &amp; Conglomerate"/>
  </r>
  <r>
    <x v="197"/>
    <n v="1228.689208984375"/>
    <n v="1230.2754856402491"/>
    <n v="1218.477348782242"/>
    <n v="1223.5336585713449"/>
    <n v="8248464"/>
    <x v="3"/>
    <n v="-6.4506078732362582E-2"/>
    <n v="80.100891855994732"/>
    <n v="1225.8555615234375"/>
    <x v="1579"/>
    <n v="0"/>
    <s v="Reliance Industries"/>
    <s v="Energy &amp; Conglomerate"/>
  </r>
  <r>
    <x v="198"/>
    <n v="1263.5877685546875"/>
    <n v="1269.238916912585"/>
    <n v="1217.0893007676923"/>
    <n v="1229.5813957339365"/>
    <n v="15398401"/>
    <x v="3"/>
    <n v="2.8403081361119353"/>
    <n v="82.376004004478773"/>
    <n v="1226.041953125"/>
    <x v="1580"/>
    <n v="0"/>
    <s v="Reliance Industries"/>
    <s v="Energy &amp; Conglomerate"/>
  </r>
  <r>
    <x v="199"/>
    <n v="1284.407958984375"/>
    <n v="1289.761748514388"/>
    <n v="1256.1519753247419"/>
    <n v="1259.1262893941771"/>
    <n v="10429964"/>
    <x v="3"/>
    <n v="1.6477043342625786"/>
    <n v="83.733316992852906"/>
    <n v="1226.6546630859375"/>
    <x v="1581"/>
    <n v="0"/>
    <s v="Reliance Industries"/>
    <s v="Energy &amp; Conglomerate"/>
  </r>
  <r>
    <x v="200"/>
    <n v="1280.1446533203125"/>
    <n v="1292.7359881039044"/>
    <n v="1275.286704106908"/>
    <n v="1288.8693558313821"/>
    <n v="13051707"/>
    <x v="3"/>
    <n v="-0.33192768965972785"/>
    <n v="83.455382928283058"/>
    <n v="1227.5529028320314"/>
    <x v="1582"/>
    <n v="0"/>
    <s v="Reliance Industries"/>
    <s v="Energy &amp; Conglomerate"/>
  </r>
  <r>
    <x v="201"/>
    <n v="1288.869384765625"/>
    <n v="1294.8180126953123"/>
    <n v="1274.3944143417475"/>
    <n v="1285.8950708007812"/>
    <n v="10480888"/>
    <x v="3"/>
    <n v="0.68154262275619271"/>
    <n v="84.024166933923709"/>
    <n v="1227.8463696289064"/>
    <x v="1583"/>
    <n v="0"/>
    <s v="Reliance Industries"/>
    <s v="Energy &amp; Conglomerate"/>
  </r>
  <r>
    <x v="202"/>
    <n v="1290.4556884765625"/>
    <n v="1293.3308829080645"/>
    <n v="1279.2525115884996"/>
    <n v="1281.3345072026398"/>
    <n v="10468940"/>
    <x v="3"/>
    <n v="0.12307715038371025"/>
    <n v="84.127581484219633"/>
    <n v="1228.3103637695313"/>
    <x v="1584"/>
    <n v="0"/>
    <s v="Reliance Industries"/>
    <s v="Energy &amp; Conglomerate"/>
  </r>
  <r>
    <x v="203"/>
    <n v="1289.2659912109375"/>
    <n v="1313.85358083958"/>
    <n v="1277.071255478384"/>
    <n v="1292.3394247863746"/>
    <n v="14431012"/>
    <x v="3"/>
    <n v="-9.2192027688253742E-2"/>
    <n v="84.050022561004241"/>
    <n v="1228.6841357421874"/>
    <x v="1585"/>
    <n v="0"/>
    <s v="Reliance Industries"/>
    <s v="Energy &amp; Conglomerate"/>
  </r>
  <r>
    <x v="204"/>
    <n v="1357.080322265625"/>
    <n v="1362.8305897939961"/>
    <n v="1308.8963407951755"/>
    <n v="1328.5268607294431"/>
    <n v="31104496"/>
    <x v="3"/>
    <n v="5.2599177762373994"/>
    <n v="88.470984638622056"/>
    <n v="1230.7086523437499"/>
    <x v="1586"/>
    <n v="1"/>
    <s v="Reliance Industries"/>
    <s v="Energy &amp; Conglomerate"/>
  </r>
  <r>
    <x v="205"/>
    <n v="1387.7156982421875"/>
    <n v="1398.8198762816546"/>
    <n v="1358.2700385179512"/>
    <n v="1359.2614765022709"/>
    <n v="32538970"/>
    <x v="3"/>
    <n v="2.2574475124226501"/>
    <n v="90.468170680562437"/>
    <n v="1233.6046411132813"/>
    <x v="1587"/>
    <n v="1"/>
    <s v="Reliance Industries"/>
    <s v="Energy &amp; Conglomerate"/>
  </r>
  <r>
    <x v="206"/>
    <n v="1392.9703369140625"/>
    <n v="1400.3070020394923"/>
    <n v="1357.2785702742715"/>
    <n v="1389.9960230274132"/>
    <n v="25480745"/>
    <x v="3"/>
    <n v="0.37865383223170124"/>
    <n v="90.810731875794318"/>
    <n v="1236.9785034179688"/>
    <x v="1588"/>
    <n v="0"/>
    <s v="Reliance Industries"/>
    <s v="Energy &amp; Conglomerate"/>
  </r>
  <r>
    <x v="208"/>
    <n v="1407.6436767578125"/>
    <n v="1414.4845019236116"/>
    <n v="1397.0352178747166"/>
    <n v="1401.8932881277126"/>
    <n v="13007841"/>
    <x v="3"/>
    <n v="1.0533849468939094"/>
    <n v="91.767318455538103"/>
    <n v="1241.0086987304687"/>
    <x v="1589"/>
    <n v="0"/>
    <s v="Reliance Industries"/>
    <s v="Energy &amp; Conglomerate"/>
  </r>
  <r>
    <x v="209"/>
    <n v="1419.0452880859375"/>
    <n v="1427.1750314493302"/>
    <n v="1414.6829365878357"/>
    <n v="1418.747808269532"/>
    <n v="12685649"/>
    <x v="3"/>
    <n v="0.80997851348190153"/>
    <n v="92.510614017426491"/>
    <n v="1245.2758520507812"/>
    <x v="1590"/>
    <n v="0"/>
    <s v="Reliance Industries"/>
    <s v="Energy &amp; Conglomerate"/>
  </r>
  <r>
    <x v="210"/>
    <n v="1408.7342529296875"/>
    <n v="1419.7391903256466"/>
    <n v="1398.5223933042987"/>
    <n v="1418.7477523435757"/>
    <n v="14084117"/>
    <x v="3"/>
    <n v="-0.72661776497336961"/>
    <n v="91.838415461489916"/>
    <n v="1249.3139794921874"/>
    <x v="1591"/>
    <n v="0"/>
    <s v="Reliance Industries"/>
    <s v="Energy &amp; Conglomerate"/>
  </r>
  <r>
    <x v="211"/>
    <n v="1393.9617919921875"/>
    <n v="1412.2042749259899"/>
    <n v="1390.6899982666434"/>
    <n v="1408.7342420156256"/>
    <n v="13440169"/>
    <x v="3"/>
    <n v="-1.0486336160832499"/>
    <n v="90.875366964482524"/>
    <n v="1252.9049658203126"/>
    <x v="1592"/>
    <n v="0"/>
    <s v="Reliance Industries"/>
    <s v="Energy &amp; Conglomerate"/>
  </r>
  <r>
    <x v="212"/>
    <n v="1394.9532470703125"/>
    <n v="1408.6351396947059"/>
    <n v="1386.0303051913979"/>
    <n v="1392.0780527042998"/>
    <n v="16106175"/>
    <x v="3"/>
    <n v="7.1124982321646435E-2"/>
    <n v="90.940002053170758"/>
    <n v="1256.5058666992188"/>
    <x v="1593"/>
    <n v="0"/>
    <s v="Reliance Industries"/>
    <s v="Energy &amp; Conglomerate"/>
  </r>
  <r>
    <x v="213"/>
    <n v="1365.408447265625"/>
    <n v="1382.8578539346386"/>
    <n v="1362.7316129147771"/>
    <n v="1373.6374315703338"/>
    <n v="13668904"/>
    <x v="3"/>
    <n v="-2.1179777793082"/>
    <n v="89.013913017182176"/>
    <n v="1259.4752270507813"/>
    <x v="1594"/>
    <n v="0"/>
    <s v="Reliance Industries"/>
    <s v="Energy &amp; Conglomerate"/>
  </r>
  <r>
    <x v="214"/>
    <n v="1424.20068359375"/>
    <n v="1426.679278587822"/>
    <n v="1388.0131966802994"/>
    <n v="1388.0131966802994"/>
    <n v="10674081"/>
    <x v="3"/>
    <n v="4.3058351107950754"/>
    <n v="92.84670533736859"/>
    <n v="1263.5103808593749"/>
    <x v="1595"/>
    <n v="0"/>
    <s v="Reliance Industries"/>
    <s v="Energy &amp; Conglomerate"/>
  </r>
  <r>
    <x v="215"/>
    <n v="1403.5787353515625"/>
    <n v="1435.3047515134413"/>
    <n v="1400.307062549957"/>
    <n v="1421.2263802516663"/>
    <n v="11407896"/>
    <x v="3"/>
    <n v="-1.4479664614505894"/>
    <n v="91.502316183521643"/>
    <n v="1267.2292651367188"/>
    <x v="1596"/>
    <n v="0"/>
    <s v="Reliance Industries"/>
    <s v="Energy &amp; Conglomerate"/>
  </r>
  <r>
    <x v="216"/>
    <n v="1403.5787353515625"/>
    <n v="1417.6571322938998"/>
    <n v="1403.380401776207"/>
    <n v="1407.8418724989149"/>
    <n v="5570160"/>
    <x v="3"/>
    <n v="0"/>
    <n v="91.502316183521643"/>
    <n v="1271.2178173828124"/>
    <x v="1597"/>
    <n v="0"/>
    <s v="Reliance Industries"/>
    <s v="Energy &amp; Conglomerate"/>
  </r>
  <r>
    <x v="217"/>
    <n v="1441.7491455078125"/>
    <n v="1448.8875719918406"/>
    <n v="1400.6044669576877"/>
    <n v="1412.7992032271827"/>
    <n v="20177211"/>
    <x v="3"/>
    <n v="2.719506159138918"/>
    <n v="93.990727307887283"/>
    <n v="1276.1789721679688"/>
    <x v="1598"/>
    <n v="0"/>
    <s v="Reliance Industries"/>
    <s v="Energy &amp; Conglomerate"/>
  </r>
  <r>
    <x v="218"/>
    <n v="1443.9302978515625"/>
    <n v="1448.4908883531898"/>
    <n v="1434.9082364412498"/>
    <n v="1440.7576237014109"/>
    <n v="9036695"/>
    <x v="3"/>
    <n v="0.15128514905287105"/>
    <n v="94.132921319790896"/>
    <n v="1281.1222827148438"/>
    <x v="1599"/>
    <n v="0"/>
    <s v="Reliance Industries"/>
    <s v="Energy &amp; Conglomerate"/>
  </r>
  <r>
    <x v="219"/>
    <n v="1428.4638671875"/>
    <n v="1442.1456384779733"/>
    <n v="1425.8860316605419"/>
    <n v="1439.667043567546"/>
    <n v="6195791"/>
    <x v="3"/>
    <n v="-1.0711341598050206"/>
    <n v="93.124631443912236"/>
    <n v="1285.8950659179689"/>
    <x v="1600"/>
    <n v="0"/>
    <s v="Reliance Industries"/>
    <s v="Energy &amp; Conglomerate"/>
  </r>
  <r>
    <x v="220"/>
    <n v="1412.402587890625"/>
    <n v="1432.6279478297215"/>
    <n v="1409.6266340324114"/>
    <n v="1425.8861208416397"/>
    <n v="11270560"/>
    <x v="3"/>
    <n v="-1.1243742082533759"/>
    <n v="92.077562106425873"/>
    <n v="1290.9186840820312"/>
    <x v="1601"/>
    <n v="0"/>
    <s v="Reliance Industries"/>
    <s v="Energy &amp; Conglomerate"/>
  </r>
  <r>
    <x v="221"/>
    <n v="1416.963134765625"/>
    <n v="1423.9032007341596"/>
    <n v="1405.9581972205492"/>
    <n v="1411.7085860045363"/>
    <n v="6136364"/>
    <x v="3"/>
    <n v="0.32289284330828671"/>
    <n v="92.374873964760269"/>
    <n v="1296.2189111328125"/>
    <x v="1602"/>
    <n v="0"/>
    <s v="Reliance Industries"/>
    <s v="Energy &amp; Conglomerate"/>
  </r>
  <r>
    <x v="222"/>
    <n v="1397.332763671875"/>
    <n v="1411.6094953044076"/>
    <n v="1384.9397884743898"/>
    <n v="1409.0316596432119"/>
    <n v="12134466"/>
    <x v="3"/>
    <n v="-1.3853833322909237"/>
    <n v="91.09512785762773"/>
    <n v="1300.8548779296875"/>
    <x v="1603"/>
    <n v="0"/>
    <s v="Reliance Industries"/>
    <s v="Energy &amp; Conglomerate"/>
  </r>
  <r>
    <x v="223"/>
    <n v="1414.5838623046875"/>
    <n v="1421.5239286750705"/>
    <n v="1394.5567410207764"/>
    <n v="1394.5567410207764"/>
    <n v="6474883"/>
    <x v="3"/>
    <n v="1.2345734016484755"/>
    <n v="92.219764076355673"/>
    <n v="1305.1616894531251"/>
    <x v="1604"/>
    <n v="0"/>
    <s v="Reliance Industries"/>
    <s v="Energy &amp; Conglomerate"/>
  </r>
  <r>
    <x v="509"/>
    <n v="1422.5152587890625"/>
    <n v="1428.6621258406371"/>
    <n v="1412.8982377904549"/>
    <n v="1419.7391840414937"/>
    <n v="4842944"/>
    <x v="3"/>
    <n v="0.56068761250060994"/>
    <n v="92.736828869809074"/>
    <n v="1308.8300097656249"/>
    <x v="1605"/>
    <n v="0"/>
    <s v="Reliance Industries"/>
    <s v="Energy &amp; Conglomerate"/>
  </r>
  <r>
    <x v="224"/>
    <n v="1409.9239501953125"/>
    <n v="1424.6964005437669"/>
    <n v="1401.7942070365059"/>
    <n v="1413.8897021801247"/>
    <n v="12640414"/>
    <x v="3"/>
    <n v="-0.88514400924377679"/>
    <n v="91.915974384705308"/>
    <n v="1312.4725512695313"/>
    <x v="1606"/>
    <n v="0"/>
    <s v="Reliance Industries"/>
    <s v="Energy &amp; Conglomerate"/>
  </r>
  <r>
    <x v="225"/>
    <n v="1400.802734375"/>
    <n v="1410.4196342901239"/>
    <n v="1398.6214982222443"/>
    <n v="1407.9410393609537"/>
    <n v="5944611"/>
    <x v="3"/>
    <n v="-0.64692963184638241"/>
    <n v="91.321342710010327"/>
    <n v="1315.7561938476563"/>
    <x v="1607"/>
    <n v="0"/>
    <s v="Reliance Industries"/>
    <s v="Energy &amp; Conglomerate"/>
  </r>
  <r>
    <x v="226"/>
    <n v="1405.660888671875"/>
    <n v="1407.8420039298751"/>
    <n v="1396.5395861721686"/>
    <n v="1400.0096192804465"/>
    <n v="13771917"/>
    <x v="3"/>
    <n v="0.34681216545757731"/>
    <n v="91.63805623618785"/>
    <n v="1318.9436669921874"/>
    <x v="1608"/>
    <n v="0"/>
    <s v="Reliance Industries"/>
    <s v="Energy &amp; Conglomerate"/>
  </r>
  <r>
    <x v="227"/>
    <n v="1408.7342529296875"/>
    <n v="1418.3511529457182"/>
    <n v="1397.6300749154061"/>
    <n v="1405.8590585766528"/>
    <n v="13788484"/>
    <x v="3"/>
    <n v="0.21864194149390226"/>
    <n v="91.838415461489916"/>
    <n v="1322.37404296875"/>
    <x v="1609"/>
    <n v="0"/>
    <s v="Reliance Industries"/>
    <s v="Energy &amp; Conglomerate"/>
  </r>
  <r>
    <x v="228"/>
    <n v="1401.5958251953125"/>
    <n v="1405.3633379328091"/>
    <n v="1383.6508219459611"/>
    <n v="1400.0095486308933"/>
    <n v="8098668"/>
    <x v="3"/>
    <n v="-0.50672635520357945"/>
    <n v="91.373046006145188"/>
    <n v="1325.8411010742188"/>
    <x v="1610"/>
    <n v="0"/>
    <s v="Reliance Industries"/>
    <s v="Energy &amp; Conglomerate"/>
  </r>
  <r>
    <x v="229"/>
    <n v="1393.4661865234375"/>
    <n v="1414.2863856817387"/>
    <n v="1391.3841908126381"/>
    <n v="1410.1223942601396"/>
    <n v="11252626"/>
    <x v="3"/>
    <n v="-0.58002731784265738"/>
    <n v="90.843057378164602"/>
    <n v="1329.1455664062501"/>
    <x v="1611"/>
    <n v="0"/>
    <s v="Reliance Industries"/>
    <s v="Energy &amp; Conglomerate"/>
  </r>
  <r>
    <x v="230"/>
    <n v="1411.31201171875"/>
    <n v="1413.4931269376204"/>
    <n v="1394.0609660849138"/>
    <n v="1402.5873087929724"/>
    <n v="8126827"/>
    <x v="3"/>
    <n v="1.2806787396711927"/>
    <n v="92.00646510047406"/>
    <n v="1332.6423681640624"/>
    <x v="1612"/>
    <n v="0"/>
    <s v="Reliance Industries"/>
    <s v="Energy &amp; Conglomerate"/>
  </r>
  <r>
    <x v="231"/>
    <n v="1430.0501708984375"/>
    <n v="1442.2447854743721"/>
    <n v="1411.4110884077943"/>
    <n v="1415.7734397380668"/>
    <n v="13716817"/>
    <x v="3"/>
    <n v="1.3277120171936607"/>
    <n v="93.228045994208159"/>
    <n v="1336.0777026367186"/>
    <x v="1613"/>
    <n v="0"/>
    <s v="Reliance Industries"/>
    <s v="Energy &amp; Conglomerate"/>
  </r>
  <r>
    <x v="232"/>
    <n v="1431.1407470703125"/>
    <n v="1439.0722510374496"/>
    <n v="1424.6964000970136"/>
    <n v="1428.6621520805822"/>
    <n v="8182161"/>
    <x v="3"/>
    <n v="7.6261392367094061E-2"/>
    <n v="93.299143000159958"/>
    <n v="1339.392080078125"/>
    <x v="1614"/>
    <n v="0"/>
    <s v="Reliance Industries"/>
    <s v="Energy &amp; Conglomerate"/>
  </r>
  <r>
    <x v="233"/>
    <n v="1436.3953857421875"/>
    <n v="1445.0208477095389"/>
    <n v="1432.9253528317358"/>
    <n v="1444.5251287223314"/>
    <n v="7885125"/>
    <x v="3"/>
    <n v="0.36716435351531462"/>
    <n v="93.641704195391824"/>
    <n v="1342.3009594726564"/>
    <x v="1615"/>
    <n v="0"/>
    <s v="Reliance Industries"/>
    <s v="Energy &amp; Conglomerate"/>
  </r>
  <r>
    <x v="234"/>
    <n v="1426.1834716796875"/>
    <n v="1441.4516401070769"/>
    <n v="1423.704876838395"/>
    <n v="1437.5850079496329"/>
    <n v="7913181"/>
    <x v="3"/>
    <n v="-0.71094032770255833"/>
    <n v="92.975967556718842"/>
    <n v="1345.3357495117189"/>
    <x v="1616"/>
    <n v="0"/>
    <s v="Reliance Industries"/>
    <s v="Energy &amp; Conglomerate"/>
  </r>
  <r>
    <x v="235"/>
    <n v="1436.4945068359375"/>
    <n v="1456.0257865422643"/>
    <n v="1430.7441181682643"/>
    <n v="1433.4210733170682"/>
    <n v="8195700"/>
    <x v="3"/>
    <n v="0.72298097411731543"/>
    <n v="93.648166112655403"/>
    <n v="1348.8226367187499"/>
    <x v="1617"/>
    <n v="0"/>
    <s v="Reliance Industries"/>
    <s v="Energy &amp; Conglomerate"/>
  </r>
  <r>
    <x v="236"/>
    <n v="1429.257080078125"/>
    <n v="1444.5252503749707"/>
    <n v="1422.1187744712338"/>
    <n v="1441.0552171722854"/>
    <n v="8828114"/>
    <x v="3"/>
    <n v="-0.50382557840432662"/>
    <n v="93.176342698073285"/>
    <n v="1352.0626586914063"/>
    <x v="1618"/>
    <n v="0"/>
    <s v="Reliance Industries"/>
    <s v="Energy &amp; Conglomerate"/>
  </r>
  <r>
    <x v="237"/>
    <n v="1415.67431640625"/>
    <n v="1423.2092208521976"/>
    <n v="1402.1907840779525"/>
    <n v="1411.8076840776937"/>
    <n v="11513110"/>
    <x v="3"/>
    <n v="-0.95033733687241995"/>
    <n v="92.290853124281284"/>
    <n v="1355.0924951171876"/>
    <x v="1619"/>
    <n v="0"/>
    <s v="Reliance Industries"/>
    <s v="Energy &amp; Conglomerate"/>
  </r>
  <r>
    <x v="238"/>
    <n v="1425.4896240234375"/>
    <n v="1430.0502146798781"/>
    <n v="1412.204330439343"/>
    <n v="1414.6829254727506"/>
    <n v="8458093"/>
    <x v="3"/>
    <n v="0.69333090976066991"/>
    <n v="92.930734135873749"/>
    <n v="1358.7647851562499"/>
    <x v="1620"/>
    <n v="0"/>
    <s v="Reliance Industries"/>
    <s v="Energy &amp; Conglomerate"/>
  </r>
  <r>
    <x v="239"/>
    <n v="1418.946044921875"/>
    <n v="1435.6022520574631"/>
    <n v="1413.5923764373599"/>
    <n v="1435.6022520574631"/>
    <n v="10366599"/>
    <x v="3"/>
    <n v="-0.45904080894628718"/>
    <n v="92.50414414213671"/>
    <n v="1362.3349536132812"/>
    <x v="1621"/>
    <n v="0"/>
    <s v="Reliance Industries"/>
    <s v="Energy &amp; Conglomerate"/>
  </r>
  <r>
    <x v="240"/>
    <n v="1417.85546875"/>
    <n v="1430.4468040463896"/>
    <n v="1413.4931173168031"/>
    <n v="1417.7563491543892"/>
    <n v="6681735"/>
    <x v="3"/>
    <n v="-7.6858184691230846E-2"/>
    <n v="92.433047136184911"/>
    <n v="1365.9318920898438"/>
    <x v="1622"/>
    <n v="0"/>
    <s v="Reliance Industries"/>
    <s v="Energy &amp; Conglomerate"/>
  </r>
  <r>
    <x v="510"/>
    <n v="1421.0281982421875"/>
    <n v="1427.5716651338516"/>
    <n v="1413.4931722804181"/>
    <n v="1417.8555238832446"/>
    <n v="10007230"/>
    <x v="3"/>
    <n v="0.22376959867316248"/>
    <n v="92.639884194802931"/>
    <n v="1370.4647509765625"/>
    <x v="1623"/>
    <n v="0"/>
    <s v="Reliance Industries"/>
    <s v="Energy &amp; Conglomerate"/>
  </r>
  <r>
    <x v="241"/>
    <n v="1453.6463623046875"/>
    <n v="1458.4053131642288"/>
    <n v="1415.8725983169522"/>
    <n v="1418.7477927518771"/>
    <n v="29010635"/>
    <x v="3"/>
    <n v="2.2953917524542122"/>
    <n v="94.766332456093579"/>
    <n v="1376.4232934570311"/>
    <x v="1624"/>
    <n v="1"/>
    <s v="Reliance Industries"/>
    <s v="Energy &amp; Conglomerate"/>
  </r>
  <r>
    <x v="242"/>
    <n v="1444.326904296875"/>
    <n v="1451.266970188698"/>
    <n v="1429.6535737155343"/>
    <n v="1440.5593915455418"/>
    <n v="5989078"/>
    <x v="3"/>
    <n v="-0.6411090241396078"/>
    <n v="94.158776946871427"/>
    <n v="1381.8682714843751"/>
    <x v="1625"/>
    <n v="0"/>
    <s v="Reliance Industries"/>
    <s v="Energy &amp; Conglomerate"/>
  </r>
  <r>
    <x v="243"/>
    <n v="1438.3782958984375"/>
    <n v="1462.3710470398121"/>
    <n v="1430.744150698803"/>
    <n v="1452.4566670598808"/>
    <n v="16402744"/>
    <x v="3"/>
    <n v="-0.41186024997114101"/>
    <n v="93.770974372768265"/>
    <n v="1387.13181640625"/>
    <x v="1626"/>
    <n v="0"/>
    <s v="Reliance Industries"/>
    <s v="Energy &amp; Conglomerate"/>
  </r>
  <r>
    <x v="244"/>
    <n v="1454.737060546875"/>
    <n v="1459.7933702625824"/>
    <n v="1447.9952335758323"/>
    <n v="1451.4652666586912"/>
    <n v="7525851"/>
    <x v="3"/>
    <n v="1.137306138106009"/>
    <n v="94.837437420071581"/>
    <n v="1392.0562915039063"/>
    <x v="1627"/>
    <n v="0"/>
    <s v="Reliance Industries"/>
    <s v="Energy &amp; Conglomerate"/>
  </r>
  <r>
    <x v="245"/>
    <n v="1482.497314453125"/>
    <n v="1485.9673475108059"/>
    <n v="1452.5558137403293"/>
    <n v="1456.5215658062507"/>
    <n v="14657893"/>
    <x v="3"/>
    <n v="1.9082660818315889"/>
    <n v="96.647188071237068"/>
    <n v="1397.1165917968749"/>
    <x v="1628"/>
    <n v="0"/>
    <s v="Reliance Industries"/>
    <s v="Energy &amp; Conglomerate"/>
  </r>
  <r>
    <x v="246"/>
    <n v="1502.4251708984375"/>
    <n v="1508.9686374999123"/>
    <n v="1484.0835678802059"/>
    <n v="1486.5621628826696"/>
    <n v="11117052"/>
    <x v="3"/>
    <n v="1.34420860335005"/>
    <n v="97.946327888186545"/>
    <n v="1402.5913110351562"/>
    <x v="1629"/>
    <n v="0"/>
    <s v="Reliance Industries"/>
    <s v="Energy &amp; Conglomerate"/>
  </r>
  <r>
    <x v="247"/>
    <n v="1487.7518310546875"/>
    <n v="1511.7447031481738"/>
    <n v="1483.1912404828311"/>
    <n v="1500.838885203447"/>
    <n v="8409527"/>
    <x v="3"/>
    <n v="-0.9766436377643628"/>
    <n v="96.989741308442746"/>
    <n v="1407.0745922851563"/>
    <x v="1630"/>
    <n v="0"/>
    <s v="Reliance Industries"/>
    <s v="Energy &amp; Conglomerate"/>
  </r>
  <r>
    <x v="248"/>
    <n v="1515.3138427734375"/>
    <n v="1518.2881567329412"/>
    <n v="1487.256099345396"/>
    <n v="1487.7518183386469"/>
    <n v="10368523"/>
    <x v="3"/>
    <n v="1.8525947099128137"/>
    <n v="98.786568125081075"/>
    <n v="1411.6927099609375"/>
    <x v="1631"/>
    <n v="0"/>
    <s v="Reliance Industries"/>
    <s v="Energy &amp; Conglomerate"/>
  </r>
  <r>
    <x v="249"/>
    <n v="1505.7960205078125"/>
    <n v="1516.900077238324"/>
    <n v="1495.7824003020085"/>
    <n v="1515.3138007089854"/>
    <n v="6361002"/>
    <x v="3"/>
    <n v="-0.62810897630320994"/>
    <n v="98.166080823305563"/>
    <n v="1416.2057373046875"/>
    <x v="1632"/>
    <n v="0"/>
    <s v="Reliance Industries"/>
    <s v="Energy &amp; Conglomerate"/>
  </r>
  <r>
    <x v="250"/>
    <n v="1504.8046875"/>
    <n v="1518.7839394915495"/>
    <n v="1500.0457365549344"/>
    <n v="1507.7790015843786"/>
    <n v="11283291"/>
    <x v="3"/>
    <n v="-6.58344818495471E-2"/>
    <n v="98.101453692643531"/>
    <n v="1420.524443359375"/>
    <x v="1633"/>
    <n v="0"/>
    <s v="Reliance Industries"/>
    <s v="Energy &amp; Conglomerate"/>
  </r>
  <r>
    <x v="511"/>
    <n v="1514.223388671875"/>
    <n v="1516.900223008299"/>
    <n v="1504.2097675037892"/>
    <n v="1510.9515946827762"/>
    <n v="6603501"/>
    <x v="3"/>
    <n v="0.62590854814006391"/>
    <n v="98.71547907715545"/>
    <n v="1424.9997973632812"/>
    <x v="1634"/>
    <n v="0"/>
    <s v="Reliance Industries"/>
    <s v="Energy &amp; Conglomerate"/>
  </r>
  <r>
    <x v="251"/>
    <n v="1528.3016357421875"/>
    <n v="1531.5734294639212"/>
    <n v="1511.9429091838051"/>
    <n v="1513.5291857359532"/>
    <n v="7251074"/>
    <x v="3"/>
    <n v="0.92973382762635559"/>
    <n v="99.633270279239184"/>
    <n v="1429.7805102539062"/>
    <x v="1635"/>
    <n v="0"/>
    <s v="Reliance Industries"/>
    <s v="Energy &amp; Conglomerate"/>
  </r>
  <r>
    <x v="252"/>
    <n v="1524.4349365234375"/>
    <n v="1531.6724818204059"/>
    <n v="1517.0982716385254"/>
    <n v="1522.8486600409224"/>
    <n v="7171261"/>
    <x v="3"/>
    <n v="-0.25300628673816661"/>
    <n v="99.381191841749867"/>
    <n v="1433.1276025390625"/>
    <x v="1636"/>
    <n v="0"/>
    <s v="Reliance Industries"/>
    <s v="Energy &amp; Conglomerate"/>
  </r>
  <r>
    <x v="253"/>
    <n v="1505.9942626953125"/>
    <n v="1537.7202774459709"/>
    <n v="1497.1704406377571"/>
    <n v="1523.5426661942138"/>
    <n v="8870660"/>
    <x v="3"/>
    <n v="-1.2096727375049521"/>
    <n v="98.179004657832721"/>
    <n v="1435.493173828125"/>
    <x v="1637"/>
    <n v="0"/>
    <s v="Reliance Industries"/>
    <s v="Energy &amp; Conglomerate"/>
  </r>
  <r>
    <x v="254"/>
    <n v="1504.2095947265625"/>
    <n v="1511.6453792793734"/>
    <n v="1494.5926951149827"/>
    <n v="1506.6881895774991"/>
    <n v="10047129"/>
    <x v="3"/>
    <n v="-0.1185043006442732"/>
    <n v="98.062658314983452"/>
    <n v="1437.7179589843749"/>
    <x v="1638"/>
    <n v="0"/>
    <s v="Reliance Industries"/>
    <s v="Energy &amp; Conglomerate"/>
  </r>
  <r>
    <x v="255"/>
    <n v="1482.3980712890625"/>
    <n v="1502.0285923917668"/>
    <n v="1477.540121836759"/>
    <n v="1499.0542783474266"/>
    <n v="7234991"/>
    <x v="3"/>
    <n v="-1.450032197239437"/>
    <n v="96.640718195947301"/>
    <n v="1439.2130468749999"/>
    <x v="1639"/>
    <n v="0"/>
    <s v="Reliance Industries"/>
    <s v="Energy &amp; Conglomerate"/>
  </r>
  <r>
    <x v="256"/>
    <n v="1470.9964599609375"/>
    <n v="1487.1569471972041"/>
    <n v="1466.4358695278945"/>
    <n v="1479.4236826617216"/>
    <n v="10311846"/>
    <x v="3"/>
    <n v="-0.76913290356688258"/>
    <n v="95.897422634058913"/>
    <n v="1440.2520703125001"/>
    <x v="1640"/>
    <n v="0"/>
    <s v="Reliance Industries"/>
    <s v="Energy &amp; Conglomerate"/>
  </r>
  <r>
    <x v="257"/>
    <n v="1472.6820068359375"/>
    <n v="1483.6869442622558"/>
    <n v="1469.7076928815193"/>
    <n v="1473.4750846086956"/>
    <n v="8132454"/>
    <x v="3"/>
    <n v="0.11458537942672375"/>
    <n v="96.007307059644603"/>
    <n v="1441.531025390625"/>
    <x v="1641"/>
    <n v="0"/>
    <s v="Reliance Industries"/>
    <s v="Energy &amp; Conglomerate"/>
  </r>
  <r>
    <x v="258"/>
    <n v="1472.8802490234375"/>
    <n v="1478.234038357326"/>
    <n v="1458.9009976142222"/>
    <n v="1460.388154594461"/>
    <n v="10409983"/>
    <x v="3"/>
    <n v="1.3461303022643811E-2"/>
    <n v="96.020230894171775"/>
    <n v="1443.10939453125"/>
    <x v="1642"/>
    <n v="0"/>
    <s v="Reliance Industries"/>
    <s v="Energy &amp; Conglomerate"/>
  </r>
  <r>
    <x v="259"/>
    <n v="1463.7591552734375"/>
    <n v="1476.8460890701654"/>
    <n v="1461.2805601585153"/>
    <n v="1474.6649737790949"/>
    <n v="11854613"/>
    <x v="3"/>
    <n v="-0.61926920101260663"/>
    <n v="95.425607177502982"/>
    <n v="1444.4855126953125"/>
    <x v="1643"/>
    <n v="0"/>
    <s v="Reliance Industries"/>
    <s v="Energy &amp; Conglomerate"/>
  </r>
  <r>
    <x v="260"/>
    <n v="1463.362548828125"/>
    <n v="1472.0872520008463"/>
    <n v="1456.5216021387355"/>
    <n v="1472.0872520008463"/>
    <n v="10296318"/>
    <x v="3"/>
    <n v="-2.7095061635218354E-2"/>
    <n v="95.399751550422451"/>
    <n v="1446.4445947265624"/>
    <x v="1644"/>
    <n v="0"/>
    <s v="Reliance Industries"/>
    <s v="Energy &amp; Conglomerate"/>
  </r>
  <r>
    <x v="261"/>
    <n v="1416.3682861328125"/>
    <n v="1463.362470991638"/>
    <n v="1410.9153771961903"/>
    <n v="1452.4566531183939"/>
    <n v="22442744"/>
    <x v="3"/>
    <n v="-3.211388916092317"/>
    <n v="92.33609450315258"/>
    <n v="1446.2879467773437"/>
    <x v="1645"/>
    <n v="1"/>
    <s v="Reliance Industries"/>
    <s v="Energy &amp; Conglomerate"/>
  </r>
  <r>
    <x v="262"/>
    <n v="1400.70361328125"/>
    <n v="1419.6400543147829"/>
    <n v="1398.6214967228643"/>
    <n v="1415.1785834470591"/>
    <n v="20396320"/>
    <x v="3"/>
    <n v="-1.1059745551301958"/>
    <n v="91.314880792746735"/>
    <n v="1446.2304443359376"/>
    <x v="1646"/>
    <n v="0"/>
    <s v="Reliance Industries"/>
    <s v="Energy &amp; Conglomerate"/>
  </r>
  <r>
    <x v="263"/>
    <n v="1412.402587890625"/>
    <n v="1413.7906253323065"/>
    <n v="1402.2899684336514"/>
    <n v="1413.7906253323065"/>
    <n v="8354596"/>
    <x v="3"/>
    <n v="0.83522127725288442"/>
    <n v="92.077562106425873"/>
    <n v="1446.4069213867188"/>
    <x v="1647"/>
    <n v="0"/>
    <s v="Reliance Industries"/>
    <s v="Energy &amp; Conglomerate"/>
  </r>
  <r>
    <x v="264"/>
    <n v="1390.888427734375"/>
    <n v="1410.8163078068701"/>
    <n v="1384.0474811654185"/>
    <n v="1407.0487949065318"/>
    <n v="14740507"/>
    <x v="3"/>
    <n v="-1.5232314313711859"/>
    <n v="90.675007739180472"/>
    <n v="1445.3897070312501"/>
    <x v="1648"/>
    <n v="0"/>
    <s v="Reliance Industries"/>
    <s v="Energy &amp; Conglomerate"/>
  </r>
  <r>
    <x v="265"/>
    <n v="1379.7841796875"/>
    <n v="1389.0046012536309"/>
    <n v="1372.2492752918663"/>
    <n v="1386.9226057137396"/>
    <n v="11854722"/>
    <x v="3"/>
    <n v="-0.7983564911071106"/>
    <n v="89.951097929082849"/>
    <n v="1444.1067846679687"/>
    <x v="1649"/>
    <n v="0"/>
    <s v="Reliance Industries"/>
    <s v="Energy &amp; Conglomerate"/>
  </r>
  <r>
    <x v="266"/>
    <n v="1375.71923828125"/>
    <n v="1395.7463569486692"/>
    <n v="1373.1415238854815"/>
    <n v="1380.3790691362324"/>
    <n v="7748361"/>
    <x v="3"/>
    <n v="-0.29460704551422801"/>
    <n v="89.68609565706636"/>
    <n v="1443.0518920898437"/>
    <x v="1650"/>
    <n v="0"/>
    <s v="Reliance Industries"/>
    <s v="Energy &amp; Conglomerate"/>
  </r>
  <r>
    <x v="267"/>
    <n v="1404.9666748046875"/>
    <n v="1408.0401082010501"/>
    <n v="1371.1586653944223"/>
    <n v="1371.1586653944223"/>
    <n v="10750072"/>
    <x v="3"/>
    <n v="2.1259742329385212"/>
    <n v="91.592798941264192"/>
    <n v="1442.9031738281251"/>
    <x v="1651"/>
    <n v="0"/>
    <s v="Reliance Industries"/>
    <s v="Energy &amp; Conglomerate"/>
  </r>
  <r>
    <x v="268"/>
    <n v="1398.026611328125"/>
    <n v="1411.113664716939"/>
    <n v="1389.3020300940543"/>
    <n v="1405.9581148273558"/>
    <n v="7209849"/>
    <x v="3"/>
    <n v="-0.49396641223018456"/>
    <n v="91.140361278472824"/>
    <n v="1442.524443359375"/>
    <x v="1652"/>
    <n v="0"/>
    <s v="Reliance Industries"/>
    <s v="Energy &amp; Conglomerate"/>
  </r>
  <r>
    <x v="269"/>
    <n v="1378.2969970703125"/>
    <n v="1390.5908519212596"/>
    <n v="1370.365493427784"/>
    <n v="1376.215001569177"/>
    <n v="17065827"/>
    <x v="3"/>
    <n v="-1.4112474038723288"/>
    <n v="89.854145296050518"/>
    <n v="1442.1437280273437"/>
    <x v="1653"/>
    <n v="0"/>
    <s v="Reliance Industries"/>
    <s v="Energy &amp; Conglomerate"/>
  </r>
  <r>
    <x v="270"/>
    <n v="1381.76708984375"/>
    <n v="1393.8627060383001"/>
    <n v="1372.4476694796913"/>
    <n v="1375.0253840702851"/>
    <n v="10321171"/>
    <x v="3"/>
    <n v="0.25176669330437829"/>
    <n v="90.080368106459304"/>
    <n v="1441.4873925781251"/>
    <x v="1654"/>
    <n v="0"/>
    <s v="Reliance Industries"/>
    <s v="Energy &amp; Conglomerate"/>
  </r>
  <r>
    <x v="271"/>
    <n v="1399.4146728515625"/>
    <n v="1403.975263237478"/>
    <n v="1379.7841529413568"/>
    <n v="1383.155066191865"/>
    <n v="6312820"/>
    <x v="3"/>
    <n v="1.2771749405182442"/>
    <n v="91.230851994241561"/>
    <n v="1441.025380859375"/>
    <x v="1655"/>
    <n v="0"/>
    <s v="Reliance Industries"/>
    <s v="Energy &amp; Conglomerate"/>
  </r>
  <r>
    <x v="272"/>
    <n v="1379.7841796875"/>
    <n v="1398.9189809913439"/>
    <n v="1376.2150271869518"/>
    <n v="1398.9189809913439"/>
    <n v="9315972"/>
    <x v="3"/>
    <n v="-1.4027645661354837"/>
    <n v="89.951097929082849"/>
    <n v="1440.4225854492188"/>
    <x v="1656"/>
    <n v="0"/>
    <s v="Reliance Industries"/>
    <s v="Energy &amp; Conglomerate"/>
  </r>
  <r>
    <x v="273"/>
    <n v="1380.874755859375"/>
    <n v="1383.9481891450812"/>
    <n v="1371.4560958071288"/>
    <n v="1379.9824375441351"/>
    <n v="5834312"/>
    <x v="3"/>
    <n v="7.9039619958676255E-2"/>
    <n v="90.022194935034648"/>
    <n v="1440.0240258789063"/>
    <x v="1657"/>
    <n v="0"/>
    <s v="Reliance Industries"/>
    <s v="Energy &amp; Conglomerate"/>
  </r>
  <r>
    <x v="274"/>
    <n v="1377.5040283203125"/>
    <n v="1381.7671392504185"/>
    <n v="1354.3043541251443"/>
    <n v="1375.8185110478189"/>
    <n v="9976705"/>
    <x v="3"/>
    <n v="-0.24410088784371231"/>
    <n v="89.802449957941832"/>
    <n v="1439.460888671875"/>
    <x v="1658"/>
    <n v="0"/>
    <s v="Reliance Industries"/>
    <s v="Energy &amp; Conglomerate"/>
  </r>
  <r>
    <x v="275"/>
    <n v="1356.0888671875"/>
    <n v="1385.2370458989403"/>
    <n v="1353.312792536344"/>
    <n v="1373.1415514013454"/>
    <n v="8793606"/>
    <x v="3"/>
    <n v="-1.554635100336188"/>
    <n v="88.406349549933822"/>
    <n v="1438.4079809570312"/>
    <x v="1659"/>
    <n v="0"/>
    <s v="Reliance Industries"/>
    <s v="Energy &amp; Conglomerate"/>
  </r>
  <r>
    <x v="276"/>
    <n v="1374.331298828125"/>
    <n v="1376.1159356273254"/>
    <n v="1349.5453489789295"/>
    <n v="1358.2700517359046"/>
    <n v="9997486"/>
    <x v="3"/>
    <n v="1.345223906930193"/>
    <n v="89.595612899323811"/>
    <n v="1437.8626904296875"/>
    <x v="1660"/>
    <n v="0"/>
    <s v="Reliance Industries"/>
    <s v="Energy &amp; Conglomerate"/>
  </r>
  <r>
    <x v="277"/>
    <n v="1368.5810546875"/>
    <n v="1389.8969719255274"/>
    <n v="1363.4255044148415"/>
    <n v="1370.0682117041065"/>
    <n v="12244664"/>
    <x v="3"/>
    <n v="-0.41840305503688668"/>
    <n v="89.220742117774009"/>
    <n v="1437.3649877929688"/>
    <x v="1661"/>
    <n v="0"/>
    <s v="Reliance Industries"/>
    <s v="Energy &amp; Conglomerate"/>
  </r>
  <r>
    <x v="278"/>
    <n v="1370.7620849609375"/>
    <n v="1379.8833867126675"/>
    <n v="1365.7057756228248"/>
    <n v="1376.115874093997"/>
    <n v="7457021"/>
    <x v="3"/>
    <n v="0.159364347911084"/>
    <n v="89.362928171651447"/>
    <n v="1436.5539892578124"/>
    <x v="1662"/>
    <n v="0"/>
    <s v="Reliance Industries"/>
    <s v="Energy &amp; Conglomerate"/>
  </r>
  <r>
    <x v="279"/>
    <n v="1367.4774169921875"/>
    <n v="1374.3455639562076"/>
    <n v="1363.7943725751891"/>
    <n v="1370.961308962897"/>
    <n v="7126128"/>
    <x v="3"/>
    <n v="-0.23962349154438289"/>
    <n v="89.148793603020223"/>
    <n v="1435.3025341796874"/>
    <x v="1663"/>
    <n v="0"/>
    <s v="Reliance Industries"/>
    <s v="Energy &amp; Conglomerate"/>
  </r>
  <r>
    <x v="281"/>
    <n v="1375.3409423828125"/>
    <n v="1388.4802648218374"/>
    <n v="1370.6626218339859"/>
    <n v="1383.602791829514"/>
    <n v="11785109"/>
    <x v="3"/>
    <n v="0.57503877525970637"/>
    <n v="89.661433733913839"/>
    <n v="1434.1865380859374"/>
    <x v="1664"/>
    <n v="0"/>
    <s v="Reliance Industries"/>
    <s v="Energy &amp; Conglomerate"/>
  </r>
  <r>
    <x v="282"/>
    <n v="1413.564208984375"/>
    <n v="1414.460091190419"/>
    <n v="1382.7068811681168"/>
    <n v="1383.6027633741608"/>
    <n v="14384719"/>
    <x v="3"/>
    <n v="2.7791848132827202"/>
    <n v="92.153290683618323"/>
    <n v="1433.7299145507814"/>
    <x v="1665"/>
    <n v="0"/>
    <s v="Reliance Industries"/>
    <s v="Energy &amp; Conglomerate"/>
  </r>
  <r>
    <x v="283"/>
    <n v="1406.4969482421875"/>
    <n v="1418.3422051582429"/>
    <n v="1403.5107551461319"/>
    <n v="1406.4969482421875"/>
    <n v="8725641"/>
    <x v="3"/>
    <n v="-0.49996036241362063"/>
    <n v="91.692560757540434"/>
    <n v="1433.3361840820312"/>
    <x v="1666"/>
    <n v="0"/>
    <s v="Reliance Industries"/>
    <s v="Energy &amp; Conglomerate"/>
  </r>
  <r>
    <x v="284"/>
    <n v="1418.24267578125"/>
    <n v="1425.3099750709036"/>
    <n v="1413.7633861810953"/>
    <n v="1418.4417067156321"/>
    <n v="11021323"/>
    <x v="3"/>
    <n v="0.8351050852788644"/>
    <n v="92.458289995249061"/>
    <n v="1432.9711474609376"/>
    <x v="1667"/>
    <n v="0"/>
    <s v="Reliance Industries"/>
    <s v="Energy &amp; Conglomerate"/>
  </r>
  <r>
    <x v="285"/>
    <n v="1402.71435546875"/>
    <n v="1416.8490753635101"/>
    <n v="1401.4204113959267"/>
    <n v="1413.464698965694"/>
    <n v="5818868"/>
    <x v="3"/>
    <n v="-1.0948986783200665"/>
    <n v="91.445965400093741"/>
    <n v="1432.4402929687501"/>
    <x v="1668"/>
    <n v="0"/>
    <s v="Reliance Industries"/>
    <s v="Energy &amp; Conglomerate"/>
  </r>
  <r>
    <x v="286"/>
    <n v="1406.0987548828125"/>
    <n v="1412.9670232567023"/>
    <n v="1399.2304865089229"/>
    <n v="1408.1890657335159"/>
    <n v="5979407"/>
    <x v="3"/>
    <n v="0.24127502515873811"/>
    <n v="91.66660167611947"/>
    <n v="1432.2487817382812"/>
    <x v="1669"/>
    <n v="0"/>
    <s v="Reliance Industries"/>
    <s v="Energy &amp; Conglomerate"/>
  </r>
  <r>
    <x v="287"/>
    <n v="1378.5262451171875"/>
    <n v="1403.5107021083377"/>
    <n v="1375.241384232256"/>
    <n v="1401.5199067861979"/>
    <n v="12145259"/>
    <x v="3"/>
    <n v="-1.9609227068779322"/>
    <n v="89.869090469229093"/>
    <n v="1431.3095141601561"/>
    <x v="1670"/>
    <n v="0"/>
    <s v="Reliance Industries"/>
    <s v="Energy &amp; Conglomerate"/>
  </r>
  <r>
    <x v="289"/>
    <n v="1379.521728515625"/>
    <n v="1385.7926612650012"/>
    <n v="1360.2109883890075"/>
    <n v="1383.5033194073601"/>
    <n v="13161813"/>
    <x v="3"/>
    <n v="7.2213597816039865E-2"/>
    <n v="89.933988172781483"/>
    <n v="1430.5210278320312"/>
    <x v="1671"/>
    <n v="0"/>
    <s v="Reliance Industries"/>
    <s v="Energy &amp; Conglomerate"/>
  </r>
  <r>
    <x v="290"/>
    <n v="1350.9537353515625"/>
    <n v="1397.0406983353937"/>
    <n v="1343.7869203796088"/>
    <n v="1374.7437651325777"/>
    <n v="18758842"/>
    <x v="3"/>
    <n v="-2.070862138199292"/>
    <n v="88.071579262338716"/>
    <n v="1429.1829931640625"/>
    <x v="1672"/>
    <n v="0"/>
    <s v="Reliance Industries"/>
    <s v="Energy &amp; Conglomerate"/>
  </r>
  <r>
    <x v="512"/>
    <n v="1347.6689453125"/>
    <n v="1356.9260708455383"/>
    <n v="1334.430107544873"/>
    <n v="1349.759256141992"/>
    <n v="11232238"/>
    <x v="3"/>
    <n v="-0.24314600515965568"/>
    <n v="87.857436735681333"/>
    <n v="1427.7158081054688"/>
    <x v="1673"/>
    <n v="0"/>
    <s v="Reliance Industries"/>
    <s v="Energy &amp; Conglomerate"/>
  </r>
  <r>
    <x v="291"/>
    <n v="1360.2109375"/>
    <n v="1378.1280958424809"/>
    <n v="1348.2661652716797"/>
    <n v="1348.5648331807902"/>
    <n v="11517006"/>
    <x v="3"/>
    <n v="0.9306434069823899"/>
    <n v="88.675076178205671"/>
    <n v="1425.8470996093749"/>
    <x v="1674"/>
    <n v="0"/>
    <s v="Reliance Industries"/>
    <s v="Energy &amp; Conglomerate"/>
  </r>
  <r>
    <x v="292"/>
    <n v="1366.2828369140625"/>
    <n v="1370.1649121838109"/>
    <n v="1354.2385492379765"/>
    <n v="1363.3961593284289"/>
    <n v="7847563"/>
    <x v="3"/>
    <n v="0.44639395601555609"/>
    <n v="89.070916358757373"/>
    <n v="1424.2862182617187"/>
    <x v="1675"/>
    <n v="0"/>
    <s v="Reliance Industries"/>
    <s v="Energy &amp; Conglomerate"/>
  </r>
  <r>
    <x v="293"/>
    <n v="1353.0440673828125"/>
    <n v="1367.6763641601649"/>
    <n v="1350.8541196588233"/>
    <n v="1365.4865379446771"/>
    <n v="13223177"/>
    <x v="3"/>
    <n v="-0.9689625876550978"/>
    <n v="88.207852502759437"/>
    <n v="1422.5795336914061"/>
    <x v="1676"/>
    <n v="0"/>
    <s v="Reliance Industries"/>
    <s v="Energy &amp; Conglomerate"/>
  </r>
  <r>
    <x v="294"/>
    <n v="1368.671875"/>
    <n v="1374.6442613636364"/>
    <n v="1353.0441792852228"/>
    <n v="1356.7271022727273"/>
    <n v="5777575"/>
    <x v="3"/>
    <n v="1.1550109855192225"/>
    <n v="89.2266628892569"/>
    <n v="1420.8582299804686"/>
    <x v="1677"/>
    <n v="0"/>
    <s v="Reliance Industries"/>
    <s v="Energy &amp; Conglomerate"/>
  </r>
  <r>
    <x v="295"/>
    <n v="1372.15576171875"/>
    <n v="1379.6212446443146"/>
    <n v="1366.0838599076601"/>
    <n v="1373.6488583038629"/>
    <n v="6986720"/>
    <x v="3"/>
    <n v="0.25454506535760313"/>
    <n v="89.453784956624787"/>
    <n v="1418.6513989257812"/>
    <x v="1678"/>
    <n v="0"/>
    <s v="Reliance Industries"/>
    <s v="Energy &amp; Conglomerate"/>
  </r>
  <r>
    <x v="296"/>
    <n v="1369.8662109375"/>
    <n v="1374.843199236951"/>
    <n v="1362.4007284883237"/>
    <n v="1370.2643943031569"/>
    <n v="9754452"/>
    <x v="3"/>
    <n v="-0.1668579358936717"/>
    <n v="89.304524217467389"/>
    <n v="1416.0002197265626"/>
    <x v="1679"/>
    <n v="0"/>
    <s v="Reliance Industries"/>
    <s v="Energy &amp; Conglomerate"/>
  </r>
  <r>
    <x v="297"/>
    <n v="1370.66259765625"/>
    <n v="1382.1096709119122"/>
    <n v="1367.7759200987732"/>
    <n v="1377.5308659113482"/>
    <n v="7790815"/>
    <x v="3"/>
    <n v="5.8136094780003589E-2"/>
    <n v="89.356442380309304"/>
    <n v="1413.6584350585938"/>
    <x v="1680"/>
    <n v="0"/>
    <s v="Reliance Industries"/>
    <s v="Energy &amp; Conglomerate"/>
  </r>
  <r>
    <x v="298"/>
    <n v="1376.9337158203125"/>
    <n v="1379.1235422027223"/>
    <n v="1368.6718661340626"/>
    <n v="1369.6672638548871"/>
    <n v="9766072"/>
    <x v="3"/>
    <n v="0.45752457058256812"/>
    <n v="89.765270059597654"/>
    <n v="1410.8908325195312"/>
    <x v="1681"/>
    <n v="0"/>
    <s v="Reliance Industries"/>
    <s v="Energy &amp; Conglomerate"/>
  </r>
  <r>
    <x v="299"/>
    <n v="1388.579833984375"/>
    <n v="1389.8738996373711"/>
    <n v="1374.146566892781"/>
    <n v="1376.9337291414593"/>
    <n v="7403368"/>
    <x v="3"/>
    <n v="0.84580092928614459"/>
    <n v="90.524505547937963"/>
    <n v="1408.5465087890625"/>
    <x v="1682"/>
    <n v="0"/>
    <s v="Reliance Industries"/>
    <s v="Energy &amp; Conglomerate"/>
  </r>
  <r>
    <x v="300"/>
    <n v="1392.8599853515625"/>
    <n v="1394.3530818320328"/>
    <n v="1382.2091575524389"/>
    <n v="1386.5889315301856"/>
    <n v="5396697"/>
    <x v="3"/>
    <n v="0.30823948774383325"/>
    <n v="90.803537820121548"/>
    <n v="1406.3076147460938"/>
    <x v="1683"/>
    <n v="0"/>
    <s v="Reliance Industries"/>
    <s v="Energy &amp; Conglomerate"/>
  </r>
  <r>
    <x v="301"/>
    <n v="1392.8599853515625"/>
    <n v="1401.5199225726965"/>
    <n v="1391.7649767809332"/>
    <n v="1398.2350616507645"/>
    <n v="8686961"/>
    <x v="3"/>
    <n v="0"/>
    <n v="90.803537820121548"/>
    <n v="1403.8803466796876"/>
    <x v="1684"/>
    <n v="0"/>
    <s v="Reliance Industries"/>
    <s v="Energy &amp; Conglomerate"/>
  </r>
  <r>
    <x v="302"/>
    <n v="1407.2933349609375"/>
    <n v="1409.6821922648512"/>
    <n v="1400.4250664409112"/>
    <n v="1400.5245819104894"/>
    <n v="7519417"/>
    <x v="3"/>
    <n v="1.0362383700564193"/>
    <n v="91.744478920382335"/>
    <n v="1401.4601806640626"/>
    <x v="1685"/>
    <n v="0"/>
    <s v="Reliance Industries"/>
    <s v="Energy &amp; Conglomerate"/>
  </r>
  <r>
    <x v="303"/>
    <n v="1408.4876708984375"/>
    <n v="1415.4554544293835"/>
    <n v="1404.2074124117412"/>
    <n v="1413.8628424954393"/>
    <n v="9332642"/>
    <x v="3"/>
    <n v="8.486758999204369E-2"/>
    <n v="91.822340248592823"/>
    <n v="1399.1412353515625"/>
    <x v="1686"/>
    <n v="0"/>
    <s v="Reliance Industries"/>
    <s v="Energy &amp; Conglomerate"/>
  </r>
  <r>
    <x v="304"/>
    <n v="1400.9227294921875"/>
    <n v="1410.4785229891424"/>
    <n v="1397.1401696768169"/>
    <n v="1408.3882121473878"/>
    <n v="13461373"/>
    <x v="3"/>
    <n v="-0.53709674302114818"/>
    <n v="91.329165449751827"/>
    <n v="1397.0398046875"/>
    <x v="1687"/>
    <n v="0"/>
    <s v="Reliance Industries"/>
    <s v="Energy &amp; Conglomerate"/>
  </r>
  <r>
    <x v="305"/>
    <n v="1384.199951171875"/>
    <n v="1404.2074196840813"/>
    <n v="1381.6119415772491"/>
    <n v="1397.4387885526371"/>
    <n v="7757970"/>
    <x v="3"/>
    <n v="-1.193697408733907"/>
    <n v="90.238971568359844"/>
    <n v="1394.6396118164062"/>
    <x v="1688"/>
    <n v="0"/>
    <s v="Reliance Industries"/>
    <s v="Energy &amp; Conglomerate"/>
  </r>
  <r>
    <x v="306"/>
    <n v="1383.40380859375"/>
    <n v="1388.5798281670254"/>
    <n v="1370.4636381520502"/>
    <n v="1384.5982372618869"/>
    <n v="14014702"/>
    <x v="3"/>
    <n v="-5.7516443159166819E-2"/>
    <n v="90.187069321570306"/>
    <n v="1392.6597265625001"/>
    <x v="1689"/>
    <n v="0"/>
    <s v="Reliance Industries"/>
    <s v="Energy &amp; Conglomerate"/>
  </r>
  <r>
    <x v="307"/>
    <n v="1376.635009765625"/>
    <n v="1389.5751797778832"/>
    <n v="1374.0470000648747"/>
    <n v="1378.9244730635044"/>
    <n v="5922759"/>
    <x v="3"/>
    <n v="-0.4892858315176718"/>
    <n v="89.745796769518847"/>
    <n v="1390.7724975585938"/>
    <x v="1690"/>
    <n v="0"/>
    <s v="Reliance Industries"/>
    <s v="Energy &amp; Conglomerate"/>
  </r>
  <r>
    <x v="308"/>
    <n v="1366.0838623046875"/>
    <n v="1378.1281504773631"/>
    <n v="1362.6994857374575"/>
    <n v="1374.942926360271"/>
    <n v="11411143"/>
    <x v="3"/>
    <n v="-0.76644480098859713"/>
    <n v="89.057944776073086"/>
    <n v="1388.6405346679687"/>
    <x v="1691"/>
    <n v="0"/>
    <s v="Reliance Industries"/>
    <s v="Energy &amp; Conglomerate"/>
  </r>
  <r>
    <x v="309"/>
    <n v="1371.2598876953125"/>
    <n v="1376.3363918134596"/>
    <n v="1359.7132983361803"/>
    <n v="1365.6856847124741"/>
    <n v="9879109"/>
    <x v="3"/>
    <n v="0.37889514205171615"/>
    <n v="89.395381002440715"/>
    <n v="1386.6081274414062"/>
    <x v="1692"/>
    <n v="0"/>
    <s v="Reliance Industries"/>
    <s v="Energy &amp; Conglomerate"/>
  </r>
  <r>
    <x v="310"/>
    <n v="1366.48193359375"/>
    <n v="1382.6073268149732"/>
    <n v="1361.7039763015721"/>
    <n v="1375.2413599514075"/>
    <n v="14231999"/>
    <x v="3"/>
    <n v="-0.34843534361621575"/>
    <n v="89.083895899467848"/>
    <n v="1384.6625830078126"/>
    <x v="1693"/>
    <n v="0"/>
    <s v="Reliance Industries"/>
    <s v="Energy &amp; Conglomerate"/>
  </r>
  <r>
    <x v="311"/>
    <n v="1357.722412109375"/>
    <n v="1370.7620971908359"/>
    <n v="1356.5279835173724"/>
    <n v="1370.7620971908359"/>
    <n v="14604684"/>
    <x v="3"/>
    <n v="-0.64102724441720271"/>
    <n v="88.512843856364"/>
    <n v="1382.5497802734376"/>
    <x v="1694"/>
    <n v="0"/>
    <s v="Reliance Industries"/>
    <s v="Energy &amp; Conglomerate"/>
  </r>
  <r>
    <x v="312"/>
    <n v="1362.4007568359375"/>
    <n v="1372.2552181755941"/>
    <n v="1356.4283707523282"/>
    <n v="1360.7086293823172"/>
    <n v="12045916"/>
    <x v="3"/>
    <n v="0.34457299112373718"/>
    <n v="88.81783520996855"/>
    <n v="1381.4704296875"/>
    <x v="1695"/>
    <n v="0"/>
    <s v="Reliance Industries"/>
    <s v="Energy &amp; Conglomerate"/>
  </r>
  <r>
    <x v="314"/>
    <n v="1357.125244140625"/>
    <n v="1365.287456651113"/>
    <n v="1350.6551591113212"/>
    <n v="1356.9260916961571"/>
    <n v="12842347"/>
    <x v="3"/>
    <n v="-0.38722179717254335"/>
    <n v="88.473913192258749"/>
    <n v="1380.5988623046876"/>
    <x v="1696"/>
    <n v="0"/>
    <s v="Reliance Industries"/>
    <s v="Energy &amp; Conglomerate"/>
  </r>
  <r>
    <x v="315"/>
    <n v="1368.671875"/>
    <n v="1371.0608538471567"/>
    <n v="1352.7455113636363"/>
    <n v="1353.7409090909091"/>
    <n v="12396580"/>
    <x v="3"/>
    <n v="0.85081542099576524"/>
    <n v="89.2266628892569"/>
    <n v="1379.7242480468749"/>
    <x v="1697"/>
    <n v="0"/>
    <s v="Reliance Industries"/>
    <s v="Energy &amp; Conglomerate"/>
  </r>
  <r>
    <x v="316"/>
    <n v="1378.4267578125"/>
    <n v="1389.4756477743899"/>
    <n v="1369.5676941462978"/>
    <n v="1369.667209612737"/>
    <n v="11244040"/>
    <x v="3"/>
    <n v="0.71272618300131096"/>
    <n v="89.862604677886949"/>
    <n v="1379.4750146484375"/>
    <x v="1698"/>
    <n v="0"/>
    <s v="Reliance Industries"/>
    <s v="Energy &amp; Conglomerate"/>
  </r>
  <r>
    <x v="317"/>
    <n v="1361.1068115234375"/>
    <n v="1382.6073771032557"/>
    <n v="1358.2201339506064"/>
    <n v="1378.4267554519181"/>
    <n v="8525081"/>
    <x v="3"/>
    <n v="-1.2565010212474692"/>
    <n v="88.733480132389715"/>
    <n v="1379.1014672851563"/>
    <x v="1699"/>
    <n v="0"/>
    <s v="Reliance Industries"/>
    <s v="Energy &amp; Conglomerate"/>
  </r>
  <r>
    <x v="318"/>
    <n v="1371.458984375"/>
    <n v="1373.6488106871857"/>
    <n v="1362.7989515764332"/>
    <n v="1367.6764245537629"/>
    <n v="8826633"/>
    <x v="3"/>
    <n v="0.7605702038898432"/>
    <n v="89.408360543151204"/>
    <n v="1379.0162622070313"/>
    <x v="1700"/>
    <n v="0"/>
    <s v="Reliance Industries"/>
    <s v="Energy &amp; Conglomerate"/>
  </r>
  <r>
    <x v="319"/>
    <n v="1375.3409423828125"/>
    <n v="1381.6119964455866"/>
    <n v="1368.7713419175536"/>
    <n v="1371.45898859096"/>
    <n v="6373084"/>
    <x v="3"/>
    <n v="0.28305316105254885"/>
    <n v="89.661433733913839"/>
    <n v="1378.4237475585937"/>
    <x v="1701"/>
    <n v="0"/>
    <s v="Reliance Industries"/>
    <s v="Energy &amp; Conglomerate"/>
  </r>
  <r>
    <x v="320"/>
    <n v="1368.671875"/>
    <n v="1371.3594002602315"/>
    <n v="1361.505059967041"/>
    <n v="1370.5631549835205"/>
    <n v="7600682"/>
    <x v="3"/>
    <n v="-0.48490284679943985"/>
    <n v="89.2266628892569"/>
    <n v="1377.8366528320312"/>
    <x v="1702"/>
    <n v="0"/>
    <s v="Reliance Industries"/>
    <s v="Energy &amp; Conglomerate"/>
  </r>
  <r>
    <x v="321"/>
    <n v="1369.5677490234375"/>
    <n v="1381.6120371493339"/>
    <n v="1363.7943936365562"/>
    <n v="1373.6488553790207"/>
    <n v="9768174"/>
    <x v="3"/>
    <n v="6.545571950453688E-2"/>
    <n v="89.285066843440958"/>
    <n v="1377.6620678710938"/>
    <x v="1703"/>
    <n v="0"/>
    <s v="Reliance Industries"/>
    <s v="Energy &amp; Conglomerate"/>
  </r>
  <r>
    <x v="322"/>
    <n v="1367.97509765625"/>
    <n v="1377.6304066718624"/>
    <n v="1366.3823641411529"/>
    <n v="1376.6350089791804"/>
    <n v="10882743"/>
    <x v="3"/>
    <n v="-0.1162886150263942"/>
    <n v="89.181238475783331"/>
    <n v="1377.3862280273438"/>
    <x v="1704"/>
    <n v="0"/>
    <s v="Reliance Industries"/>
    <s v="Energy &amp; Conglomerate"/>
  </r>
  <r>
    <x v="323"/>
    <n v="1391.8646240234375"/>
    <n v="1394.0544503152107"/>
    <n v="1368.6718094847661"/>
    <n v="1368.7713249510273"/>
    <n v="12315932"/>
    <x v="3"/>
    <n v="1.7463421964418302"/>
    <n v="90.738648074595346"/>
    <n v="1377.2352270507813"/>
    <x v="1705"/>
    <n v="0"/>
    <s v="Reliance Industries"/>
    <s v="Energy &amp; Conglomerate"/>
  </r>
  <r>
    <x v="324"/>
    <n v="1410.279541015625"/>
    <n v="1416.7496262080865"/>
    <n v="1392.6609284325848"/>
    <n v="1394.5522084059296"/>
    <n v="19335561"/>
    <x v="3"/>
    <n v="1.3230393728203227"/>
    <n v="91.939156114987114"/>
    <n v="1377.8451342773437"/>
    <x v="1706"/>
    <n v="0"/>
    <s v="Reliance Industries"/>
    <s v="Energy &amp; Conglomerate"/>
  </r>
  <r>
    <x v="325"/>
    <n v="1460.04931640625"/>
    <n v="1467.0170999313525"/>
    <n v="1426.7034952504036"/>
    <n v="1433.3726108781725"/>
    <n v="24721978"/>
    <x v="3"/>
    <n v="3.5290716445324666"/>
    <n v="95.183754803663561"/>
    <n v="1379.4286254882813"/>
    <x v="1707"/>
    <n v="1"/>
    <s v="Reliance Industries"/>
    <s v="Energy &amp; Conglomerate"/>
  </r>
  <r>
    <x v="326"/>
    <n v="1458.4566650390625"/>
    <n v="1467.2162134241023"/>
    <n v="1453.2806455896807"/>
    <n v="1461.2438272093502"/>
    <n v="2066169"/>
    <x v="3"/>
    <n v="-0.10908202546936474"/>
    <n v="95.079926436005934"/>
    <n v="1381.0476782226563"/>
    <x v="1708"/>
    <n v="0"/>
    <s v="Reliance Industries"/>
    <s v="Energy &amp; Conglomerate"/>
  </r>
  <r>
    <x v="328"/>
    <n v="1441.7340087890625"/>
    <n v="1476.0752283864208"/>
    <n v="1437.9514490416038"/>
    <n v="1468.2115624957596"/>
    <n v="18707090"/>
    <x v="3"/>
    <n v="-1.14659946029676"/>
    <n v="93.989740512640125"/>
    <n v="1382.7605810546875"/>
    <x v="1709"/>
    <n v="0"/>
    <s v="Reliance Industries"/>
    <s v="Energy &amp; Conglomerate"/>
  </r>
  <r>
    <x v="329"/>
    <n v="1444.9193115234375"/>
    <n v="1453.0816457634617"/>
    <n v="1434.3681199531734"/>
    <n v="1443.3266994671071"/>
    <n v="9700837"/>
    <x v="3"/>
    <n v="0.2209355342217556"/>
    <n v="94.197397247955379"/>
    <n v="1384.1723413085938"/>
    <x v="1710"/>
    <n v="0"/>
    <s v="Reliance Industries"/>
    <s v="Energy &amp; Conglomerate"/>
  </r>
  <r>
    <x v="330"/>
    <n v="1477.2696533203125"/>
    <n v="1478.1655355223299"/>
    <n v="1451.2897985128329"/>
    <n v="1456.266786847925"/>
    <n v="11513110"/>
    <x v="3"/>
    <n v="2.2389029988648002"/>
    <n v="96.306385599792449"/>
    <n v="1386.3461132812499"/>
    <x v="1711"/>
    <n v="0"/>
    <s v="Reliance Industries"/>
    <s v="Energy &amp; Conglomerate"/>
  </r>
  <r>
    <x v="331"/>
    <n v="1480.056884765625"/>
    <n v="1485.1333888036677"/>
    <n v="1470.7996374250399"/>
    <n v="1477.2697225639299"/>
    <n v="17631577"/>
    <x v="3"/>
    <n v="0.18867452120525652"/>
    <n v="96.488091211712941"/>
    <n v="1388.5320092773438"/>
    <x v="1712"/>
    <n v="0"/>
    <s v="Reliance Industries"/>
    <s v="Energy &amp; Conglomerate"/>
  </r>
  <r>
    <x v="332"/>
    <n v="1497.277099609375"/>
    <n v="1501.3583271895798"/>
    <n v="1481.2512217130793"/>
    <n v="1483.1425015536738"/>
    <n v="11884745"/>
    <x v="3"/>
    <n v="1.163483310742941"/>
    <n v="97.610714049815655"/>
    <n v="1391.1280029296875"/>
    <x v="1713"/>
    <n v="0"/>
    <s v="Reliance Industries"/>
    <s v="Energy &amp; Conglomerate"/>
  </r>
  <r>
    <x v="333"/>
    <n v="1481.6494140625"/>
    <n v="1496.1821955688697"/>
    <n v="1477.1701246011085"/>
    <n v="1493.0964871305005"/>
    <n v="9318663"/>
    <x v="3"/>
    <n v="-1.0437403705000348"/>
    <n v="96.59191162134438"/>
    <n v="1393.2541723632812"/>
    <x v="1714"/>
    <n v="0"/>
    <s v="Reliance Industries"/>
    <s v="Energy &amp; Conglomerate"/>
  </r>
  <r>
    <x v="334"/>
    <n v="1479.5592041015625"/>
    <n v="1490.6080945575152"/>
    <n v="1475.4780977270138"/>
    <n v="1483.540795005222"/>
    <n v="8758053"/>
    <x v="3"/>
    <n v="-0.14107318108448341"/>
    <n v="96.455646338949848"/>
    <n v="1394.5740722656251"/>
    <x v="1715"/>
    <n v="0"/>
    <s v="Reliance Industries"/>
    <s v="Energy &amp; Conglomerate"/>
  </r>
  <r>
    <x v="335"/>
    <n v="1477.866943359375"/>
    <n v="1488.1195884585134"/>
    <n v="1472.4918928888085"/>
    <n v="1479.1610089962214"/>
    <n v="8452085"/>
    <x v="3"/>
    <n v="-0.11437600722541408"/>
    <n v="96.345324221923889"/>
    <n v="1396.0014721679688"/>
    <x v="1716"/>
    <n v="0"/>
    <s v="Reliance Industries"/>
    <s v="Energy &amp; Conglomerate"/>
  </r>
  <r>
    <x v="336"/>
    <n v="1466.3203125"/>
    <n v="1485.9297198935935"/>
    <n v="1463.334119430687"/>
    <n v="1477.07065615293"/>
    <n v="10007806"/>
    <x v="3"/>
    <n v="-0.78130381840249008"/>
    <n v="95.592574524925737"/>
    <n v="1396.9630249023437"/>
    <x v="1717"/>
    <n v="0"/>
    <s v="Reliance Industries"/>
    <s v="Energy &amp; Conglomerate"/>
  </r>
  <r>
    <x v="338"/>
    <n v="1489.2144775390625"/>
    <n v="1494.6891648996159"/>
    <n v="1469.4060389691761"/>
    <n v="1477.1701896475463"/>
    <n v="16772678"/>
    <x v="3"/>
    <n v="1.5613345081491259"/>
    <n v="97.085094378211551"/>
    <n v="1398.6930273437499"/>
    <x v="1718"/>
    <n v="0"/>
    <s v="Reliance Industries"/>
    <s v="Energy &amp; Conglomerate"/>
  </r>
  <r>
    <x v="339"/>
    <n v="1471.19775390625"/>
    <n v="1491.5038906434634"/>
    <n v="1469.1074431042953"/>
    <n v="1487.7213309001131"/>
    <n v="7821765"/>
    <x v="3"/>
    <n v="-1.2098138921255441"/>
    <n v="95.910545419240762"/>
    <n v="1399.9950073242187"/>
    <x v="1719"/>
    <n v="0"/>
    <s v="Reliance Industries"/>
    <s v="Energy &amp; Conglomerate"/>
  </r>
  <r>
    <x v="340"/>
    <n v="1482.44580078125"/>
    <n v="1494.0919049344996"/>
    <n v="1468.7092643110286"/>
    <n v="1471.0982430243505"/>
    <n v="7068438"/>
    <x v="3"/>
    <n v="0.7645503023053557"/>
    <n v="96.643829784186281"/>
    <n v="1402.0733984374999"/>
    <x v="1720"/>
    <n v="0"/>
    <s v="Reliance Industries"/>
    <s v="Energy &amp; Conglomerate"/>
  </r>
  <r>
    <x v="341"/>
    <n v="1486.5269775390625"/>
    <n v="1491.9021495222175"/>
    <n v="1473.3876547459602"/>
    <n v="1490.1103850249956"/>
    <n v="7127506"/>
    <x v="3"/>
    <n v="0.27530023395538894"/>
    <n v="96.909890473685593"/>
    <n v="1404.2135034179687"/>
    <x v="1721"/>
    <n v="0"/>
    <s v="Reliance Industries"/>
    <s v="Energy &amp; Conglomerate"/>
  </r>
  <r>
    <x v="342"/>
    <n v="1504.5435791015625"/>
    <n v="1517.6827797499902"/>
    <n v="1493.0965058897411"/>
    <n v="1498.0734942427068"/>
    <n v="12384459"/>
    <x v="3"/>
    <n v="1.2119929092929249"/>
    <n v="98.084431474630208"/>
    <n v="1407.2853002929687"/>
    <x v="1722"/>
    <n v="0"/>
    <s v="Reliance Industries"/>
    <s v="Energy &amp; Conglomerate"/>
  </r>
  <r>
    <x v="343"/>
    <n v="1503.9464111328125"/>
    <n v="1515.0948167835015"/>
    <n v="1499.8653048593551"/>
    <n v="1508.0275174062697"/>
    <n v="7196443"/>
    <x v="3"/>
    <n v="-3.9690971869799085E-2"/>
    <n v="98.04550081052497"/>
    <n v="1410.410849609375"/>
    <x v="1723"/>
    <n v="0"/>
    <s v="Reliance Industries"/>
    <s v="Energy &amp; Conglomerate"/>
  </r>
  <r>
    <x v="344"/>
    <n v="1511.9095458984375"/>
    <n v="1513.9003412392719"/>
    <n v="1498.5711928131457"/>
    <n v="1498.5711928131457"/>
    <n v="7682823"/>
    <x v="3"/>
    <n v="0.52948261365421967"/>
    <n v="98.564634690786917"/>
    <n v="1413.4448217773438"/>
    <x v="1724"/>
    <n v="0"/>
    <s v="Reliance Industries"/>
    <s v="Energy &amp; Conglomerate"/>
  </r>
  <r>
    <x v="345"/>
    <n v="1511.3123779296875"/>
    <n v="1516.6874283079178"/>
    <n v="1504.5436249599409"/>
    <n v="1513.9003876504109"/>
    <n v="5871416"/>
    <x v="3"/>
    <n v="-3.9497598938376122E-2"/>
    <n v="98.525704026681666"/>
    <n v="1416.3454125976561"/>
    <x v="1725"/>
    <n v="0"/>
    <s v="Reliance Industries"/>
    <s v="Energy &amp; Conglomerate"/>
  </r>
  <r>
    <x v="346"/>
    <n v="1512.4072265625"/>
    <n v="1520.7685911952462"/>
    <n v="1503.5481631005248"/>
    <n v="1514.696568271851"/>
    <n v="11045042"/>
    <x v="3"/>
    <n v="7.2443569496360993E-2"/>
    <n v="98.597079563550011"/>
    <n v="1419.53267578125"/>
    <x v="1726"/>
    <n v="0"/>
    <s v="Reliance Industries"/>
    <s v="Energy &amp; Conglomerate"/>
  </r>
  <r>
    <x v="347"/>
    <n v="1511.9095458984375"/>
    <n v="1515.2939222795571"/>
    <n v="1505.0412776708577"/>
    <n v="1510.4164493928115"/>
    <n v="5692366"/>
    <x v="3"/>
    <n v="-3.290652512906167E-2"/>
    <n v="98.564634690786917"/>
    <n v="1422.3974291992188"/>
    <x v="1727"/>
    <n v="0"/>
    <s v="Reliance Industries"/>
    <s v="Energy &amp; Conglomerate"/>
  </r>
  <r>
    <x v="348"/>
    <n v="1541.9705810546875"/>
    <n v="1543.7623455509597"/>
    <n v="1519.6736478639641"/>
    <n v="1522.9585089376258"/>
    <n v="18171724"/>
    <x v="3"/>
    <n v="1.9882826481121718"/>
    <n v="100.52437821951897"/>
    <n v="1425.7937255859374"/>
    <x v="1728"/>
    <n v="0"/>
    <s v="Reliance Industries"/>
    <s v="Energy &amp; Conglomerate"/>
  </r>
  <r>
    <x v="349"/>
    <n v="1539.4820556640625"/>
    <n v="1550.6305827884978"/>
    <n v="1533.0119706260582"/>
    <n v="1533.9078528560988"/>
    <n v="9615271"/>
    <x v="3"/>
    <n v="-0.1613860485537244"/>
    <n v="100.36214589767729"/>
    <n v="1429.1860424804688"/>
    <x v="1729"/>
    <n v="0"/>
    <s v="Reliance Industries"/>
    <s v="Energy &amp; Conglomerate"/>
  </r>
  <r>
    <x v="350"/>
    <n v="1528.831298828125"/>
    <n v="1542.8663816107544"/>
    <n v="1524.7501927010492"/>
    <n v="1542.8663816107544"/>
    <n v="18433951"/>
    <x v="3"/>
    <n v="-0.69184027165183348"/>
    <n v="99.667800154863187"/>
    <n v="1432.3494165039062"/>
    <x v="1730"/>
    <n v="0"/>
    <s v="Reliance Industries"/>
    <s v="Energy &amp; Conglomerate"/>
  </r>
  <r>
    <x v="351"/>
    <n v="1532.61376953125"/>
    <n v="1552.4222077972818"/>
    <n v="1518.0809876078647"/>
    <n v="1528.8313312270848"/>
    <n v="15033482"/>
    <x v="3"/>
    <n v="0.24740929270772316"/>
    <n v="99.914387554283692"/>
    <n v="1435.4630175781249"/>
    <x v="1731"/>
    <n v="0"/>
    <s v="Reliance Industries"/>
    <s v="Energy &amp; Conglomerate"/>
  </r>
  <r>
    <x v="352"/>
    <n v="1562.6748046875"/>
    <n v="1564.3669320995491"/>
    <n v="1533.4100892950655"/>
    <n v="1535.2018536795324"/>
    <n v="14054299"/>
    <x v="3"/>
    <n v="1.9614227507197768"/>
    <n v="101.87413108301575"/>
    <n v="1438.9449169921875"/>
    <x v="1732"/>
    <n v="0"/>
    <s v="Reliance Industries"/>
    <s v="Energy &amp; Conglomerate"/>
  </r>
  <r>
    <x v="513"/>
    <n v="1556.2047119140625"/>
    <n v="1568.2489991897637"/>
    <n v="1548.8387449947777"/>
    <n v="1567.7513003642512"/>
    <n v="9794643"/>
    <x v="3"/>
    <n v="-0.41403961681787393"/>
    <n v="101.45233182104309"/>
    <n v="1442.2118115234375"/>
    <x v="1733"/>
    <n v="0"/>
    <s v="Reliance Industries"/>
    <s v="Energy &amp; Conglomerate"/>
  </r>
  <r>
    <x v="353"/>
    <n v="1560.285888671875"/>
    <n v="1574.0224254817672"/>
    <n v="1555.8065990393241"/>
    <n v="1560.7835875199362"/>
    <n v="8959508"/>
    <x v="3"/>
    <n v="0.26225192139361919"/>
    <n v="101.7183925105424"/>
    <n v="1445.5603295898438"/>
    <x v="1734"/>
    <n v="0"/>
    <s v="Reliance Industries"/>
    <s v="Energy &amp; Conglomerate"/>
  </r>
  <r>
    <x v="354"/>
    <n v="1558.892333984375"/>
    <n v="1570.2398922139623"/>
    <n v="1556.403839701944"/>
    <n v="1567.7513979315313"/>
    <n v="8920233"/>
    <x v="3"/>
    <n v="-8.9314060815237628E-2"/>
    <n v="101.62754368359526"/>
    <n v="1448.5923095703124"/>
    <x v="1735"/>
    <n v="0"/>
    <s v="Reliance Industries"/>
    <s v="Energy &amp; Conglomerate"/>
  </r>
  <r>
    <x v="355"/>
    <n v="1539.1834716796875"/>
    <n v="1560.2858537619331"/>
    <n v="1534.9032130787248"/>
    <n v="1553.9152843475838"/>
    <n v="11389150"/>
    <x v="3"/>
    <n v="-1.2642863060538412"/>
    <n v="100.34268056562468"/>
    <n v="1451.2062255859375"/>
    <x v="1736"/>
    <n v="0"/>
    <s v="Reliance Industries"/>
    <s v="Energy &amp; Conglomerate"/>
  </r>
  <r>
    <x v="356"/>
    <n v="1531.718017578125"/>
    <n v="1545.2554018922649"/>
    <n v="1525.9446623591427"/>
    <n v="1538.0884656023031"/>
    <n v="6090883"/>
    <x v="3"/>
    <n v="-0.48502691452472213"/>
    <n v="99.855991558125822"/>
    <n v="1453.8221313476563"/>
    <x v="1737"/>
    <n v="0"/>
    <s v="Reliance Industries"/>
    <s v="Energy &amp; Conglomerate"/>
  </r>
  <r>
    <x v="357"/>
    <n v="1528.53271484375"/>
    <n v="1553.3181423785347"/>
    <n v="1510.6155558800758"/>
    <n v="1528.9308982335338"/>
    <n v="11867930"/>
    <x v="3"/>
    <n v="-0.2079562098127874"/>
    <n v="99.648334822810568"/>
    <n v="1456.7087866210939"/>
    <x v="1738"/>
    <n v="0"/>
    <s v="Reliance Industries"/>
    <s v="Energy &amp; Conglomerate"/>
  </r>
  <r>
    <x v="358"/>
    <n v="1533.5096435546875"/>
    <n v="1538.6857844027049"/>
    <n v="1513.6016899280953"/>
    <n v="1523.3566358085279"/>
    <n v="10183266"/>
    <x v="3"/>
    <n v="0.32560171349989009"/>
    <n v="99.972791508467736"/>
    <n v="1459.7109033203126"/>
    <x v="1739"/>
    <n v="0"/>
    <s v="Reliance Industries"/>
    <s v="Energy &amp; Conglomerate"/>
  </r>
  <r>
    <x v="359"/>
    <n v="1535.898681640625"/>
    <n v="1543.861863398969"/>
    <n v="1527.9354998822807"/>
    <n v="1532.1161217020071"/>
    <n v="11301491"/>
    <x v="3"/>
    <n v="0.1557889183141814"/>
    <n v="100.12853803896726"/>
    <n v="1462.8961767578126"/>
    <x v="1740"/>
    <n v="0"/>
    <s v="Reliance Industries"/>
    <s v="Energy &amp; Conglomerate"/>
  </r>
  <r>
    <x v="360"/>
    <n v="1522.3612060546875"/>
    <n v="1535.4008911036892"/>
    <n v="1513.1039592099478"/>
    <n v="1533.211064854301"/>
    <n v="11503971"/>
    <x v="3"/>
    <n v="-0.88140420639445383"/>
    <n v="99.246000892890535"/>
    <n v="1466.0217236328126"/>
    <x v="1741"/>
    <n v="0"/>
    <s v="Reliance Industries"/>
    <s v="Energy &amp; Conglomerate"/>
  </r>
  <r>
    <x v="361"/>
    <n v="1529.8267822265625"/>
    <n v="1540.3779737710463"/>
    <n v="1524.3520947592017"/>
    <n v="1526.9401045329791"/>
    <n v="7991629"/>
    <x v="3"/>
    <n v="0.49039453594739157"/>
    <n v="99.732697858415577"/>
    <n v="1469.1930615234376"/>
    <x v="1742"/>
    <n v="0"/>
    <s v="Reliance Industries"/>
    <s v="Energy &amp; Conglomerate"/>
  </r>
  <r>
    <x v="362"/>
    <n v="1537.889404296875"/>
    <n v="1542.8663926602951"/>
    <n v="1516.9860531705101"/>
    <n v="1529.8267074498351"/>
    <n v="4706197"/>
    <x v="3"/>
    <n v="0.52702842988392451"/>
    <n v="100.25831753001965"/>
    <n v="1472.6212109375001"/>
    <x v="1743"/>
    <n v="0"/>
    <s v="Reliance Industries"/>
    <s v="Energy &amp; Conglomerate"/>
  </r>
  <r>
    <x v="363"/>
    <n v="1549.3365478515625"/>
    <n v="1552.6214089239099"/>
    <n v="1538.9843872841"/>
    <n v="1543.6628294631555"/>
    <n v="5106655"/>
    <x v="3"/>
    <n v="0.74434114200305768"/>
    <n v="101.00458143567568"/>
    <n v="1476.4534936523437"/>
    <x v="1744"/>
    <n v="0"/>
    <s v="Reliance Industries"/>
    <s v="Energy &amp; Conglomerate"/>
  </r>
  <r>
    <x v="364"/>
    <n v="1549.037841796875"/>
    <n v="1551.4268205626304"/>
    <n v="1539.3825327747268"/>
    <n v="1544.0608533300961"/>
    <n v="5774543"/>
    <x v="3"/>
    <n v="-1.9279610688960336E-2"/>
    <n v="100.98510814559687"/>
    <n v="1480.1862353515626"/>
    <x v="1745"/>
    <n v="0"/>
    <s v="Reliance Industries"/>
    <s v="Energy &amp; Conglomerate"/>
  </r>
  <r>
    <x v="365"/>
    <n v="1535.201904296875"/>
    <n v="1544.5585453663573"/>
    <n v="1531.7180123854912"/>
    <n v="1537.8894294536826"/>
    <n v="11731856"/>
    <x v="3"/>
    <n v="-0.89319557771102565"/>
    <n v="100.0831136254937"/>
    <n v="1483.7477685546876"/>
    <x v="1746"/>
    <n v="0"/>
    <s v="Reliance Industries"/>
    <s v="Energy &amp; Conglomerate"/>
  </r>
  <r>
    <x v="366"/>
    <n v="1537.292236328125"/>
    <n v="1542.8664391614582"/>
    <n v="1532.2157323461342"/>
    <n v="1542.8664391614582"/>
    <n v="7116649"/>
    <x v="3"/>
    <n v="0.13616007284771303"/>
    <n v="100.21938686591443"/>
    <n v="1487.1201757812501"/>
    <x v="1747"/>
    <n v="0"/>
    <s v="Reliance Industries"/>
    <s v="Energy &amp; Conglomerate"/>
  </r>
  <r>
    <x v="367"/>
    <n v="1537.292236328125"/>
    <n v="1544.3595357154854"/>
    <n v="1528.1345045583196"/>
    <n v="1528.1345045583196"/>
    <n v="6580829"/>
    <x v="3"/>
    <n v="0"/>
    <n v="100.21938686591443"/>
    <n v="1490.2974853515625"/>
    <x v="1748"/>
    <n v="0"/>
    <s v="Reliance Industries"/>
    <s v="Energy &amp; Conglomerate"/>
  </r>
  <r>
    <x v="368"/>
    <n v="1557.8968505859375"/>
    <n v="1566.9549449740823"/>
    <n v="1543.8617679066683"/>
    <n v="1547.2461442463334"/>
    <n v="13937275"/>
    <x v="3"/>
    <n v="1.3403186310904314"/>
    <n v="101.56264598004286"/>
    <n v="1494.2332861328125"/>
    <x v="1749"/>
    <n v="0"/>
    <s v="Reliance Industries"/>
    <s v="Energy &amp; Conglomerate"/>
  </r>
  <r>
    <x v="369"/>
    <n v="1568.1495361328125"/>
    <n v="1570.2398469681211"/>
    <n v="1558.0960438231807"/>
    <n v="1566.2582562309594"/>
    <n v="10184852"/>
    <x v="3"/>
    <n v="0.65811067934433698"/>
    <n v="102.2310405994622"/>
    <n v="1498.1670971679687"/>
    <x v="1750"/>
    <n v="0"/>
    <s v="Reliance Industries"/>
    <s v="Energy &amp; Conglomerate"/>
  </r>
  <r>
    <x v="370"/>
    <n v="1563.4710693359375"/>
    <n v="1573.6241984599117"/>
    <n v="1560.8830596994949"/>
    <n v="1573.6241984599117"/>
    <n v="7506564"/>
    <x v="3"/>
    <n v="-0.29834315472314632"/>
    <n v="101.92604128783147"/>
    <n v="1501.9296997070312"/>
    <x v="1751"/>
    <n v="0"/>
    <s v="Reliance Industries"/>
    <s v="Energy &amp; Conglomerate"/>
  </r>
  <r>
    <x v="371"/>
    <n v="1551.0286865234375"/>
    <n v="1568.4481467112951"/>
    <n v="1546.4498812900458"/>
    <n v="1565.4619535362338"/>
    <n v="8815745"/>
    <x v="3"/>
    <n v="-0.79581791160259208"/>
    <n v="101.11489559467543"/>
    <n v="1505.5768359374999"/>
    <x v="1752"/>
    <n v="0"/>
    <s v="Reliance Industries"/>
    <s v="Energy &amp; Conglomerate"/>
  </r>
  <r>
    <x v="372"/>
    <n v="1552.0240478515625"/>
    <n v="1553.8158123179846"/>
    <n v="1547.1466963201517"/>
    <n v="1547.5447581940157"/>
    <n v="2311495"/>
    <x v="3"/>
    <n v="6.417426942348925E-2"/>
    <n v="101.17978534020165"/>
    <n v="1509.2259619140625"/>
    <x v="1753"/>
    <n v="0"/>
    <s v="Reliance Industries"/>
    <s v="Energy &amp; Conglomerate"/>
  </r>
  <r>
    <x v="373"/>
    <n v="1538.4866943359375"/>
    <n v="1550.9291658570105"/>
    <n v="1536.4958988925659"/>
    <n v="1547.7439417510202"/>
    <n v="5972105"/>
    <x v="3"/>
    <n v="-0.87223864439243126"/>
    <n v="100.29725615215111"/>
    <n v="1512.6361938476562"/>
    <x v="1754"/>
    <n v="0"/>
    <s v="Reliance Industries"/>
    <s v="Energy &amp; Conglomerate"/>
  </r>
  <r>
    <x v="374"/>
    <n v="1532.71337890625"/>
    <n v="1546.4497938295531"/>
    <n v="1530.7225835687998"/>
    <n v="1539.8801935176689"/>
    <n v="8815884"/>
    <x v="3"/>
    <n v="-0.37525936694431383"/>
    <n v="99.920881303652024"/>
    <n v="1515.4531689453124"/>
    <x v="1755"/>
    <n v="0"/>
    <s v="Reliance Industries"/>
    <s v="Energy &amp; Conglomerate"/>
  </r>
  <r>
    <x v="375"/>
    <n v="1563.172607421875"/>
    <n v="1569.7422080874378"/>
    <n v="1533.9078900841737"/>
    <n v="1533.9078900841737"/>
    <n v="5771830"/>
    <x v="3"/>
    <n v="1.9872749161595316"/>
    <n v="101.90658391380502"/>
    <n v="1518.5110302734374"/>
    <x v="1756"/>
    <n v="0"/>
    <s v="Reliance Industries"/>
    <s v="Energy &amp; Conglomerate"/>
  </r>
  <r>
    <x v="514"/>
    <n v="1568.3485107421875"/>
    <n v="1585.1707553042595"/>
    <n v="1563.8692213237453"/>
    <n v="1566.457230908256"/>
    <n v="6408128"/>
    <x v="3"/>
    <n v="0.33111527772029525"/>
    <n v="102.24401218214649"/>
    <n v="1520.6770141601562"/>
    <x v="1757"/>
    <n v="0"/>
    <s v="Reliance Industries"/>
    <s v="Energy &amp; Conglomerate"/>
  </r>
  <r>
    <x v="376"/>
    <n v="1584.9718017578125"/>
    <n v="1587.2611435561273"/>
    <n v="1570.9365970213464"/>
    <n v="1572.7283614795997"/>
    <n v="6602230"/>
    <x v="3"/>
    <n v="1.0599232824698213"/>
    <n v="103.32772027219632"/>
    <n v="1523.2073168945312"/>
    <x v="1758"/>
    <n v="0"/>
    <s v="Reliance Industries"/>
    <s v="Energy &amp; Conglomerate"/>
  </r>
  <r>
    <x v="377"/>
    <n v="1570.8370361328125"/>
    <n v="1604.3820104615531"/>
    <n v="1568.049995566515"/>
    <n v="1585.6684856930358"/>
    <n v="8704973"/>
    <x v="3"/>
    <n v="-0.8917991859113128"/>
    <n v="102.40624450398816"/>
    <n v="1525.7893774414063"/>
    <x v="1759"/>
    <n v="0"/>
    <s v="Reliance Industries"/>
    <s v="Energy &amp; Conglomerate"/>
  </r>
  <r>
    <x v="378"/>
    <n v="1500.6614990234375"/>
    <n v="1561.77894010158"/>
    <n v="1489.4135782872731"/>
    <n v="1561.77894010158"/>
    <n v="27417125"/>
    <x v="3"/>
    <n v="-4.4673976673059386"/>
    <n v="97.831350325841385"/>
    <n v="1526.9042211914064"/>
    <x v="1760"/>
    <n v="1"/>
    <s v="Reliance Industries"/>
    <s v="Energy &amp; Conglomerate"/>
  </r>
  <r>
    <x v="379"/>
    <n v="1497.277099609375"/>
    <n v="1513.0044311151571"/>
    <n v="1491.1056827700695"/>
    <n v="1503.0504545946628"/>
    <n v="11199340"/>
    <x v="3"/>
    <n v="-0.22552717026890212"/>
    <n v="97.610714049815655"/>
    <n v="1527.3043701171875"/>
    <x v="1761"/>
    <n v="0"/>
    <s v="Reliance Industries"/>
    <s v="Energy &amp; Conglomerate"/>
  </r>
  <r>
    <x v="380"/>
    <n v="1463.831787109375"/>
    <n v="1496.9785780764305"/>
    <n v="1462.0401442110369"/>
    <n v="1493.0965028672745"/>
    <n v="16518684"/>
    <x v="3"/>
    <n v="-2.2337423385908717"/>
    <n v="95.430342203084052"/>
    <n v="1526.9798681640625"/>
    <x v="1762"/>
    <n v="0"/>
    <s v="Reliance Industries"/>
    <s v="Energy &amp; Conglomerate"/>
  </r>
  <r>
    <x v="381"/>
    <n v="1468.51025390625"/>
    <n v="1473.0890589574892"/>
    <n v="1458.2576091430024"/>
    <n v="1458.2576091430024"/>
    <n v="8335311"/>
    <x v="3"/>
    <n v="0.31960412651739212"/>
    <n v="95.73534151471479"/>
    <n v="1526.40453125"/>
    <x v="1763"/>
    <n v="0"/>
    <s v="Reliance Industries"/>
    <s v="Energy &amp; Conglomerate"/>
  </r>
  <r>
    <x v="382"/>
    <n v="1476.373779296875"/>
    <n v="1478.4642116159971"/>
    <n v="1444.322022844729"/>
    <n v="1468.5102348906721"/>
    <n v="11513110"/>
    <x v="3"/>
    <n v="0.53547636931428055"/>
    <n v="96.247981645608405"/>
    <n v="1526.2990185546876"/>
    <x v="1764"/>
    <n v="0"/>
    <s v="Reliance Industries"/>
    <s v="Energy &amp; Conglomerate"/>
  </r>
  <r>
    <x v="383"/>
    <n v="1446.11376953125"/>
    <n v="1478.9618923221497"/>
    <n v="1438.0509512757719"/>
    <n v="1478.1655255904841"/>
    <n v="13499760"/>
    <x v="3"/>
    <n v="-2.0496171220296455"/>
    <n v="94.275266534192056"/>
    <n v="1525.6301098632812"/>
    <x v="1765"/>
    <n v="0"/>
    <s v="Reliance Industries"/>
    <s v="Energy &amp; Conglomerate"/>
  </r>
  <r>
    <x v="384"/>
    <n v="1452.086181640625"/>
    <n v="1460.2483939989072"/>
    <n v="1433.5716876182923"/>
    <n v="1437.3542473990606"/>
    <n v="8321764"/>
    <x v="3"/>
    <n v="0.41299738894755578"/>
    <n v="94.664620923401614"/>
    <n v="1525.1144946289062"/>
    <x v="1766"/>
    <n v="0"/>
    <s v="Reliance Industries"/>
    <s v="Energy &amp; Conglomerate"/>
  </r>
  <r>
    <x v="385"/>
    <n v="1452.086181640625"/>
    <n v="1452.086181640625"/>
    <n v="1452.086181640625"/>
    <n v="1452.086181640625"/>
    <n v="0"/>
    <x v="3"/>
    <n v="0"/>
    <n v="94.664620923401614"/>
    <n v="1524.8298120117188"/>
    <x v="1767"/>
    <n v="0"/>
    <s v="Reliance Industries"/>
    <s v="Energy &amp; Conglomerate"/>
  </r>
  <r>
    <x v="386"/>
    <n v="1451.1903076171875"/>
    <n v="1473.1885721290346"/>
    <n v="1448.4031454989463"/>
    <n v="1452.0861898343726"/>
    <n v="17167161"/>
    <x v="3"/>
    <n v="-6.1695651040860611E-2"/>
    <n v="94.606216969217556"/>
    <n v="1524.0693286132812"/>
    <x v="1768"/>
    <n v="0"/>
    <s v="Reliance Industries"/>
    <s v="Energy &amp; Conglomerate"/>
  </r>
  <r>
    <x v="515"/>
    <n v="1407.0941162109375"/>
    <n v="1443.9238298491432"/>
    <n v="1396.8415931572963"/>
    <n v="1443.9238298491432"/>
    <n v="20392765"/>
    <x v="3"/>
    <n v="-3.0386222382269512"/>
    <n v="91.731491421645671"/>
    <n v="1522.7872558593749"/>
    <x v="1769"/>
    <n v="1"/>
    <s v="Reliance Industries"/>
    <s v="Energy &amp; Conglomerate"/>
  </r>
  <r>
    <x v="387"/>
    <n v="1387.5843505859375"/>
    <n v="1409.4830993039366"/>
    <n v="1383.6027599099375"/>
    <n v="1404.207443054835"/>
    <n v="13189498"/>
    <x v="3"/>
    <n v="-1.3865288327362557"/>
    <n v="90.459607844385573"/>
    <n v="1520.8900268554687"/>
    <x v="1770"/>
    <n v="0"/>
    <s v="Reliance Industries"/>
    <s v="Energy &amp; Conglomerate"/>
  </r>
  <r>
    <x v="388"/>
    <n v="1398.1356201171875"/>
    <n v="1406.3974698374061"/>
    <n v="1366.681076311502"/>
    <n v="1383.1051387726379"/>
    <n v="17352720"/>
    <x v="3"/>
    <n v="0.76040563060504329"/>
    <n v="91.147467795857523"/>
    <n v="1519.1221997070313"/>
    <x v="1771"/>
    <n v="0"/>
    <s v="Reliance Industries"/>
    <s v="Energy &amp; Conglomerate"/>
  </r>
  <r>
    <x v="389"/>
    <n v="1396.0452880859375"/>
    <n v="1412.9670491536458"/>
    <n v="1388.5798052619484"/>
    <n v="1403.6102863792109"/>
    <n v="15721693"/>
    <x v="3"/>
    <n v="-0.14950853130218933"/>
    <n v="91.011194555436802"/>
    <n v="1516.9522338867187"/>
    <x v="1772"/>
    <n v="0"/>
    <s v="Reliance Industries"/>
    <s v="Energy &amp; Conglomerate"/>
  </r>
  <r>
    <x v="390"/>
    <n v="1379.720703125"/>
    <n v="1400.5245389866304"/>
    <n v="1374.6441992470054"/>
    <n v="1395.3485196421079"/>
    <n v="9837802"/>
    <x v="3"/>
    <n v="-1.1693449417618407"/>
    <n v="89.94695975546577"/>
    <n v="1514.4677197265626"/>
    <x v="1773"/>
    <n v="0"/>
    <s v="Reliance Industries"/>
    <s v="Energy &amp; Conglomerate"/>
  </r>
  <r>
    <x v="392"/>
    <n v="1374.146484375"/>
    <n v="1385.1953742178571"/>
    <n v="1361.7040134914885"/>
    <n v="1373.6487855396597"/>
    <n v="26302396"/>
    <x v="3"/>
    <n v="-0.40401066225755899"/>
    <n v="89.583564447677162"/>
    <n v="1511.7124584960939"/>
    <x v="1774"/>
    <n v="1"/>
    <s v="Reliance Industries"/>
    <s v="Energy &amp; Conglomerate"/>
  </r>
  <r>
    <x v="393"/>
    <n v="1390.2718505859375"/>
    <n v="1403.4111724845943"/>
    <n v="1378.526231208921"/>
    <n v="1378.6257466723232"/>
    <n v="11121657"/>
    <x v="3"/>
    <n v="1.1734823320726173"/>
    <n v="90.634811748911531"/>
    <n v="1509.2916479492187"/>
    <x v="1775"/>
    <n v="0"/>
    <s v="Reliance Industries"/>
    <s v="Energy &amp; Conglomerate"/>
  </r>
  <r>
    <x v="394"/>
    <n v="1384.59814453125"/>
    <n v="1396.4434009824272"/>
    <n v="1377.6303609139109"/>
    <n v="1396.4434009824272"/>
    <n v="20846683"/>
    <x v="3"/>
    <n v="-0.40810047706111297"/>
    <n v="90.264930649780794"/>
    <n v="1506.7354663085937"/>
    <x v="1776"/>
    <n v="0"/>
    <s v="Reliance Industries"/>
    <s v="Energy &amp; Conglomerate"/>
  </r>
  <r>
    <x v="395"/>
    <n v="1388.9779052734375"/>
    <n v="1391.5659148620384"/>
    <n v="1372.1556606847782"/>
    <n v="1376.236766748553"/>
    <n v="11239835"/>
    <x v="3"/>
    <n v="0.31631999215702145"/>
    <n v="90.550456671332725"/>
    <n v="1504.2768334960938"/>
    <x v="1777"/>
    <n v="0"/>
    <s v="Reliance Industries"/>
    <s v="Energy &amp; Conglomerate"/>
  </r>
  <r>
    <x v="396"/>
    <n v="1384.0009765625"/>
    <n v="1386.4894707948447"/>
    <n v="1329.3536189185099"/>
    <n v="1333.8329085367304"/>
    <n v="15711165"/>
    <x v="3"/>
    <n v="-0.35831590207748842"/>
    <n v="90.225999985675557"/>
    <n v="1501.11744140625"/>
    <x v="1778"/>
    <n v="0"/>
    <s v="Reliance Industries"/>
    <s v="Energy &amp; Conglomerate"/>
  </r>
  <r>
    <x v="397"/>
    <n v="1430.4859619140625"/>
    <n v="1482.6448239290096"/>
    <n v="1423.6176937150069"/>
    <n v="1467.1166446366906"/>
    <n v="25456171"/>
    <x v="3"/>
    <n v="3.3587393461975035"/>
    <n v="93.256456147694593"/>
    <n v="1498.93751953125"/>
    <x v="1779"/>
    <n v="1"/>
    <s v="Reliance Industries"/>
    <s v="Energy &amp; Conglomerate"/>
  </r>
  <r>
    <x v="398"/>
    <n v="1450.095458984375"/>
    <n v="1457.2622740237098"/>
    <n v="1433.6713964697635"/>
    <n v="1437.3543194605445"/>
    <n v="8333387"/>
    <x v="3"/>
    <n v="1.3708276482541581"/>
    <n v="94.534841432349211"/>
    <n v="1497.362802734375"/>
    <x v="1780"/>
    <n v="0"/>
    <s v="Reliance Industries"/>
    <s v="Energy &amp; Conglomerate"/>
  </r>
  <r>
    <x v="399"/>
    <n v="1436.757080078125"/>
    <n v="1454.7737543419996"/>
    <n v="1432.8750047042822"/>
    <n v="1450.2944646433757"/>
    <n v="11763658"/>
    <x v="3"/>
    <n v="-0.9198276446980902"/>
    <n v="93.665283826982957"/>
    <n v="1495.4456689453125"/>
    <x v="1781"/>
    <n v="0"/>
    <s v="Reliance Industries"/>
    <s v="Energy &amp; Conglomerate"/>
  </r>
  <r>
    <x v="400"/>
    <n v="1444.123046875"/>
    <n v="1446.113842295832"/>
    <n v="1426.9026178813986"/>
    <n v="1434.865799564727"/>
    <n v="8277304"/>
    <x v="3"/>
    <n v="0.51268004167235315"/>
    <n v="94.145487043139667"/>
    <n v="1493.0746337890625"/>
    <x v="1782"/>
    <n v="0"/>
    <s v="Reliance Industries"/>
    <s v="Energy &amp; Conglomerate"/>
  </r>
  <r>
    <x v="401"/>
    <n v="1454.873291015625"/>
    <n v="1459.1535498378751"/>
    <n v="1446.3128948796364"/>
    <n v="1451.2898835062008"/>
    <n v="5775864"/>
    <x v="3"/>
    <n v="0.74441330770864678"/>
    <n v="94.846318577295904"/>
    <n v="1491.0480053710937"/>
    <x v="1783"/>
    <n v="0"/>
    <s v="Reliance Industries"/>
    <s v="Energy &amp; Conglomerate"/>
  </r>
  <r>
    <x v="402"/>
    <n v="1451.7874755859375"/>
    <n v="1464.2299462371711"/>
    <n v="1445.5164217743147"/>
    <n v="1464.2299462371711"/>
    <n v="10259630"/>
    <x v="3"/>
    <n v="-0.21210200563468451"/>
    <n v="94.645147633322807"/>
    <n v="1488.8780371093751"/>
    <x v="1784"/>
    <n v="0"/>
    <s v="Reliance Industries"/>
    <s v="Energy &amp; Conglomerate"/>
  </r>
  <r>
    <x v="403"/>
    <n v="1461.9405517578125"/>
    <n v="1463.234617369774"/>
    <n v="1446.9100708062599"/>
    <n v="1452.8824569996059"/>
    <n v="7106877"/>
    <x v="3"/>
    <n v="0.69935003177907795"/>
    <n v="95.307048503373807"/>
    <n v="1486.9390014648438"/>
    <x v="1785"/>
    <n v="0"/>
    <s v="Reliance Industries"/>
    <s v="Energy &amp; Conglomerate"/>
  </r>
  <r>
    <x v="404"/>
    <n v="1442.231689453125"/>
    <n v="1466.2207486838624"/>
    <n v="1438.8473131178023"/>
    <n v="1463.2345557130195"/>
    <n v="11135399"/>
    <x v="3"/>
    <n v="-1.3481302150754271"/>
    <n v="94.022185385403233"/>
    <n v="1484.9999658203126"/>
    <x v="1786"/>
    <n v="0"/>
    <s v="Reliance Industries"/>
    <s v="Energy &amp; Conglomerate"/>
  </r>
  <r>
    <x v="405"/>
    <n v="1413.0665283203125"/>
    <n v="1444.0233720001163"/>
    <n v="1409.7817888672505"/>
    <n v="1438.8473526451965"/>
    <n v="10755693"/>
    <x v="3"/>
    <n v="-2.022224400288386"/>
    <n v="92.120845810855229"/>
    <n v="1482.6269360351562"/>
    <x v="1787"/>
    <n v="0"/>
    <s v="Reliance Industries"/>
    <s v="Energy &amp; Conglomerate"/>
  </r>
  <r>
    <x v="516"/>
    <n v="1430.4859619140625"/>
    <n v="1432.9744560797708"/>
    <n v="1402.8139796964888"/>
    <n v="1413.5642015872461"/>
    <n v="5896514"/>
    <x v="3"/>
    <n v="1.2327398069824858"/>
    <n v="93.256456147694593"/>
    <n v="1480.6660009765626"/>
    <x v="1788"/>
    <n v="0"/>
    <s v="Reliance Industries"/>
    <s v="Energy &amp; Conglomerate"/>
  </r>
  <r>
    <x v="406"/>
    <n v="1416.450927734375"/>
    <n v="1425.2104761017015"/>
    <n v="1412.0711535507121"/>
    <n v="1424.5136248062845"/>
    <n v="10731630"/>
    <x v="3"/>
    <n v="-0.98113749826023167"/>
    <n v="92.341482086880958"/>
    <n v="1478.3248266601563"/>
    <x v="1789"/>
    <n v="0"/>
    <s v="Reliance Industries"/>
    <s v="Energy &amp; Conglomerate"/>
  </r>
  <r>
    <x v="407"/>
    <n v="1434.666748046875"/>
    <n v="1435.4629932986809"/>
    <n v="1412.6683617554224"/>
    <n v="1420.4325123887006"/>
    <n v="5521096"/>
    <x v="3"/>
    <n v="1.2860184532927255"/>
    <n v="93.529010586562237"/>
    <n v="1476.3001879882813"/>
    <x v="1790"/>
    <n v="0"/>
    <s v="Reliance Industries"/>
    <s v="Energy &amp; Conglomerate"/>
  </r>
  <r>
    <x v="408"/>
    <n v="1403.0130615234375"/>
    <n v="1436.3588845536149"/>
    <n v="1393.5567833507007"/>
    <n v="1436.3588845536149"/>
    <n v="11884664"/>
    <x v="3"/>
    <n v="-2.2063441957186347"/>
    <n v="91.465438690172547"/>
    <n v="1473.9132250976563"/>
    <x v="1791"/>
    <n v="0"/>
    <s v="Reliance Industries"/>
    <s v="Energy &amp; Conglomerate"/>
  </r>
  <r>
    <x v="409"/>
    <n v="1412.8675537109375"/>
    <n v="1420.8307355027323"/>
    <n v="1399.6287153786741"/>
    <n v="1403.0130919418889"/>
    <n v="8177670"/>
    <x v="3"/>
    <n v="0.70238064475320883"/>
    <n v="92.107874228170942"/>
    <n v="1471.5740405273436"/>
    <x v="1792"/>
    <n v="0"/>
    <s v="Reliance Industries"/>
    <s v="Energy &amp; Conglomerate"/>
  </r>
  <r>
    <x v="410"/>
    <n v="1421.4278564453125"/>
    <n v="1428.2961245911818"/>
    <n v="1411.772547760535"/>
    <n v="1418.4416634695872"/>
    <n v="7758856"/>
    <x v="3"/>
    <n v="0.60588147217983668"/>
    <n v="92.665938772538126"/>
    <n v="1469.2448095703126"/>
    <x v="1793"/>
    <n v="0"/>
    <s v="Reliance Industries"/>
    <s v="Energy &amp; Conglomerate"/>
  </r>
  <r>
    <x v="411"/>
    <n v="1421.4278564453125"/>
    <n v="1426.7035326906043"/>
    <n v="1408.4877066792656"/>
    <n v="1418.7403513100855"/>
    <n v="12529409"/>
    <x v="3"/>
    <n v="0"/>
    <n v="92.665938772538126"/>
    <n v="1466.6866357421875"/>
    <x v="1794"/>
    <n v="0"/>
    <s v="Reliance Industries"/>
    <s v="Energy &amp; Conglomerate"/>
  </r>
  <r>
    <x v="412"/>
    <n v="1392.063720703125"/>
    <n v="1433.8704252219177"/>
    <n v="1387.0867320699354"/>
    <n v="1428.3957377254089"/>
    <n v="10728792"/>
    <x v="3"/>
    <n v="-2.0658196340418544"/>
    <n v="90.751627615305836"/>
    <n v="1463.5471533203124"/>
    <x v="1795"/>
    <n v="0"/>
    <s v="Reliance Industries"/>
    <s v="Energy &amp; Conglomerate"/>
  </r>
  <r>
    <x v="413"/>
    <n v="1400.3255615234375"/>
    <n v="1406.397463315574"/>
    <n v="1385.4941111892442"/>
    <n v="1392.0637118415314"/>
    <n v="16683858"/>
    <x v="3"/>
    <n v="0.59349587935093595"/>
    <n v="91.290234785646589"/>
    <n v="1460.8496264648438"/>
    <x v="1796"/>
    <n v="0"/>
    <s v="Reliance Industries"/>
    <s v="Energy &amp; Conglomerate"/>
  </r>
  <r>
    <x v="414"/>
    <n v="1387.48486328125"/>
    <n v="1403.9089251530934"/>
    <n v="1381.711508080472"/>
    <n v="1391.5659695052796"/>
    <n v="12031440"/>
    <x v="3"/>
    <n v="-0.91697949355561414"/>
    <n v="90.45312205304343"/>
    <n v="1457.8534790039062"/>
    <x v="1797"/>
    <n v="0"/>
    <s v="Reliance Industries"/>
    <s v="Energy &amp; Conglomerate"/>
  </r>
  <r>
    <x v="415"/>
    <n v="1351.75"/>
    <n v="1372.2551671563265"/>
    <n v="1335.3259388807069"/>
    <n v="1369.1694587628867"/>
    <n v="23728722"/>
    <x v="3"/>
    <n v="-2.5755137390645833"/>
    <n v="88.123489467154442"/>
    <n v="1454.1426342773439"/>
    <x v="1798"/>
    <n v="0"/>
    <s v="Reliance Industries"/>
    <s v="Energy &amp; Conglomerate"/>
  </r>
  <r>
    <x v="417"/>
    <n v="1338.8099365234375"/>
    <n v="1346.5740873609554"/>
    <n v="1300.9848230751916"/>
    <n v="1323.8789706886037"/>
    <n v="32495007"/>
    <x v="3"/>
    <n v="-0.95728229898742745"/>
    <n v="87.279898901235313"/>
    <n v="1449.7608959960937"/>
    <x v="1799"/>
    <n v="1"/>
    <s v="Reliance Industries"/>
    <s v="Energy &amp; Conglomerate"/>
  </r>
  <r>
    <x v="418"/>
    <n v="1383.005615234375"/>
    <n v="1392.5614090361375"/>
    <n v="1346.8726294272451"/>
    <n v="1346.8726294272451"/>
    <n v="25957532"/>
    <x v="3"/>
    <n v="3.301116723536035"/>
    <n v="90.161110240149355"/>
    <n v="1446.0580175781249"/>
    <x v="1800"/>
    <n v="0"/>
    <s v="Reliance Industries"/>
    <s v="Energy &amp; Conglomerate"/>
  </r>
  <r>
    <x v="419"/>
    <n v="1398.334716796875"/>
    <n v="1417.7449716586152"/>
    <n v="1383.9014503612218"/>
    <n v="1390.0728674061677"/>
    <n v="19311971"/>
    <x v="3"/>
    <n v="1.1083904066363504"/>
    <n v="91.160447336568012"/>
    <n v="1442.7552905273437"/>
    <x v="1801"/>
    <n v="0"/>
    <s v="Reliance Industries"/>
    <s v="Energy &amp; Conglomerate"/>
  </r>
  <r>
    <x v="420"/>
    <n v="1417.4462890625"/>
    <n v="1422.8214608086796"/>
    <n v="1363.6948146177142"/>
    <n v="1368.6718029922313"/>
    <n v="24870822"/>
    <x v="3"/>
    <n v="1.3667380231682458"/>
    <n v="92.406371832407146"/>
    <n v="1440.0836425781249"/>
    <x v="1802"/>
    <n v="0"/>
    <s v="Reliance Industries"/>
    <s v="Energy &amp; Conglomerate"/>
  </r>
  <r>
    <x v="421"/>
    <n v="1402.3162841796875"/>
    <n v="1424.9117626543534"/>
    <n v="1394.1539503917586"/>
    <n v="1424.015880450879"/>
    <n v="18071259"/>
    <x v="3"/>
    <n v="-1.0674129241834973"/>
    <n v="91.420014276698979"/>
    <n v="1437.0894873046875"/>
    <x v="1803"/>
    <n v="0"/>
    <s v="Reliance Industries"/>
    <s v="Energy &amp; Conglomerate"/>
  </r>
  <r>
    <x v="422"/>
    <n v="1383.8017578125"/>
    <n v="1427.4002232775151"/>
    <n v="1377.2321576556008"/>
    <n v="1418.34212900751"/>
    <n v="21848087"/>
    <x v="3"/>
    <n v="-1.320281777802923"/>
    <n v="90.213012486938894"/>
    <n v="1433.9957885742188"/>
    <x v="1804"/>
    <n v="0"/>
    <s v="Reliance Industries"/>
    <s v="Energy &amp; Conglomerate"/>
  </r>
  <r>
    <x v="423"/>
    <n v="1385.7926025390625"/>
    <n v="1404.4066120742225"/>
    <n v="1374.7437125844203"/>
    <n v="1383.6027762448114"/>
    <n v="20939959"/>
    <x v="3"/>
    <n v="0.14386776973818183"/>
    <n v="90.342799936017471"/>
    <n v="1431.057373046875"/>
    <x v="1805"/>
    <n v="0"/>
    <s v="Reliance Industries"/>
    <s v="Energy &amp; Conglomerate"/>
  </r>
  <r>
    <x v="424"/>
    <n v="1374.3455810546875"/>
    <n v="1394.3531723993444"/>
    <n v="1372.0562392077015"/>
    <n v="1378.8248707870416"/>
    <n v="17265090"/>
    <x v="3"/>
    <n v="-0.8260270305528894"/>
    <n v="89.596543988387651"/>
    <n v="1427.2808325195313"/>
    <x v="1806"/>
    <n v="0"/>
    <s v="Reliance Industries"/>
    <s v="Energy &amp; Conglomerate"/>
  </r>
  <r>
    <x v="425"/>
    <n v="1388.6793212890625"/>
    <n v="1390.8692691567512"/>
    <n v="1357.2247779463889"/>
    <n v="1373.6488401657623"/>
    <n v="22837802"/>
    <x v="3"/>
    <n v="1.0429502180503425"/>
    <n v="90.530991339280092"/>
    <n v="1423.6874487304688"/>
    <x v="1807"/>
    <n v="0"/>
    <s v="Reliance Industries"/>
    <s v="Energy &amp; Conglomerate"/>
  </r>
  <r>
    <x v="426"/>
    <n v="1391.167724609375"/>
    <n v="1399.4295736678141"/>
    <n v="1381.8109624429319"/>
    <n v="1392.5613056143347"/>
    <n v="19007744"/>
    <x v="3"/>
    <n v="0.17919207711702967"/>
    <n v="90.693215703095603"/>
    <n v="1419.8113671875001"/>
    <x v="1808"/>
    <n v="0"/>
    <s v="Reliance Industries"/>
    <s v="Energy &amp; Conglomerate"/>
  </r>
  <r>
    <x v="427"/>
    <n v="1401.6195068359375"/>
    <n v="1406.3974645008152"/>
    <n v="1390.7696473738065"/>
    <n v="1390.7696473738065"/>
    <n v="9559327"/>
    <x v="3"/>
    <n v="0.75129562321447629"/>
    <n v="91.37458986322541"/>
    <n v="1416.4270166015624"/>
    <x v="1809"/>
    <n v="0"/>
    <s v="Reliance Industries"/>
    <s v="Energy &amp; Conglomerate"/>
  </r>
  <r>
    <x v="428"/>
    <n v="1378.4267578125"/>
    <n v="1409.1844489610974"/>
    <n v="1369.7667250791762"/>
    <n v="1381.6119817895922"/>
    <n v="16498373"/>
    <x v="3"/>
    <n v="-1.6547107763784985"/>
    <n v="89.862604677886949"/>
    <n v="1413.9823217773437"/>
    <x v="1810"/>
    <n v="0"/>
    <s v="Reliance Industries"/>
    <s v="Energy &amp; Conglomerate"/>
  </r>
  <r>
    <x v="429"/>
    <n v="1407.8905029296875"/>
    <n v="1423.4186824363833"/>
    <n v="1389.6746767818197"/>
    <n v="1391.5659566755692"/>
    <n v="22994918"/>
    <x v="3"/>
    <n v="2.1374907988542802"/>
    <n v="91.783409584487572"/>
    <n v="1412.19458984375"/>
    <x v="1811"/>
    <n v="0"/>
    <s v="Reliance Industries"/>
    <s v="Energy &amp; Conglomerate"/>
  </r>
  <r>
    <x v="430"/>
    <n v="1401.3209228515625"/>
    <n v="1409.0849519631761"/>
    <n v="1384.598192981382"/>
    <n v="1393.5567722314413"/>
    <n v="18979554"/>
    <x v="3"/>
    <n v="-0.46662578264817789"/>
    <n v="91.355124531172777"/>
    <n v="1410.9443725585938"/>
    <x v="1812"/>
    <n v="0"/>
    <s v="Reliance Industries"/>
    <s v="Energy &amp; Conglomerate"/>
  </r>
  <r>
    <x v="431"/>
    <n v="1405.302490234375"/>
    <n v="1415.8536813182018"/>
    <n v="1400.1263494042955"/>
    <n v="1413.4647025895886"/>
    <n v="18620893"/>
    <x v="3"/>
    <n v="0.28412958929566745"/>
    <n v="91.614691471303757"/>
    <n v="1409.6802172851562"/>
    <x v="1813"/>
    <n v="0"/>
    <s v="Reliance Industries"/>
    <s v="Energy &amp; Conglomerate"/>
  </r>
  <r>
    <x v="432"/>
    <n v="1406.596435546875"/>
    <n v="1423.9163794589117"/>
    <n v="1401.9181150601291"/>
    <n v="1413.4647038319849"/>
    <n v="19041331"/>
    <x v="3"/>
    <n v="9.2075928242629779E-2"/>
    <n v="91.699046548882578"/>
    <n v="1408.2846704101562"/>
    <x v="1814"/>
    <n v="0"/>
    <s v="Reliance Industries"/>
    <s v="Energy &amp; Conglomerate"/>
  </r>
  <r>
    <x v="434"/>
    <n v="1341.8956298828125"/>
    <n v="1398.235116023098"/>
    <n v="1338.809921280448"/>
    <n v="1394.5521930958421"/>
    <n v="23266517"/>
    <x v="3"/>
    <n v="-4.5998129974577413"/>
    <n v="87.48106188718225"/>
    <n v="1406.2003076171875"/>
    <x v="1815"/>
    <n v="0"/>
    <s v="Reliance Industries"/>
    <s v="Energy &amp; Conglomerate"/>
  </r>
  <r>
    <x v="435"/>
    <n v="1337.7149658203125"/>
    <n v="1358.7178325566667"/>
    <n v="1327.9600199575291"/>
    <n v="1328.8559021708061"/>
    <n v="24393861"/>
    <x v="3"/>
    <n v="-0.31154912270375812"/>
    <n v="87.208515406340794"/>
    <n v="1403.9128833007812"/>
    <x v="1816"/>
    <n v="0"/>
    <s v="Reliance Industries"/>
    <s v="Energy &amp; Conglomerate"/>
  </r>
  <r>
    <x v="437"/>
    <n v="1362.8984375"/>
    <n v="1378.0285549484649"/>
    <n v="1356.6275051009461"/>
    <n v="1377.8294025098971"/>
    <n v="14404619"/>
    <x v="3"/>
    <n v="1.8825738160329619"/>
    <n v="88.850280082731643"/>
    <n v="1402.1291284179688"/>
    <x v="1817"/>
    <n v="0"/>
    <s v="Reliance Industries"/>
    <s v="Energy &amp; Conglomerate"/>
  </r>
  <r>
    <x v="438"/>
    <n v="1344.2845458984375"/>
    <n v="1351.9490593116357"/>
    <n v="1321.8880984473344"/>
    <n v="1350.7546307176451"/>
    <n v="21280051"/>
    <x v="3"/>
    <n v="-1.3657577915861752"/>
    <n v="87.636800459655589"/>
    <n v="1399.9910131835939"/>
    <x v="1818"/>
    <n v="0"/>
    <s v="Reliance Industries"/>
    <s v="Energy &amp; Conglomerate"/>
  </r>
  <r>
    <x v="439"/>
    <n v="1298.6953125"/>
    <n v="1352.7454554606609"/>
    <n v="1284.0630151171836"/>
    <n v="1352.7454554606609"/>
    <n v="29274881"/>
    <x v="3"/>
    <n v="-3.3913380569266627"/>
    <n v="84.664740293794409"/>
    <n v="1397.823037109375"/>
    <x v="1819"/>
    <n v="0"/>
    <s v="Reliance Industries"/>
    <s v="Energy &amp; Conglomerate"/>
  </r>
  <r>
    <x v="440"/>
    <n v="1298.5958251953125"/>
    <n v="1302.2788696189978"/>
    <n v="1285.0584406719649"/>
    <n v="1289.0400315028619"/>
    <n v="28388922"/>
    <x v="3"/>
    <n v="-7.6605577713162454E-3"/>
    <n v="84.658254502452266"/>
    <n v="1396.0432666015624"/>
    <x v="1820"/>
    <n v="0"/>
    <s v="Reliance Industries"/>
    <s v="Energy &amp; Conglomerate"/>
  </r>
  <r>
    <x v="441"/>
    <n v="1341.5970458984375"/>
    <n v="1344.3840865060406"/>
    <n v="1320.0963587364663"/>
    <n v="1342.7914745147666"/>
    <n v="21817543"/>
    <x v="3"/>
    <n v="3.3113629251547483"/>
    <n v="87.461596555129631"/>
    <n v="1394.9124951171875"/>
    <x v="1821"/>
    <n v="0"/>
    <s v="Reliance Industries"/>
    <s v="Energy &amp; Conglomerate"/>
  </r>
  <r>
    <x v="442"/>
    <n v="1323.87890625"/>
    <n v="1343.7868597274437"/>
    <n v="1320.195983460075"/>
    <n v="1339.8052690319548"/>
    <n v="20725390"/>
    <x v="3"/>
    <n v="-1.3206752133664734"/>
    <n v="86.306512928211447"/>
    <n v="1393.4691674804687"/>
    <x v="1822"/>
    <n v="0"/>
    <s v="Reliance Industries"/>
    <s v="Energy &amp; Conglomerate"/>
  </r>
  <r>
    <x v="443"/>
    <n v="1343.9859619140625"/>
    <n v="1346.0763943468285"/>
    <n v="1325.3720730291864"/>
    <n v="1330.8467605257397"/>
    <n v="19364461"/>
    <x v="3"/>
    <n v="1.5187987035020889"/>
    <n v="87.617335127602971"/>
    <n v="1392.7544726562501"/>
    <x v="1823"/>
    <n v="0"/>
    <s v="Reliance Industries"/>
    <s v="Energy &amp; Conglomerate"/>
  </r>
  <r>
    <x v="444"/>
    <n v="1309.0474853515625"/>
    <n v="1321.4899565481755"/>
    <n v="1303.9709814050459"/>
    <n v="1315.1193869938079"/>
    <n v="28753269"/>
    <x v="3"/>
    <n v="-2.5996161829504372"/>
    <n v="85.339620704555884"/>
    <n v="1391.4524926757813"/>
    <x v="1824"/>
    <n v="0"/>
    <s v="Reliance Industries"/>
    <s v="Energy &amp; Conglomerate"/>
  </r>
  <r>
    <x v="446"/>
    <n v="1337.9140625"/>
    <n v="1340.8007402141902"/>
    <n v="1328.0596006867011"/>
    <n v="1330.8467629297493"/>
    <n v="15313779"/>
    <x v="3"/>
    <n v="2.2051589015263939"/>
    <n v="87.221494947051269"/>
    <n v="1390.4053369140624"/>
    <x v="1825"/>
    <n v="0"/>
    <s v="Reliance Industries"/>
    <s v="Energy &amp; Conglomerate"/>
  </r>
  <r>
    <x v="447"/>
    <n v="1337.1177978515625"/>
    <n v="1347.5694738488123"/>
    <n v="1323.8789596516422"/>
    <n v="1345.7777093601655"/>
    <n v="30211012"/>
    <x v="3"/>
    <n v="-5.9515380752450664E-2"/>
    <n v="87.169584742235557"/>
    <n v="1389.4557299804687"/>
    <x v="1826"/>
    <n v="0"/>
    <s v="Reliance Industries"/>
    <s v="Energy &amp; Conglomerate"/>
  </r>
  <r>
    <x v="448"/>
    <n v="1358.7178955078125"/>
    <n v="1362.1022720767137"/>
    <n v="1333.8329523666439"/>
    <n v="1333.8329523666439"/>
    <n v="13869105"/>
    <x v="3"/>
    <n v="1.6154221932395352"/>
    <n v="88.577741559916376"/>
    <n v="1388.8505297851561"/>
    <x v="1827"/>
    <n v="0"/>
    <s v="Reliance Industries"/>
    <s v="Energy &amp; Conglomerate"/>
  </r>
  <r>
    <x v="449"/>
    <n v="1357.0257568359375"/>
    <n v="1366.6810660920328"/>
    <n v="1346.5740808024586"/>
    <n v="1356.9261198573818"/>
    <n v="13614733"/>
    <x v="3"/>
    <n v="-0.12453936740434157"/>
    <n v="88.467427400916606"/>
    <n v="1388.311025390625"/>
    <x v="1828"/>
    <n v="0"/>
    <s v="Reliance Industries"/>
    <s v="Energy &amp; Conglomerate"/>
  </r>
  <r>
    <x v="450"/>
    <n v="1347.07177734375"/>
    <n v="1363.4958396538184"/>
    <n v="1343.8864317482064"/>
    <n v="1352.7454957201878"/>
    <n v="27293629"/>
    <x v="3"/>
    <n v="-0.73351441135475204"/>
    <n v="87.818506071576081"/>
    <n v="1386.6427416992187"/>
    <x v="1829"/>
    <n v="0"/>
    <s v="Reliance Industries"/>
    <s v="Energy &amp; Conglomerate"/>
  </r>
  <r>
    <x v="451"/>
    <n v="1355.8311767578125"/>
    <n v="1359.7132520720183"/>
    <n v="1342.8910067161314"/>
    <n v="1344.0855568558529"/>
    <n v="9525953"/>
    <x v="3"/>
    <n v="0.65025483878333734"/>
    <n v="88.38955015665374"/>
    <n v="1384.7574560546875"/>
    <x v="1830"/>
    <n v="0"/>
    <s v="Reliance Industries"/>
    <s v="Energy &amp; Conglomerate"/>
  </r>
  <r>
    <x v="452"/>
    <n v="1337.21728515625"/>
    <n v="1349.2615729405541"/>
    <n v="1334.529638479888"/>
    <n v="1339.8052948565"/>
    <n v="16385079"/>
    <x v="3"/>
    <n v="-1.3728767947403075"/>
    <n v="87.1760705335777"/>
    <n v="1382.7666601562501"/>
    <x v="1831"/>
    <n v="0"/>
    <s v="Reliance Industries"/>
    <s v="Energy &amp; Conglomerate"/>
  </r>
  <r>
    <x v="453"/>
    <n v="1321.6890869140625"/>
    <n v="1339.7057606040942"/>
    <n v="1318.9019248091768"/>
    <n v="1333.8328899956955"/>
    <n v="11744802"/>
    <x v="3"/>
    <n v="-1.1612322406057696"/>
    <n v="86.163753896448569"/>
    <n v="1380.3179809570313"/>
    <x v="1832"/>
    <n v="0"/>
    <s v="Reliance Industries"/>
    <s v="Energy &amp; Conglomerate"/>
  </r>
  <r>
    <x v="454"/>
    <n v="1359.51416015625"/>
    <n v="1365.2873936261717"/>
    <n v="1304.9663202853897"/>
    <n v="1306.9571155871215"/>
    <n v="24673098"/>
    <x v="3"/>
    <n v="2.861873765675349"/>
    <n v="88.629651764732102"/>
    <n v="1378.4107983398437"/>
    <x v="1833"/>
    <n v="0"/>
    <s v="Reliance Industries"/>
    <s v="Energy &amp; Conglomerate"/>
  </r>
  <r>
    <x v="455"/>
    <n v="1382.5078125"/>
    <n v="1388.7787447541257"/>
    <n v="1350.7546033444401"/>
    <n v="1351.7500009887617"/>
    <n v="41027699"/>
    <x v="3"/>
    <n v="1.6913139279922884"/>
    <n v="90.128657409360073"/>
    <n v="1377.0252050781251"/>
    <x v="1834"/>
    <n v="0"/>
    <s v="Reliance Industries"/>
    <s v="Energy &amp; Conglomerate"/>
  </r>
  <r>
    <x v="456"/>
    <n v="1418.83984375"/>
    <n v="1427.2012083655534"/>
    <n v="1384.896807968084"/>
    <n v="1385.5935377241706"/>
    <n v="30542143"/>
    <x v="3"/>
    <n v="2.6279801764230504"/>
    <n v="92.497220659354312"/>
    <n v="1376.1631909179687"/>
    <x v="1835"/>
    <n v="0"/>
    <s v="Reliance Industries"/>
    <s v="Energy &amp; Conglomerate"/>
  </r>
  <r>
    <x v="457"/>
    <n v="1424.215087890625"/>
    <n v="1430.3865050711049"/>
    <n v="1386.6885214286783"/>
    <n v="1402.5153692729209"/>
    <n v="30957881"/>
    <x v="3"/>
    <n v="0.37884784278527928"/>
    <n v="92.847644384458619"/>
    <n v="1375.8028588867187"/>
    <x v="1836"/>
    <n v="0"/>
    <s v="Reliance Industries"/>
    <s v="Energy &amp; Conglomerate"/>
  </r>
  <r>
    <x v="458"/>
    <n v="1424.215087890625"/>
    <n v="1424.215087890625"/>
    <n v="1424.215087890625"/>
    <n v="1424.215087890625"/>
    <n v="0"/>
    <x v="3"/>
    <n v="0"/>
    <n v="92.847644384458619"/>
    <n v="1376.025830078125"/>
    <x v="1837"/>
    <n v="0"/>
    <s v="Reliance Industries"/>
    <s v="Energy &amp; Conglomerate"/>
  </r>
  <r>
    <x v="459"/>
    <n v="1456.3663330078125"/>
    <n v="1460.6465916696056"/>
    <n v="1426.8030702776821"/>
    <n v="1426.8030702776821"/>
    <n v="24035700"/>
    <x v="3"/>
    <n v="2.2574711776720546"/>
    <n v="94.943653195585213"/>
    <n v="1376.5434375"/>
    <x v="1838"/>
    <n v="0"/>
    <s v="Reliance Industries"/>
    <s v="Energy &amp; Conglomerate"/>
  </r>
  <r>
    <x v="460"/>
    <n v="1456.864013671875"/>
    <n v="1466.6189594959255"/>
    <n v="1443.3266295857377"/>
    <n v="1453.280606341501"/>
    <n v="23543341"/>
    <x v="3"/>
    <n v="3.4172766342011052E-2"/>
    <n v="94.976098068348307"/>
    <n v="1377.3516992187499"/>
    <x v="1839"/>
    <n v="0"/>
    <s v="Reliance Industries"/>
    <s v="Energy &amp; Conglomerate"/>
  </r>
  <r>
    <x v="461"/>
    <n v="1431.2823486328125"/>
    <n v="1466.519450812893"/>
    <n v="1420.9301884572374"/>
    <n v="1456.2668061036345"/>
    <n v="14221786"/>
    <x v="3"/>
    <n v="-1.7559404857963812"/>
    <n v="93.308374310536507"/>
    <n v="1377.2840112304686"/>
    <x v="1840"/>
    <n v="0"/>
    <s v="Reliance Industries"/>
    <s v="Energy &amp; Conglomerate"/>
  </r>
  <r>
    <x v="462"/>
    <n v="1429.590087890625"/>
    <n v="1442.8289255313271"/>
    <n v="1423.7173388327619"/>
    <n v="1432.1782190445704"/>
    <n v="19816903"/>
    <x v="3"/>
    <n v="-0.11823388612344221"/>
    <n v="93.198052193510549"/>
    <n v="1377.8155517578125"/>
    <x v="1841"/>
    <n v="0"/>
    <s v="Reliance Industries"/>
    <s v="Energy &amp; Conglomerate"/>
  </r>
  <r>
    <x v="463"/>
    <n v="1428.5947265625"/>
    <n v="1436.1598462687914"/>
    <n v="1410.9762359236815"/>
    <n v="1419.4371163507371"/>
    <n v="8663105"/>
    <x v="3"/>
    <n v="-6.9625645599824537E-2"/>
    <n v="93.133162447984347"/>
    <n v="1378.1300952148438"/>
    <x v="1842"/>
    <n v="0"/>
    <s v="Reliance Industries"/>
    <s v="Energy &amp; Conglomerate"/>
  </r>
  <r>
    <x v="464"/>
    <n v="1381.81103515625"/>
    <n v="1421.427912122738"/>
    <n v="1375.6396180347506"/>
    <n v="1413.4647305422184"/>
    <n v="15261787"/>
    <x v="3"/>
    <n v="-3.2748049909732901"/>
    <n v="90.083232995886505"/>
    <n v="1377.3377587890625"/>
    <x v="1843"/>
    <n v="0"/>
    <s v="Reliance Industries"/>
    <s v="Energy &amp; Conglomerate"/>
  </r>
  <r>
    <x v="465"/>
    <n v="1357.722412109375"/>
    <n v="1387.0866431630602"/>
    <n v="1354.0394893602804"/>
    <n v="1385.5935466688049"/>
    <n v="24357500"/>
    <x v="3"/>
    <n v="-1.7432646312707356"/>
    <n v="88.512843856364"/>
    <n v="1376.0636499023437"/>
    <x v="1844"/>
    <n v="0"/>
    <s v="Reliance Industries"/>
    <s v="Energy &amp; Conglomerate"/>
  </r>
  <r>
    <x v="466"/>
    <n v="1352.54638671875"/>
    <n v="1366.0837705701026"/>
    <n v="1346.1758174038478"/>
    <n v="1355.1343963286624"/>
    <n v="13797989"/>
    <x v="3"/>
    <n v="-0.381228544543466"/>
    <n v="88.175407629996343"/>
    <n v="1375.2733032226563"/>
    <x v="1845"/>
    <n v="0"/>
    <s v="Reliance Industries"/>
    <s v="Energy &amp; Conglomerate"/>
  </r>
  <r>
    <x v="467"/>
    <n v="1355.5325927734375"/>
    <n v="1371.6579863902991"/>
    <n v="1352.1482164008171"/>
    <n v="1358.9168476375537"/>
    <n v="17303059"/>
    <x v="3"/>
    <n v="0.22078400297471656"/>
    <n v="88.370084824601122"/>
    <n v="1374.3774438476562"/>
    <x v="1846"/>
    <n v="0"/>
    <s v="Reliance Industries"/>
    <s v="Energy &amp; Conglomerate"/>
  </r>
  <r>
    <x v="468"/>
    <n v="1330.24951171875"/>
    <n v="1358.5188307246151"/>
    <n v="1323.082575367519"/>
    <n v="1350.5556491178086"/>
    <n v="19976192"/>
    <x v="3"/>
    <n v="-1.8651769193507861"/>
    <n v="86.721826398841955"/>
    <n v="1373.2327368164063"/>
    <x v="1847"/>
    <n v="0"/>
    <s v="Reliance Industries"/>
    <s v="Energy &amp; Conglomerate"/>
  </r>
  <r>
    <x v="469"/>
    <n v="1329.7518310546875"/>
    <n v="1335.8237328112184"/>
    <n v="1312.6309174607941"/>
    <n v="1327.8605510955031"/>
    <n v="13022473"/>
    <x v="3"/>
    <n v="-3.7412580097062609E-2"/>
    <n v="86.689381526078847"/>
    <n v="1372.7927734375"/>
    <x v="1848"/>
    <n v="0"/>
    <s v="Reliance Industries"/>
    <s v="Energy &amp; Conglomerate"/>
  </r>
  <r>
    <x v="470"/>
    <n v="1316.6124267578125"/>
    <n v="1337.8144453658963"/>
    <n v="1312.3322897558653"/>
    <n v="1332.5387892026445"/>
    <n v="21665501"/>
    <x v="3"/>
    <n v="-0.98810950961079058"/>
    <n v="85.832795503396881"/>
    <n v="1372.3488232421876"/>
    <x v="1849"/>
    <n v="0"/>
    <s v="Reliance Industries"/>
    <s v="Energy &amp; Conglomerate"/>
  </r>
  <r>
    <x v="471"/>
    <n v="1353.442138671875"/>
    <n v="1356.6274840630256"/>
    <n v="1306.5589335695411"/>
    <n v="1312.6308349443716"/>
    <n v="13248515"/>
    <x v="3"/>
    <n v="2.7973085446836077"/>
    <n v="88.233803626154213"/>
    <n v="1371.7575537109376"/>
    <x v="1850"/>
    <n v="0"/>
    <s v="Reliance Industries"/>
    <s v="Energy &amp; Conglomerate"/>
  </r>
  <r>
    <x v="472"/>
    <n v="1343.388671875"/>
    <n v="1364.5906908611551"/>
    <n v="1339.0088978228712"/>
    <n v="1360.9076465750106"/>
    <n v="17150630"/>
    <x v="3"/>
    <n v="-0.74280728445033084"/>
    <n v="87.578396505471545"/>
    <n v="1370.6586328124999"/>
    <x v="1851"/>
    <n v="0"/>
    <s v="Reliance Industries"/>
    <s v="Energy &amp; Conglomerate"/>
  </r>
  <r>
    <x v="473"/>
    <n v="1348.26611328125"/>
    <n v="1361.1067672332481"/>
    <n v="1342.8909416840763"/>
    <n v="1343.7868238683554"/>
    <n v="7105813"/>
    <x v="3"/>
    <n v="0.36307001155833074"/>
    <n v="87.89636739978657"/>
    <n v="1369.2750292968749"/>
    <x v="1852"/>
    <n v="0"/>
    <s v="Reliance Industries"/>
    <s v="Energy &amp; Conglomerate"/>
  </r>
  <r>
    <x v="517"/>
    <n v="1360.7086181640625"/>
    <n v="1364.7897243191817"/>
    <n v="1350.7546414401118"/>
    <n v="1360.5095872329855"/>
    <n v="6750071"/>
    <x v="3"/>
    <n v="0.92285230343225333"/>
    <n v="88.707521050968779"/>
    <n v="1368.4428759765624"/>
    <x v="1853"/>
    <n v="0"/>
    <s v="Reliance Industries"/>
    <s v="Energy &amp; Conglomerate"/>
  </r>
  <r>
    <x v="474"/>
    <n v="1350.0579833984375"/>
    <n v="1362.2017870434288"/>
    <n v="1346.1759079681497"/>
    <n v="1353.8404218493883"/>
    <n v="13769747"/>
    <x v="3"/>
    <n v="-0.78272707495564697"/>
    <n v="88.01318326618086"/>
    <n v="1367.7680004882814"/>
    <x v="1854"/>
    <n v="0"/>
    <s v="Reliance Industries"/>
    <s v="Energy &amp; Conglomerate"/>
  </r>
  <r>
    <x v="475"/>
    <n v="1344.2845458984375"/>
    <n v="1354.7362213756189"/>
    <n v="1342.3932660341991"/>
    <n v="1346.7730400596713"/>
    <n v="13215138"/>
    <x v="3"/>
    <n v="-0.42764366945683419"/>
    <n v="87.636800459655589"/>
    <n v="1366.9378393554687"/>
    <x v="1855"/>
    <n v="0"/>
    <s v="Reliance Industries"/>
    <s v="Energy &amp; Conglomerate"/>
  </r>
  <r>
    <x v="476"/>
    <n v="1344.2845458984375"/>
    <n v="1344.2845458984375"/>
    <n v="1344.2845458984375"/>
    <n v="1344.2845458984375"/>
    <n v="0"/>
    <x v="3"/>
    <n v="0"/>
    <n v="87.636800459655589"/>
    <n v="1366.3366186523438"/>
    <x v="1856"/>
    <n v="0"/>
    <s v="Reliance Industries"/>
    <s v="Energy &amp; Conglomerate"/>
  </r>
  <r>
    <x v="477"/>
    <n v="1315.119384765625"/>
    <n v="1362.6994431442622"/>
    <n v="1310.9387630540491"/>
    <n v="1357.7224546740497"/>
    <n v="42634247"/>
    <x v="3"/>
    <n v="-2.1695675384946322"/>
    <n v="85.735460885107585"/>
    <n v="1364.8654199218749"/>
    <x v="1857"/>
    <n v="1"/>
    <s v="Reliance Industries"/>
    <s v="Energy &amp; Conglomerate"/>
  </r>
  <r>
    <x v="478"/>
    <n v="1313.9249267578125"/>
    <n v="1329.353590670499"/>
    <n v="1312.4318302501331"/>
    <n v="1326.3673976551404"/>
    <n v="10700603"/>
    <x v="3"/>
    <n v="-9.0825062853538974E-2"/>
    <n v="85.657591598870923"/>
    <n v="1363.3205639648438"/>
    <x v="1858"/>
    <n v="0"/>
    <s v="Reliance Industries"/>
    <s v="Energy &amp; Conglomerate"/>
  </r>
  <r>
    <x v="479"/>
    <n v="1308.5498046875"/>
    <n v="1321.6891273588139"/>
    <n v="1294.3156903458798"/>
    <n v="1301.6815361898257"/>
    <n v="23302785"/>
    <x v="3"/>
    <n v="-0.40908897919882392"/>
    <n v="85.30717583179279"/>
    <n v="1361.4591699218749"/>
    <x v="1859"/>
    <n v="0"/>
    <s v="Reliance Industries"/>
    <s v="Energy &amp; Conglomerate"/>
  </r>
  <r>
    <x v="480"/>
    <n v="1307.15625"/>
    <n v="1317.906594083847"/>
    <n v="1295.0124463014238"/>
    <n v="1308.9480145168118"/>
    <n v="20012293"/>
    <x v="3"/>
    <n v="-0.1064961136754583"/>
    <n v="85.216327004845638"/>
    <n v="1360.0337597656251"/>
    <x v="1860"/>
    <n v="0"/>
    <s v="Reliance Industries"/>
    <s v="Energy &amp; Conglomerate"/>
  </r>
  <r>
    <x v="481"/>
    <n v="1297.699951171875"/>
    <n v="1305.1654340270677"/>
    <n v="1287.1487597049047"/>
    <n v="1295.0124259474096"/>
    <n v="23474327"/>
    <x v="3"/>
    <n v="-0.72342528508929638"/>
    <n v="84.599850548268222"/>
    <n v="1357.8299487304687"/>
    <x v="1861"/>
    <n v="0"/>
    <s v="Reliance Industries"/>
    <s v="Energy &amp; Conglomerate"/>
  </r>
  <r>
    <x v="482"/>
    <n v="1291"/>
    <n v="1306"/>
    <n v="1288"/>
    <n v="1304.5"/>
    <n v="17785223"/>
    <x v="3"/>
    <n v="-0.51629432256853347"/>
    <n v="84.16306632298604"/>
    <n v="1355.6235302734376"/>
    <x v="1862"/>
    <n v="0"/>
    <s v="Reliance Industries"/>
    <s v="Energy &amp; Conglomerate"/>
  </r>
  <r>
    <x v="483"/>
    <n v="1263.300048828125"/>
    <n v="1282.5999755859375"/>
    <n v="1259.199951171875"/>
    <n v="1277"/>
    <n v="16494759"/>
    <x v="3"/>
    <n v="-2.1456197654434517"/>
    <n v="82.357246936756766"/>
    <n v="1352.7834814453124"/>
    <x v="1863"/>
    <n v="0"/>
    <s v="Reliance Industries"/>
    <s v="Energy &amp; Conglomerate"/>
  </r>
  <r>
    <x v="484"/>
    <n v="1269.199951171875"/>
    <n v="1274.199951171875"/>
    <n v="1257.5"/>
    <n v="1269"/>
    <n v="23620214"/>
    <x v="3"/>
    <n v="0.46702304406802675"/>
    <n v="82.741874258411428"/>
    <n v="1350.0355517578125"/>
    <x v="1864"/>
    <n v="0"/>
    <s v="Reliance Industries"/>
    <s v="Energy &amp; Conglomerate"/>
  </r>
  <r>
    <x v="485"/>
    <n v="1258.800048828125"/>
    <n v="1300.5"/>
    <n v="1254.4000244140625"/>
    <n v="1275"/>
    <n v="21012796"/>
    <x v="3"/>
    <n v="-0.81940614117953503"/>
    <n v="82.06388225941096"/>
    <n v="1348.3736401367187"/>
    <x v="1865"/>
    <n v="0"/>
    <s v="Reliance Industries"/>
    <s v="Energy &amp; Conglomerate"/>
  </r>
  <r>
    <x v="486"/>
    <n v="1263"/>
    <n v="1276"/>
    <n v="1253.199951171875"/>
    <n v="1258"/>
    <n v="13117486"/>
    <x v="3"/>
    <n v="0.3336472043979466"/>
    <n v="82.337686108389903"/>
    <n v="1346.8793408203126"/>
    <x v="1866"/>
    <n v="0"/>
    <s v="Reliance Industries"/>
    <s v="Energy &amp; Conglomerate"/>
  </r>
  <r>
    <x v="487"/>
    <n v="1293"/>
    <n v="1297"/>
    <n v="1262.5"/>
    <n v="1277"/>
    <n v="11988785"/>
    <x v="3"/>
    <n v="2.3752969121140222"/>
    <n v="84.293450624028623"/>
    <n v="1345.4813720703125"/>
    <x v="1867"/>
    <n v="0"/>
    <s v="Reliance Industries"/>
    <s v="Energy &amp; Conglomerate"/>
  </r>
  <r>
    <x v="488"/>
    <n v="1307"/>
    <n v="1325"/>
    <n v="1303.300048828125"/>
    <n v="1315.300048828125"/>
    <n v="18633321"/>
    <x v="3"/>
    <n v="1.0827532869296164"/>
    <n v="85.206140731326684"/>
    <n v="1344.7356811523437"/>
    <x v="1868"/>
    <n v="0"/>
    <s v="Reliance Industries"/>
    <s v="Energy &amp; Conglomerate"/>
  </r>
  <r>
    <x v="489"/>
    <n v="1328.800048828125"/>
    <n v="1333.4000244140625"/>
    <n v="1306.4000244140625"/>
    <n v="1313.4000244140625"/>
    <n v="18513223"/>
    <x v="3"/>
    <n v="1.6679455874617499"/>
    <n v="86.627332795901296"/>
    <n v="1345.3377758789063"/>
    <x v="1869"/>
    <n v="0"/>
    <s v="Reliance Industries"/>
    <s v="Energy &amp; Conglomerate"/>
  </r>
  <r>
    <x v="490"/>
    <n v="1332.699951171875"/>
    <n v="1334"/>
    <n v="1317"/>
    <n v="1333"/>
    <n v="10029170"/>
    <x v="3"/>
    <n v="0.2934905328449755"/>
    <n v="86.881575816513376"/>
    <n v="1346.0198583984375"/>
    <x v="1870"/>
    <n v="0"/>
    <s v="Reliance Industries"/>
    <s v="Energy &amp; Conglomerate"/>
  </r>
  <r>
    <x v="491"/>
    <n v="1328.0999755859375"/>
    <n v="1333.9000244140625"/>
    <n v="1322"/>
    <n v="1330"/>
    <n v="15494549"/>
    <x v="3"/>
    <n v="-0.34516213359898629"/>
    <n v="86.581693515720687"/>
    <n v="1345.7499169921875"/>
    <x v="1871"/>
    <n v="0"/>
    <s v="Reliance Industries"/>
    <s v="Energy &amp; Conglomerate"/>
  </r>
  <r>
    <x v="518"/>
    <n v="1309.5"/>
    <n v="1338.199951171875"/>
    <n v="1305.300048828125"/>
    <n v="1328"/>
    <n v="24887034"/>
    <x v="3"/>
    <n v="-1.4004951380058195"/>
    <n v="85.369121107629923"/>
    <n v="1345.4623388671876"/>
    <x v="1872"/>
    <n v="0"/>
    <s v="Reliance Industries"/>
    <s v="Energy &amp; Conglomerate"/>
  </r>
  <r>
    <x v="492"/>
    <n v="1326.5"/>
    <n v="1344.9000244140625"/>
    <n v="1314.0999755859375"/>
    <n v="1316.699951171875"/>
    <n v="12931213"/>
    <x v="3"/>
    <n v="1.2982054219167649"/>
    <n v="86.47738766649185"/>
    <n v="1345.1126196289063"/>
    <x v="1873"/>
    <n v="0"/>
    <s v="Reliance Industries"/>
    <s v="Energy &amp; Conglomerate"/>
  </r>
  <r>
    <x v="493"/>
    <n v="1309.5"/>
    <n v="1333"/>
    <n v="1304"/>
    <n v="1328.9000244140625"/>
    <n v="15400184"/>
    <x v="3"/>
    <n v="-1.2815680361854542"/>
    <n v="85.369121107629923"/>
    <n v="1345.1216699218751"/>
    <x v="1874"/>
    <n v="0"/>
    <s v="Reliance Industries"/>
    <s v="Energy &amp; Conglomerate"/>
  </r>
  <r>
    <x v="494"/>
    <n v="1313.5999755859375"/>
    <n v="1322"/>
    <n v="1297.5"/>
    <n v="1305.699951171875"/>
    <n v="11030917"/>
    <x v="3"/>
    <n v="0.31309473737590743"/>
    <n v="85.636407333161969"/>
    <n v="1344.6353881835937"/>
    <x v="1875"/>
    <n v="0"/>
    <s v="Reliance Industries"/>
    <s v="Energy &amp; Conglomerate"/>
  </r>
  <r>
    <x v="495"/>
    <n v="1318.0999755859375"/>
    <n v="1328"/>
    <n v="1314.5999755859375"/>
    <n v="1318"/>
    <n v="12694362"/>
    <x v="3"/>
    <n v="0.34257004290767501"/>
    <n v="85.929772010507776"/>
    <n v="1344.2550317382813"/>
    <x v="1876"/>
    <n v="0"/>
    <s v="Reliance Industries"/>
    <s v="Energy &amp; Conglomerate"/>
  </r>
  <r>
    <x v="496"/>
    <n v="1318.0999755859375"/>
    <n v="1318.0999755859375"/>
    <n v="1318.0999755859375"/>
    <n v="1318.0999755859375"/>
    <n v="0"/>
    <x v="3"/>
    <n v="0"/>
    <n v="85.929772010507776"/>
    <n v="1343.4426733398439"/>
    <x v="1877"/>
    <n v="0"/>
    <s v="Reliance Industries"/>
    <s v="Energy &amp; Conglomerate"/>
  </r>
  <r>
    <x v="497"/>
    <n v="1301"/>
    <n v="1313.699951171875"/>
    <n v="1292.5999755859375"/>
    <n v="1308"/>
    <n v="13757656"/>
    <x v="3"/>
    <n v="-1.2973200745517111"/>
    <n v="84.814987828198952"/>
    <n v="1342.3221582031249"/>
    <x v="1878"/>
    <n v="0"/>
    <s v="Reliance Industries"/>
    <s v="Energy &amp; Conglomerate"/>
  </r>
  <r>
    <x v="498"/>
    <n v="1293.9000244140625"/>
    <n v="1306.9000244140625"/>
    <n v="1290"/>
    <n v="1306.9000244140625"/>
    <n v="15695263"/>
    <x v="3"/>
    <n v="-0.5457321741689114"/>
    <n v="84.352125151103024"/>
    <n v="1341.2587231445314"/>
    <x v="1879"/>
    <n v="0"/>
    <s v="Reliance Industries"/>
    <s v="Energy &amp; Conglomerate"/>
  </r>
  <r>
    <x v="499"/>
    <n v="1308"/>
    <n v="1312.199951171875"/>
    <n v="1296.5"/>
    <n v="1298.9000244140625"/>
    <n v="7001401"/>
    <x v="3"/>
    <n v="1.0897268196839782"/>
    <n v="85.271332881847982"/>
    <n v="1340.3020996093751"/>
    <x v="1880"/>
    <n v="0"/>
    <s v="Reliance Industries"/>
    <s v="Energy &amp; Conglomerate"/>
  </r>
  <r>
    <x v="500"/>
    <n v="1303.5"/>
    <n v="1313.199951171875"/>
    <n v="1299"/>
    <n v="1310"/>
    <n v="17795024"/>
    <x v="3"/>
    <n v="-0.34403669724770714"/>
    <n v="84.977968204502176"/>
    <n v="1339.6277539062501"/>
    <x v="1881"/>
    <n v="0"/>
    <s v="Reliance Industries"/>
    <s v="Energy &amp; Conglomerate"/>
  </r>
  <r>
    <x v="519"/>
    <n v="1304"/>
    <n v="1312"/>
    <n v="1302"/>
    <n v="1312"/>
    <n v="7839550"/>
    <x v="3"/>
    <n v="3.835826620637306E-2"/>
    <n v="85.010564279762818"/>
    <n v="1339.2739721679689"/>
    <x v="1882"/>
    <n v="0"/>
    <s v="Reliance Industries"/>
    <s v="Energy &amp; Conglomerate"/>
  </r>
  <r>
    <x v="0"/>
    <n v="251.52000427246091"/>
    <n v="248.3500061035156"/>
    <n v="234.25"/>
    <n v="234.55999755859369"/>
    <n v="166561500"/>
    <x v="4"/>
    <m/>
    <n v="100"/>
    <m/>
    <x v="0"/>
    <n v="0"/>
    <s v="Tesla Inc."/>
    <s v="Consumer Discretionary"/>
  </r>
  <r>
    <x v="1"/>
    <n v="251.52000427246091"/>
    <n v="252.3699951171875"/>
    <n v="242.46000671386719"/>
    <n v="249.80999755859369"/>
    <n v="154501200"/>
    <x v="4"/>
    <n v="0"/>
    <n v="100"/>
    <m/>
    <x v="0"/>
    <n v="0"/>
    <s v="Tesla Inc."/>
    <s v="Consumer Discretionary"/>
  </r>
  <r>
    <x v="2"/>
    <n v="252.94000244140625"/>
    <n v="259.44000244140625"/>
    <n v="244.57000732421875"/>
    <n v="247.71000671386719"/>
    <n v="157219600"/>
    <x v="4"/>
    <n v="0.56456669243973856"/>
    <n v="100.56456669243974"/>
    <m/>
    <x v="0"/>
    <n v="0"/>
    <s v="Tesla Inc."/>
    <s v="Consumer Discretionary"/>
  </r>
  <r>
    <x v="3"/>
    <n v="262.32998657226563"/>
    <n v="265.6099853515625"/>
    <n v="250.30000305175781"/>
    <n v="251"/>
    <n v="160210900"/>
    <x v="4"/>
    <n v="3.712336538398886"/>
    <n v="104.29786184644571"/>
    <m/>
    <x v="0"/>
    <n v="0"/>
    <s v="Tesla Inc."/>
    <s v="Consumer Discretionary"/>
  </r>
  <r>
    <x v="4"/>
    <n v="263.260009765625"/>
    <n v="267.58999633789063"/>
    <n v="257.8599853515625"/>
    <n v="262.79998779296875"/>
    <n v="128519400"/>
    <x v="4"/>
    <n v="0.35452416458809921"/>
    <n v="104.66762296984007"/>
    <m/>
    <x v="0"/>
    <n v="0"/>
    <s v="Tesla Inc."/>
    <s v="Consumer Discretionary"/>
  </r>
  <r>
    <x v="5"/>
    <n v="241.02999877929688"/>
    <n v="271"/>
    <n v="239.6499938964844"/>
    <n v="263.29998779296875"/>
    <n v="221707300"/>
    <x v="4"/>
    <n v="-8.4441275399628868"/>
    <n v="95.829355393219274"/>
    <m/>
    <x v="0"/>
    <n v="0"/>
    <s v="Tesla Inc."/>
    <s v="Consumer Discretionary"/>
  </r>
  <r>
    <x v="6"/>
    <n v="248.22999572753903"/>
    <n v="251.83999633789065"/>
    <n v="233.08999633789065"/>
    <n v="235.80000305175781"/>
    <n v="155955800"/>
    <x v="4"/>
    <n v="2.9871787680814554"/>
    <n v="98.69194955111486"/>
    <m/>
    <x v="0"/>
    <n v="0"/>
    <s v="Tesla Inc."/>
    <s v="Consumer Discretionary"/>
  </r>
  <r>
    <x v="7"/>
    <n v="252.63999938964844"/>
    <n v="265.60000610351563"/>
    <n v="251.72999572753903"/>
    <n v="255.97000122070313"/>
    <n v="146912900"/>
    <x v="4"/>
    <n v="1.7765796793349109"/>
    <n v="100.44529067197942"/>
    <m/>
    <x v="0"/>
    <n v="0"/>
    <s v="Tesla Inc."/>
    <s v="Consumer Discretionary"/>
  </r>
  <r>
    <x v="8"/>
    <n v="256.55999755859369"/>
    <n v="258.6199951171875"/>
    <n v="245.80000305175781"/>
    <n v="255.30999755859369"/>
    <n v="126332500"/>
    <x v="4"/>
    <n v="1.5516142251486453"/>
    <n v="102.00381409053779"/>
    <m/>
    <x v="0"/>
    <n v="0"/>
    <s v="Tesla Inc."/>
    <s v="Consumer Discretionary"/>
  </r>
  <r>
    <x v="9"/>
    <n v="248.5"/>
    <n v="258.47000122070313"/>
    <n v="246.17999267578125"/>
    <n v="252.72999572753903"/>
    <n v="115584800"/>
    <x v="4"/>
    <n v="-3.1415644041518753"/>
    <n v="98.799298576192186"/>
    <m/>
    <x v="0"/>
    <n v="0"/>
    <s v="Tesla Inc."/>
    <s v="Consumer Discretionary"/>
  </r>
  <r>
    <x v="10"/>
    <n v="249.22999572753903"/>
    <n v="257.1400146484375"/>
    <n v="247.19999694824219"/>
    <n v="251.08999633789065"/>
    <n v="110869000"/>
    <x v="4"/>
    <n v="0.29376085615253622"/>
    <n v="99.08953224156231"/>
    <m/>
    <x v="0"/>
    <n v="0"/>
    <s v="Tesla Inc."/>
    <s v="Consumer Discretionary"/>
  </r>
  <r>
    <x v="11"/>
    <n v="239.19999694824219"/>
    <n v="249.44000244140625"/>
    <n v="236.83000183105469"/>
    <n v="247.78999328613281"/>
    <n v="87403900"/>
    <x v="4"/>
    <n v="-4.0243947162209803"/>
    <n v="95.101778341704787"/>
    <m/>
    <x v="0"/>
    <n v="0"/>
    <s v="Tesla Inc."/>
    <s v="Consumer Discretionary"/>
  </r>
  <r>
    <x v="12"/>
    <n v="251.50999450683599"/>
    <n v="253.21000671386719"/>
    <n v="243.75"/>
    <n v="244.21000671386719"/>
    <n v="101225400"/>
    <x v="4"/>
    <n v="5.1463201152370575"/>
    <n v="99.996020290452108"/>
    <m/>
    <x v="0"/>
    <n v="0"/>
    <s v="Tesla Inc."/>
    <s v="Consumer Discretionary"/>
  </r>
  <r>
    <x v="13"/>
    <n v="246.3800048828125"/>
    <n v="255.75999450683599"/>
    <n v="245.6300048828125"/>
    <n v="253.6000061035156"/>
    <n v="111928200"/>
    <x v="4"/>
    <n v="-2.0396762498772425"/>
    <n v="97.956425213765314"/>
    <m/>
    <x v="0"/>
    <n v="0"/>
    <s v="Tesla Inc."/>
    <s v="Consumer Discretionary"/>
  </r>
  <r>
    <x v="14"/>
    <n v="215.99000549316409"/>
    <n v="225.99000549316409"/>
    <n v="214.71000671386719"/>
    <n v="225.41999816894531"/>
    <n v="167942900"/>
    <x v="4"/>
    <n v="-12.334604589403686"/>
    <n v="85.87388749373244"/>
    <m/>
    <x v="0"/>
    <n v="0"/>
    <s v="Tesla Inc."/>
    <s v="Consumer Discretionary"/>
  </r>
  <r>
    <x v="15"/>
    <n v="220.25"/>
    <n v="226"/>
    <n v="216.22999572753903"/>
    <n v="216.80000305175781"/>
    <n v="100636500"/>
    <x v="4"/>
    <n v="1.9723109396238891"/>
    <n v="87.567587571051632"/>
    <m/>
    <x v="0"/>
    <n v="0"/>
    <s v="Tesla Inc."/>
    <s v="Consumer Discretionary"/>
  </r>
  <r>
    <x v="16"/>
    <n v="219.80000305175781"/>
    <n v="222.27999877929688"/>
    <n v="215.33000183105469"/>
    <n v="221.19000244140625"/>
    <n v="94604100"/>
    <x v="4"/>
    <n v="-0.20431189477511102"/>
    <n v="87.388676573676349"/>
    <m/>
    <x v="0"/>
    <n v="0"/>
    <s v="Tesla Inc."/>
    <s v="Consumer Discretionary"/>
  </r>
  <r>
    <x v="17"/>
    <n v="232.1000061035156"/>
    <n v="234.27000427246091"/>
    <n v="224.69999694824219"/>
    <n v="224.8999938964844"/>
    <n v="129201800"/>
    <x v="4"/>
    <n v="5.5959976710561854"/>
    <n v="92.278944879506099"/>
    <m/>
    <x v="0"/>
    <n v="0"/>
    <s v="Tesla Inc."/>
    <s v="Consumer Discretionary"/>
  </r>
  <r>
    <x v="18"/>
    <n v="222.6199951171875"/>
    <n v="232.41000366210929"/>
    <n v="220"/>
    <n v="232.25"/>
    <n v="100560300"/>
    <x v="4"/>
    <n v="-4.0844509853653621"/>
    <n v="88.509856606090366"/>
    <m/>
    <x v="0"/>
    <n v="0"/>
    <s v="Tesla Inc."/>
    <s v="Consumer Discretionary"/>
  </r>
  <r>
    <x v="19"/>
    <n v="232.07000732421875"/>
    <n v="234.67999267578125"/>
    <n v="226.78999328613281"/>
    <n v="227.8999938964844"/>
    <n v="67497000"/>
    <x v="4"/>
    <n v="4.244907202543402"/>
    <n v="92.267017884123121"/>
    <m/>
    <x v="0"/>
    <n v="0"/>
    <s v="Tesla Inc."/>
    <s v="Consumer Discretionary"/>
  </r>
  <r>
    <x v="20"/>
    <n v="216.86000061035159"/>
    <n v="231.8699951171875"/>
    <n v="214.33000183105469"/>
    <n v="227.69000244140625"/>
    <n v="83861900"/>
    <x v="4"/>
    <n v="-6.5540596517574379"/>
    <n v="86.219782493099984"/>
    <m/>
    <x v="0"/>
    <n v="0"/>
    <s v="Tesla Inc."/>
    <s v="Consumer Discretionary"/>
  </r>
  <r>
    <x v="21"/>
    <n v="207.66999816894531"/>
    <n v="216.1300048828125"/>
    <n v="205.77999877929688"/>
    <n v="214.8800048828125"/>
    <n v="82880100"/>
    <x v="4"/>
    <n v="-4.2377581921705492"/>
    <n v="82.565996597227013"/>
    <m/>
    <x v="0"/>
    <n v="0"/>
    <s v="Tesla Inc."/>
    <s v="Consumer Discretionary"/>
  </r>
  <r>
    <x v="22"/>
    <n v="198.8800048828125"/>
    <n v="203.8800048828125"/>
    <n v="182"/>
    <n v="185.22000122070313"/>
    <n v="100308800"/>
    <x v="4"/>
    <n v="-4.232673647438423"/>
    <n v="79.071247417511287"/>
    <m/>
    <x v="0"/>
    <n v="0"/>
    <s v="Tesla Inc."/>
    <s v="Consumer Discretionary"/>
  </r>
  <r>
    <x v="23"/>
    <n v="200.63999938964844"/>
    <n v="202.8999938964844"/>
    <n v="192.66999816894531"/>
    <n v="200.75"/>
    <n v="73783900"/>
    <x v="4"/>
    <n v="0.88495296843591476"/>
    <n v="79.77099076871184"/>
    <m/>
    <x v="0"/>
    <n v="0"/>
    <s v="Tesla Inc."/>
    <s v="Consumer Discretionary"/>
  </r>
  <r>
    <x v="24"/>
    <n v="191.75999450683599"/>
    <n v="203.49000549316409"/>
    <n v="191.47999572753903"/>
    <n v="200.77000427246091"/>
    <n v="71159800"/>
    <x v="4"/>
    <n v="-4.4258397676563144"/>
    <n v="76.240454536216745"/>
    <m/>
    <x v="0"/>
    <n v="0"/>
    <s v="Tesla Inc."/>
    <s v="Consumer Discretionary"/>
  </r>
  <r>
    <x v="25"/>
    <n v="198.83999633789065"/>
    <n v="200.69999694824219"/>
    <n v="192.03999328613281"/>
    <n v="195.69999694824219"/>
    <n v="65033900"/>
    <x v="4"/>
    <n v="3.6921162045622902"/>
    <n v="79.05534071258036"/>
    <m/>
    <x v="0"/>
    <n v="0"/>
    <s v="Tesla Inc."/>
    <s v="Consumer Discretionary"/>
  </r>
  <r>
    <x v="26"/>
    <n v="200"/>
    <n v="200.8800048828125"/>
    <n v="195.11000061035159"/>
    <n v="197.05000305175781"/>
    <n v="58648300"/>
    <x v="4"/>
    <n v="0.5833854775063152"/>
    <n v="79.516538089490695"/>
    <m/>
    <x v="0"/>
    <n v="0"/>
    <s v="Tesla Inc."/>
    <s v="Consumer Discretionary"/>
  </r>
  <r>
    <x v="27"/>
    <n v="197.49000549316409"/>
    <n v="199.25999450683599"/>
    <n v="194.66999816894531"/>
    <n v="199.02000427246091"/>
    <n v="64044900"/>
    <x v="4"/>
    <n v="-1.2549972534179554"/>
    <n v="78.518607720454554"/>
    <m/>
    <x v="0"/>
    <n v="0"/>
    <s v="Tesla Inc."/>
    <s v="Consumer Discretionary"/>
  </r>
  <r>
    <x v="28"/>
    <n v="207.83000183105469"/>
    <n v="208.49000549316409"/>
    <n v="197.05999755859369"/>
    <n v="198.47000122070313"/>
    <n v="76247400"/>
    <x v="4"/>
    <n v="5.2357061371637315"/>
    <n v="82.629611283689911"/>
    <m/>
    <x v="0"/>
    <n v="0"/>
    <s v="Tesla Inc."/>
    <s v="Consumer Discretionary"/>
  </r>
  <r>
    <x v="29"/>
    <n v="201.3800048828125"/>
    <n v="208.44000244140625"/>
    <n v="198.75"/>
    <n v="207.38999938964844"/>
    <n v="70250000"/>
    <x v="4"/>
    <n v="-3.1034965555576499"/>
    <n v="80.065204143629913"/>
    <m/>
    <x v="0"/>
    <n v="0"/>
    <s v="Tesla Inc."/>
    <s v="Consumer Discretionary"/>
  </r>
  <r>
    <x v="30"/>
    <n v="214.13999938964844"/>
    <n v="215.8800048828125"/>
    <n v="204.82000732421875"/>
    <n v="205.02000427246091"/>
    <n v="89848500"/>
    <x v="4"/>
    <n v="6.3362767888804461"/>
    <n v="85.138357089752475"/>
    <m/>
    <x v="1883"/>
    <n v="0"/>
    <s v="Tesla Inc."/>
    <s v="Consumer Discretionary"/>
  </r>
  <r>
    <x v="31"/>
    <n v="216.1199951171875"/>
    <n v="219.80000305175781"/>
    <n v="210.80000305175781"/>
    <n v="211.1499938964844"/>
    <n v="88765100"/>
    <x v="4"/>
    <n v="0.92462675501192582"/>
    <n v="85.925569118181912"/>
    <m/>
    <x v="1884"/>
    <n v="0"/>
    <s v="Tesla Inc."/>
    <s v="Consumer Discretionary"/>
  </r>
  <r>
    <x v="32"/>
    <n v="222.72000122070313"/>
    <n v="222.97999572753903"/>
    <n v="214.08999633789065"/>
    <n v="217.07000732421875"/>
    <n v="76435200"/>
    <x v="4"/>
    <n v="3.0538618603692225"/>
    <n v="88.549617301787265"/>
    <m/>
    <x v="1885"/>
    <n v="0"/>
    <s v="Tesla Inc."/>
    <s v="Consumer Discretionary"/>
  </r>
  <r>
    <x v="33"/>
    <n v="221.1000061035156"/>
    <n v="228.22000122070313"/>
    <n v="219.55999755859369"/>
    <n v="224.8800048828125"/>
    <n v="74001200"/>
    <x v="4"/>
    <n v="-0.72736849331380693"/>
    <n v="87.905535284584118"/>
    <m/>
    <x v="1886"/>
    <n v="0"/>
    <s v="Tesla Inc."/>
    <s v="Consumer Discretionary"/>
  </r>
  <r>
    <x v="34"/>
    <n v="223.27000427246091"/>
    <n v="224.66000366210929"/>
    <n v="218.86000061035159"/>
    <n v="222.66999816894531"/>
    <n v="70146000"/>
    <x v="4"/>
    <n v="0.98145549934058884"/>
    <n v="88.768288994859432"/>
    <m/>
    <x v="1887"/>
    <n v="0"/>
    <s v="Tesla Inc."/>
    <s v="Consumer Discretionary"/>
  </r>
  <r>
    <x v="35"/>
    <n v="210.66000366210929"/>
    <n v="224.80000305175781"/>
    <n v="210.32000732421875"/>
    <n v="223.82000732421875"/>
    <n v="79514500"/>
    <x v="4"/>
    <n v="-5.6478704568677207"/>
    <n v="83.754771025651806"/>
    <m/>
    <x v="1888"/>
    <n v="0"/>
    <s v="Tesla Inc."/>
    <s v="Consumer Discretionary"/>
  </r>
  <r>
    <x v="36"/>
    <n v="220.32000732421875"/>
    <n v="221.47999572753903"/>
    <n v="214.21000671386719"/>
    <n v="214.46000671386719"/>
    <n v="81525200"/>
    <x v="4"/>
    <n v="4.5855898102060921"/>
    <n v="87.595421271365552"/>
    <m/>
    <x v="1889"/>
    <n v="0"/>
    <s v="Tesla Inc."/>
    <s v="Consumer Discretionary"/>
  </r>
  <r>
    <x v="37"/>
    <n v="213.21000671386719"/>
    <n v="219.08999633789065"/>
    <n v="211.00999450683599"/>
    <n v="218.75"/>
    <n v="59301200"/>
    <x v="4"/>
    <n v="-3.2271243527550397"/>
    <n v="84.76860809961893"/>
    <m/>
    <x v="1890"/>
    <n v="0"/>
    <s v="Tesla Inc."/>
    <s v="Consumer Discretionary"/>
  </r>
  <r>
    <x v="38"/>
    <n v="209.21000671386719"/>
    <n v="215.66000366210929"/>
    <n v="206.94000244140625"/>
    <n v="213.25"/>
    <n v="62821400"/>
    <x v="4"/>
    <n v="-1.8760845523390857"/>
    <n v="83.178277337829115"/>
    <m/>
    <x v="1891"/>
    <n v="0"/>
    <s v="Tesla Inc."/>
    <s v="Consumer Discretionary"/>
  </r>
  <r>
    <x v="39"/>
    <n v="205.75"/>
    <n v="211.83999633789065"/>
    <n v="202.58999633789065"/>
    <n v="209.72000122070313"/>
    <n v="64116400"/>
    <x v="4"/>
    <n v="-1.6538437946705731"/>
    <n v="81.802638559563562"/>
    <m/>
    <x v="1892"/>
    <n v="0"/>
    <s v="Tesla Inc."/>
    <s v="Consumer Discretionary"/>
  </r>
  <r>
    <x v="40"/>
    <n v="206.27999877929688"/>
    <n v="214.88999938964844"/>
    <n v="205.97000122070313"/>
    <n v="209.80000305175781"/>
    <n v="62308800"/>
    <x v="4"/>
    <n v="0.2575935743848623"/>
    <n v="82.013356900170265"/>
    <m/>
    <x v="1893"/>
    <n v="0"/>
    <s v="Tesla Inc."/>
    <s v="Consumer Discretionary"/>
  </r>
  <r>
    <x v="41"/>
    <n v="214.11000061035159"/>
    <n v="214.57000732421875"/>
    <n v="207.02999877929688"/>
    <n v="208.6300048828125"/>
    <n v="63370600"/>
    <x v="4"/>
    <n v="3.7958124284420691"/>
    <n v="85.126430094369482"/>
    <m/>
    <x v="1894"/>
    <n v="0"/>
    <s v="Tesla Inc."/>
    <s v="Consumer Discretionary"/>
  </r>
  <r>
    <x v="42"/>
    <n v="210.6000061035156"/>
    <n v="219.8999938964844"/>
    <n v="209.63999938964844"/>
    <n v="215.25999450683599"/>
    <n v="76714200"/>
    <x v="4"/>
    <n v="-1.6393416920415849"/>
    <n v="83.730917034885849"/>
    <m/>
    <x v="1895"/>
    <n v="0"/>
    <s v="Tesla Inc."/>
    <s v="Consumer Discretionary"/>
  </r>
  <r>
    <x v="43"/>
    <n v="219.41000366210929"/>
    <n v="222.22000122070313"/>
    <n v="210.57000732421875"/>
    <n v="210.58999633789065"/>
    <n v="80651800"/>
    <x v="4"/>
    <n v="4.1832845694521614"/>
    <n v="87.233619567067038"/>
    <m/>
    <x v="1896"/>
    <n v="0"/>
    <s v="Tesla Inc."/>
    <s v="Consumer Discretionary"/>
  </r>
  <r>
    <x v="44"/>
    <n v="230.16999816894531"/>
    <n v="235"/>
    <n v="222.25"/>
    <n v="223.49000549316409"/>
    <n v="119355000"/>
    <x v="4"/>
    <n v="4.9040583051110032"/>
    <n v="91.511607132294714"/>
    <m/>
    <x v="1897"/>
    <n v="0"/>
    <s v="Tesla Inc."/>
    <s v="Consumer Discretionary"/>
  </r>
  <r>
    <x v="45"/>
    <n v="210.72999572753903"/>
    <n v="233.6000061035156"/>
    <n v="210.50999450683599"/>
    <n v="232.6000061035156"/>
    <n v="112177000"/>
    <x v="4"/>
    <n v="-8.4459323960793817"/>
    <n v="83.782598659335335"/>
    <m/>
    <x v="1898"/>
    <n v="0"/>
    <s v="Tesla Inc."/>
    <s v="Consumer Discretionary"/>
  </r>
  <r>
    <x v="46"/>
    <n v="216.27000427246091"/>
    <n v="219.8699951171875"/>
    <n v="213.66999816894531"/>
    <n v="216.19999694824219"/>
    <n v="67443500"/>
    <x v="4"/>
    <n v="2.6289605928169646"/>
    <n v="85.985210161727267"/>
    <m/>
    <x v="1899"/>
    <n v="0"/>
    <s v="Tesla Inc."/>
    <s v="Consumer Discretionary"/>
  </r>
  <r>
    <x v="47"/>
    <n v="226.16999816894531"/>
    <n v="226.3999938964844"/>
    <n v="218.63999938964844"/>
    <n v="220.07000732421875"/>
    <n v="78891100"/>
    <x v="4"/>
    <n v="4.5776084065787481"/>
    <n v="89.921276370504899"/>
    <m/>
    <x v="1900"/>
    <n v="0"/>
    <s v="Tesla Inc."/>
    <s v="Consumer Discretionary"/>
  </r>
  <r>
    <x v="48"/>
    <n v="228.1300048828125"/>
    <n v="228.47000122070313"/>
    <n v="216.80000305175781"/>
    <n v="224.55000305175781"/>
    <n v="83548600"/>
    <x v="4"/>
    <n v="0.86660774184694755"/>
    <n v="90.700541113099291"/>
    <m/>
    <x v="1901"/>
    <n v="0"/>
    <s v="Tesla Inc."/>
    <s v="Consumer Discretionary"/>
  </r>
  <r>
    <x v="49"/>
    <n v="229.80999755859369"/>
    <n v="231.44999694824219"/>
    <n v="223.83000183105469"/>
    <n v="224.66000366210929"/>
    <n v="71894900"/>
    <x v="4"/>
    <n v="0.73641898909535541"/>
    <n v="91.368477121068395"/>
    <n v="224.54420104980468"/>
    <x v="1902"/>
    <n v="0"/>
    <s v="Tesla Inc."/>
    <s v="Consumer Discretionary"/>
  </r>
  <r>
    <x v="50"/>
    <n v="230.28999328613281"/>
    <n v="232.66999816894531"/>
    <n v="226.32000732421875"/>
    <n v="228"/>
    <n v="59515100"/>
    <x v="4"/>
    <n v="0.20886633855723424"/>
    <n v="91.559315113826685"/>
    <n v="224.11960083007813"/>
    <x v="1903"/>
    <n v="0"/>
    <s v="Tesla Inc."/>
    <s v="Consumer Discretionary"/>
  </r>
  <r>
    <x v="51"/>
    <n v="226.77999877929688"/>
    <n v="229.96000671386719"/>
    <n v="223.52999877929688"/>
    <n v="229.30000305175781"/>
    <n v="54323000"/>
    <x v="4"/>
    <n v="-1.5241628421408637"/>
    <n v="90.163802054343066"/>
    <n v="223.62480072021484"/>
    <x v="1904"/>
    <n v="0"/>
    <s v="Tesla Inc."/>
    <s v="Consumer Discretionary"/>
  </r>
  <r>
    <x v="52"/>
    <n v="227.8699951171875"/>
    <n v="234.57000732421875"/>
    <n v="226.55000305175781"/>
    <n v="229.44999694824219"/>
    <n v="66761600"/>
    <x v="4"/>
    <n v="0.48064041968332027"/>
    <n v="90.597165730939494"/>
    <n v="223.12340057373046"/>
    <x v="1905"/>
    <n v="0"/>
    <s v="Tesla Inc."/>
    <s v="Consumer Discretionary"/>
  </r>
  <r>
    <x v="53"/>
    <n v="227.19999694824219"/>
    <n v="235.67999267578125"/>
    <n v="226.8800048828125"/>
    <n v="230.08999633789065"/>
    <n v="78010200"/>
    <x v="4"/>
    <n v="-0.29402649901351108"/>
    <n v="90.330786056335342"/>
    <n v="222.42080078124999"/>
    <x v="1906"/>
    <n v="0"/>
    <s v="Tesla Inc."/>
    <s v="Consumer Discretionary"/>
  </r>
  <r>
    <x v="54"/>
    <n v="243.91999816894531"/>
    <n v="244.24000549316409"/>
    <n v="232.1300048828125"/>
    <n v="234"/>
    <n v="102694600"/>
    <x v="4"/>
    <n v="7.3591555657071872"/>
    <n v="96.978369125947211"/>
    <n v="222.0340005493164"/>
    <x v="1907"/>
    <n v="0"/>
    <s v="Tesla Inc."/>
    <s v="Consumer Discretionary"/>
  </r>
  <r>
    <x v="55"/>
    <n v="238.25"/>
    <n v="243.99000549316409"/>
    <n v="235.91999816894531"/>
    <n v="241.52000427246091"/>
    <n v="99879100"/>
    <x v="4"/>
    <n v="-2.3245319004217668"/>
    <n v="94.724075999105793"/>
    <n v="221.97840057373048"/>
    <x v="1908"/>
    <n v="0"/>
    <s v="Tesla Inc."/>
    <s v="Consumer Discretionary"/>
  </r>
  <r>
    <x v="56"/>
    <n v="250"/>
    <n v="250"/>
    <n v="241.91999816894531"/>
    <n v="242.61000061035159"/>
    <n v="86927200"/>
    <x v="4"/>
    <n v="4.9317943336831149"/>
    <n v="99.395672611863375"/>
    <n v="222.01380065917968"/>
    <x v="1909"/>
    <n v="0"/>
    <s v="Tesla Inc."/>
    <s v="Consumer Discretionary"/>
  </r>
  <r>
    <x v="57"/>
    <n v="254.27000427246091"/>
    <n v="257.19000244140625"/>
    <n v="249.05000305175781"/>
    <n v="254.08000183105469"/>
    <n v="88491000"/>
    <x v="4"/>
    <n v="1.7080017089843746"/>
    <n v="101.0933523987305"/>
    <n v="222.04640075683594"/>
    <x v="1910"/>
    <n v="0"/>
    <s v="Tesla Inc."/>
    <s v="Consumer Discretionary"/>
  </r>
  <r>
    <x v="58"/>
    <n v="257.01998901367188"/>
    <n v="257.04998779296875"/>
    <n v="252.27999877929688"/>
    <n v="252.53999328613281"/>
    <n v="65034300"/>
    <x v="4"/>
    <n v="1.0815214909361659"/>
    <n v="102.1866987308306"/>
    <n v="222.0556005859375"/>
    <x v="1911"/>
    <n v="0"/>
    <s v="Tesla Inc."/>
    <s v="Consumer Discretionary"/>
  </r>
  <r>
    <x v="59"/>
    <n v="254.22000122070313"/>
    <n v="261.75"/>
    <n v="251.52999877929688"/>
    <n v="260.60000610351563"/>
    <n v="67142200"/>
    <x v="4"/>
    <n v="-1.0894046816023351"/>
    <n v="101.07347205088206"/>
    <n v="222.17000061035156"/>
    <x v="1912"/>
    <n v="0"/>
    <s v="Tesla Inc."/>
    <s v="Consumer Discretionary"/>
  </r>
  <r>
    <x v="60"/>
    <n v="260.45999145507813"/>
    <n v="260.70001220703125"/>
    <n v="254.1199951171875"/>
    <n v="257.3800048828125"/>
    <n v="70988100"/>
    <x v="4"/>
    <n v="2.4545630573566513"/>
    <n v="103.5543841566307"/>
    <n v="222.39460052490233"/>
    <x v="1913"/>
    <n v="0"/>
    <s v="Tesla Inc."/>
    <s v="Consumer Discretionary"/>
  </r>
  <r>
    <x v="61"/>
    <n v="261.6300048828125"/>
    <n v="264.8599853515625"/>
    <n v="255.77000427246091"/>
    <n v="259.04000854492188"/>
    <n v="80705700"/>
    <x v="4"/>
    <n v="0.44921042237542341"/>
    <n v="104.01956124308897"/>
    <n v="222.84320068359375"/>
    <x v="1914"/>
    <n v="0"/>
    <s v="Tesla Inc."/>
    <s v="Consumer Discretionary"/>
  </r>
  <r>
    <x v="62"/>
    <n v="258.01998901367188"/>
    <n v="263.98001098632813"/>
    <n v="248.52999877929688"/>
    <n v="262.67001342773438"/>
    <n v="87397600"/>
    <x v="4"/>
    <n v="-1.3798172234708361"/>
    <n v="102.58428142127805"/>
    <n v="222.97340057373046"/>
    <x v="1915"/>
    <n v="0"/>
    <s v="Tesla Inc."/>
    <s v="Consumer Discretionary"/>
  </r>
  <r>
    <x v="63"/>
    <n v="249.02000427246091"/>
    <n v="251.16000366210929"/>
    <n v="241.5"/>
    <n v="247.55000305175781"/>
    <n v="93983900"/>
    <x v="4"/>
    <n v="-3.488095932262858"/>
    <n v="99.00604327388136"/>
    <n v="223.02620056152344"/>
    <x v="1916"/>
    <n v="0"/>
    <s v="Tesla Inc."/>
    <s v="Consumer Discretionary"/>
  </r>
  <r>
    <x v="64"/>
    <n v="240.66000366210929"/>
    <n v="249.78999328613281"/>
    <n v="237.80999755859369"/>
    <n v="244.47999572753903"/>
    <n v="80729200"/>
    <x v="4"/>
    <n v="-3.3571602549667734"/>
    <n v="95.682251739075426"/>
    <n v="223.51960052490233"/>
    <x v="1917"/>
    <n v="0"/>
    <s v="Tesla Inc."/>
    <s v="Consumer Discretionary"/>
  </r>
  <r>
    <x v="65"/>
    <n v="250.08000183105469"/>
    <n v="250.96000671386719"/>
    <n v="244.58000183105469"/>
    <n v="246.69000244140625"/>
    <n v="86573200"/>
    <x v="4"/>
    <n v="3.9142350309988583"/>
    <n v="99.42747995509481"/>
    <n v="224.11620056152344"/>
    <x v="1918"/>
    <n v="0"/>
    <s v="Tesla Inc."/>
    <s v="Consumer Discretionary"/>
  </r>
  <r>
    <x v="66"/>
    <n v="240.83000183105469"/>
    <n v="249.83000183105469"/>
    <n v="240.69999694824219"/>
    <n v="249"/>
    <n v="68113300"/>
    <x v="4"/>
    <n v="-3.698816351676526"/>
    <n v="95.749840068455867"/>
    <n v="224.53680053710937"/>
    <x v="1919"/>
    <n v="0"/>
    <s v="Tesla Inc."/>
    <s v="Consumer Discretionary"/>
  </r>
  <r>
    <x v="67"/>
    <n v="244.5"/>
    <n v="246.21000671386719"/>
    <n v="240.55999755859369"/>
    <n v="243.55999755859369"/>
    <n v="56303200"/>
    <x v="4"/>
    <n v="1.5238957526229946"/>
    <n v="97.208967814402371"/>
    <n v="224.78480041503906"/>
    <x v="1920"/>
    <n v="0"/>
    <s v="Tesla Inc."/>
    <s v="Consumer Discretionary"/>
  </r>
  <r>
    <x v="68"/>
    <n v="241.05000305175781"/>
    <n v="247.42999267578125"/>
    <n v="239.50999450683599"/>
    <n v="243.82000732421875"/>
    <n v="66289500"/>
    <x v="4"/>
    <n v="-1.4110416966225725"/>
    <n v="95.837308745684751"/>
    <n v="225.15340057373047"/>
    <x v="1921"/>
    <n v="0"/>
    <s v="Tesla Inc."/>
    <s v="Consumer Discretionary"/>
  </r>
  <r>
    <x v="69"/>
    <n v="238.77000427246091"/>
    <n v="242.78999328613281"/>
    <n v="232.33999633789065"/>
    <n v="241.80999755859369"/>
    <n v="83087100"/>
    <x v="4"/>
    <n v="-0.94586133600145228"/>
    <n v="94.930820696794967"/>
    <n v="225.28740051269531"/>
    <x v="1922"/>
    <n v="0"/>
    <s v="Tesla Inc."/>
    <s v="Consumer Discretionary"/>
  </r>
  <r>
    <x v="70"/>
    <n v="217.80000305175781"/>
    <n v="223.33999633789065"/>
    <n v="214.3800048828125"/>
    <n v="220.1300048828125"/>
    <n v="142628900"/>
    <x v="4"/>
    <n v="-8.7825107197192942"/>
    <n v="86.593511192781449"/>
    <n v="225.30620056152344"/>
    <x v="1923"/>
    <n v="0"/>
    <s v="Tesla Inc."/>
    <s v="Consumer Discretionary"/>
  </r>
  <r>
    <x v="71"/>
    <n v="219.16000366210929"/>
    <n v="221.91000366210929"/>
    <n v="213.74000549316409"/>
    <n v="220.1300048828125"/>
    <n v="86291900"/>
    <x v="4"/>
    <n v="0.62442635045707462"/>
    <n v="87.134223894455161"/>
    <n v="225.53600067138672"/>
    <x v="1924"/>
    <n v="0"/>
    <s v="Tesla Inc."/>
    <s v="Consumer Discretionary"/>
  </r>
  <r>
    <x v="72"/>
    <n v="219.57000732421875"/>
    <n v="224.25999450683599"/>
    <n v="217.1199951171875"/>
    <n v="220.00999450683599"/>
    <n v="62988800"/>
    <x v="4"/>
    <n v="0.18707960177879457"/>
    <n v="87.29723425352995"/>
    <n v="225.94980072021485"/>
    <x v="1925"/>
    <n v="0"/>
    <s v="Tesla Inc."/>
    <s v="Consumer Discretionary"/>
  </r>
  <r>
    <x v="73"/>
    <n v="221.33000183105469"/>
    <n v="222.82000732421875"/>
    <n v="218.92999267578125"/>
    <n v="221.3999938964844"/>
    <n v="49632800"/>
    <x v="4"/>
    <n v="0.80156417002670288"/>
    <n v="87.996977604730532"/>
    <n v="226.36360076904296"/>
    <x v="1926"/>
    <n v="0"/>
    <s v="Tesla Inc."/>
    <s v="Consumer Discretionary"/>
  </r>
  <r>
    <x v="74"/>
    <n v="220.88999938964844"/>
    <n v="222.08000183105469"/>
    <n v="217.8999938964844"/>
    <n v="221.58999633789065"/>
    <n v="50791800"/>
    <x v="4"/>
    <n v="-0.19879927608824621"/>
    <n v="87.822040250272778"/>
    <n v="226.94620086669923"/>
    <x v="1927"/>
    <n v="0"/>
    <s v="Tesla Inc."/>
    <s v="Consumer Discretionary"/>
  </r>
  <r>
    <x v="75"/>
    <n v="220.69999694824219"/>
    <n v="222.27999877929688"/>
    <n v="219.22999572753903"/>
    <n v="220.71000671386719"/>
    <n v="49611900"/>
    <x v="4"/>
    <n v="-8.6016769401631166E-2"/>
    <n v="87.746498568426901"/>
    <n v="227.38340087890626"/>
    <x v="1928"/>
    <n v="0"/>
    <s v="Tesla Inc."/>
    <s v="Consumer Discretionary"/>
  </r>
  <r>
    <x v="76"/>
    <n v="218.8500061035156"/>
    <n v="220.47999572753903"/>
    <n v="215.72999572753903"/>
    <n v="218.8999938964844"/>
    <n v="47329000"/>
    <x v="4"/>
    <n v="-0.83823782071027475"/>
    <n v="87.010974231077341"/>
    <n v="227.76040100097657"/>
    <x v="1929"/>
    <n v="0"/>
    <s v="Tesla Inc."/>
    <s v="Consumer Discretionary"/>
  </r>
  <r>
    <x v="77"/>
    <n v="217.97000122070313"/>
    <n v="218.22000122070313"/>
    <n v="215.25999450683599"/>
    <n v="217.30999755859369"/>
    <n v="43268700"/>
    <x v="4"/>
    <n v="-0.4021041161845984"/>
    <n v="86.661099522161862"/>
    <n v="228.17000091552734"/>
    <x v="1930"/>
    <n v="0"/>
    <s v="Tesla Inc."/>
    <s v="Consumer Discretionary"/>
  </r>
  <r>
    <x v="78"/>
    <n v="213.6499938964844"/>
    <n v="218.72000122070313"/>
    <n v="212.11000061035159"/>
    <n v="217.1300048828125"/>
    <n v="80938900"/>
    <x v="4"/>
    <n v="-1.9819274670942244"/>
    <n v="84.943539387446293"/>
    <n v="228.28640075683595"/>
    <x v="1931"/>
    <n v="0"/>
    <s v="Tesla Inc."/>
    <s v="Consumer Discretionary"/>
  </r>
  <r>
    <x v="79"/>
    <n v="260.48001098632813"/>
    <n v="262.1199951171875"/>
    <n v="242.6499938964844"/>
    <n v="244.67999267578125"/>
    <n v="204491900"/>
    <x v="4"/>
    <n v="21.919035070290406"/>
    <n v="103.56234357572657"/>
    <n v="229.46840087890624"/>
    <x v="1932"/>
    <n v="1"/>
    <s v="Tesla Inc."/>
    <s v="Consumer Discretionary"/>
  </r>
  <r>
    <x v="80"/>
    <n v="260.48001098632813"/>
    <n v="269.489990234375"/>
    <n v="255.32000732421875"/>
    <n v="256.010009765625"/>
    <n v="161611900"/>
    <x v="4"/>
    <n v="0"/>
    <n v="103.56234357572657"/>
    <n v="230.39520111083985"/>
    <x v="1933"/>
    <n v="0"/>
    <s v="Tesla Inc."/>
    <s v="Consumer Discretionary"/>
  </r>
  <r>
    <x v="81"/>
    <n v="262.510009765625"/>
    <n v="273.54000854492188"/>
    <n v="262.239990234375"/>
    <n v="270"/>
    <n v="78628600"/>
    <x v="4"/>
    <n v="0.77932996532446008"/>
    <n v="104.36943595200448"/>
    <n v="231.3230014038086"/>
    <x v="1934"/>
    <n v="0"/>
    <s v="Tesla Inc."/>
    <s v="Consumer Discretionary"/>
  </r>
  <r>
    <x v="82"/>
    <n v="259.51998901367188"/>
    <n v="264.98001098632813"/>
    <n v="255.50999450683599"/>
    <n v="264.510009765625"/>
    <n v="78628600"/>
    <x v="4"/>
    <n v="-1.139012091242797"/>
    <n v="103.18065545694924"/>
    <n v="232.05900115966796"/>
    <x v="1935"/>
    <n v="0"/>
    <s v="Tesla Inc."/>
    <s v="Consumer Discretionary"/>
  </r>
  <r>
    <x v="83"/>
    <n v="257.54998779296875"/>
    <n v="263.35000610351563"/>
    <n v="255.82000732421875"/>
    <n v="258.04000854492188"/>
    <n v="53993600"/>
    <x v="4"/>
    <n v="-0.75909421397183374"/>
    <n v="102.39741707143733"/>
    <n v="232.78800079345703"/>
    <x v="1936"/>
    <n v="0"/>
    <s v="Tesla Inc."/>
    <s v="Consumer Discretionary"/>
  </r>
  <r>
    <x v="84"/>
    <n v="249.8500061035156"/>
    <n v="259.75"/>
    <n v="249.25"/>
    <n v="257.989990234375"/>
    <n v="66575300"/>
    <x v="4"/>
    <n v="-2.9897037679701866"/>
    <n v="99.336037634948411"/>
    <n v="233.31960083007812"/>
    <x v="1937"/>
    <n v="0"/>
    <s v="Tesla Inc."/>
    <s v="Consumer Discretionary"/>
  </r>
  <r>
    <x v="85"/>
    <n v="248.97999572753903"/>
    <n v="254"/>
    <n v="246.6300048828125"/>
    <n v="252.03999328613281"/>
    <n v="57544800"/>
    <x v="4"/>
    <n v="-0.34821306973117361"/>
    <n v="98.990136568950433"/>
    <n v="234.08600067138673"/>
    <x v="1938"/>
    <n v="0"/>
    <s v="Tesla Inc."/>
    <s v="Consumer Discretionary"/>
  </r>
  <r>
    <x v="86"/>
    <n v="242.83999633789065"/>
    <n v="248.8999938964844"/>
    <n v="238.8800048828125"/>
    <n v="244.55999755859369"/>
    <n v="68802400"/>
    <x v="4"/>
    <n v="-2.4660613282231014"/>
    <n v="96.548979092268311"/>
    <n v="234.53640045166014"/>
    <x v="1939"/>
    <n v="0"/>
    <s v="Tesla Inc."/>
    <s v="Consumer Discretionary"/>
  </r>
  <r>
    <x v="87"/>
    <n v="251.44000244140625"/>
    <n v="255.27999877929688"/>
    <n v="246.21000671386719"/>
    <n v="247.33999633789065"/>
    <n v="69282500"/>
    <x v="4"/>
    <n v="3.5414290204276888"/>
    <n v="99.968192656768565"/>
    <n v="235.30100036621093"/>
    <x v="1940"/>
    <n v="0"/>
    <s v="Tesla Inc."/>
    <s v="Consumer Discretionary"/>
  </r>
  <r>
    <x v="88"/>
    <n v="288.52999877929688"/>
    <n v="289.58999633789063"/>
    <n v="275.6199951171875"/>
    <n v="284.67001342773438"/>
    <n v="165228700"/>
    <x v="4"/>
    <n v="14.751032444224466"/>
    <n v="114.71453318947331"/>
    <n v="236.88740020751953"/>
    <x v="1941"/>
    <n v="1"/>
    <s v="Tesla Inc."/>
    <s v="Consumer Discretionary"/>
  </r>
  <r>
    <x v="89"/>
    <n v="296.91000366210938"/>
    <n v="299.75"/>
    <n v="285.51998901367188"/>
    <n v="288.8900146484375"/>
    <n v="117309200"/>
    <x v="4"/>
    <n v="2.9043790657007351"/>
    <n v="118.0462780767447"/>
    <n v="238.71060028076172"/>
    <x v="1942"/>
    <n v="0"/>
    <s v="Tesla Inc."/>
    <s v="Consumer Discretionary"/>
  </r>
  <r>
    <x v="90"/>
    <n v="321.22000122070313"/>
    <n v="328.70999145507813"/>
    <n v="297.66000366210938"/>
    <n v="299.1400146484375"/>
    <n v="204782800"/>
    <x v="4"/>
    <n v="8.1876653729253022"/>
    <n v="127.71151231086144"/>
    <n v="241.00940032958985"/>
    <x v="1943"/>
    <n v="1"/>
    <s v="Tesla Inc."/>
    <s v="Consumer Discretionary"/>
  </r>
  <r>
    <x v="91"/>
    <n v="350"/>
    <n v="358.6400146484375"/>
    <n v="336"/>
    <n v="346.29998779296875"/>
    <n v="210521600"/>
    <x v="4"/>
    <n v="8.9595911431189954"/>
    <n v="139.15394165660871"/>
    <n v="243.72720031738282"/>
    <x v="1944"/>
    <n v="1"/>
    <s v="Tesla Inc."/>
    <s v="Consumer Discretionary"/>
  </r>
  <r>
    <x v="92"/>
    <n v="328.489990234375"/>
    <n v="345.83999633789063"/>
    <n v="323.30999755859369"/>
    <n v="342.739990234375"/>
    <n v="155726000"/>
    <x v="4"/>
    <n v="-6.1457170758928541"/>
    <n v="130.60193410244051"/>
    <n v="246.08500000000001"/>
    <x v="1945"/>
    <n v="0"/>
    <s v="Tesla Inc."/>
    <s v="Consumer Discretionary"/>
  </r>
  <r>
    <x v="93"/>
    <n v="330.239990234375"/>
    <n v="344.60000610351563"/>
    <n v="322.5"/>
    <n v="335.85000610351563"/>
    <n v="125405600"/>
    <x v="4"/>
    <n v="0.53274073853859516"/>
    <n v="131.29770381072356"/>
    <n v="248.30159973144532"/>
    <x v="1946"/>
    <n v="0"/>
    <s v="Tesla Inc."/>
    <s v="Consumer Discretionary"/>
  </r>
  <r>
    <x v="94"/>
    <n v="311.17999267578125"/>
    <n v="329.98001098632813"/>
    <n v="310.3699951171875"/>
    <n v="327.69000244140625"/>
    <n v="120726100"/>
    <x v="4"/>
    <n v="-5.7715595089094629"/>
    <n v="123.71977870145598"/>
    <n v="249.92179962158204"/>
    <x v="1947"/>
    <n v="0"/>
    <s v="Tesla Inc."/>
    <s v="Consumer Discretionary"/>
  </r>
  <r>
    <x v="95"/>
    <n v="320.72000122070313"/>
    <n v="324.67999267578125"/>
    <n v="309.22000122070313"/>
    <n v="310.57000732421875"/>
    <n v="114440300"/>
    <x v="4"/>
    <n v="3.0657525449785616"/>
    <n v="127.5127209656377"/>
    <n v="252.12159973144531"/>
    <x v="1948"/>
    <n v="0"/>
    <s v="Tesla Inc."/>
    <s v="Consumer Discretionary"/>
  </r>
  <r>
    <x v="96"/>
    <n v="338.739990234375"/>
    <n v="348.54998779296875"/>
    <n v="330.010009765625"/>
    <n v="340.73001098632813"/>
    <n v="126085600"/>
    <x v="4"/>
    <n v="5.6186046847983784"/>
    <n v="134.67715667952695"/>
    <n v="254.57099945068359"/>
    <x v="1949"/>
    <n v="0"/>
    <s v="Tesla Inc."/>
    <s v="Consumer Discretionary"/>
  </r>
  <r>
    <x v="97"/>
    <n v="346"/>
    <n v="347.3800048828125"/>
    <n v="332.75"/>
    <n v="335.760009765625"/>
    <n v="88852500"/>
    <x v="4"/>
    <n v="2.1432396454288627"/>
    <n v="137.56361089481891"/>
    <n v="256.96759948730471"/>
    <x v="1950"/>
    <n v="0"/>
    <s v="Tesla Inc."/>
    <s v="Consumer Discretionary"/>
  </r>
  <r>
    <x v="98"/>
    <n v="342.02999877929688"/>
    <n v="346.60000610351563"/>
    <n v="334.29998779296875"/>
    <n v="345"/>
    <n v="66340700"/>
    <x v="4"/>
    <n v="-1.1473991967350106"/>
    <n v="135.9852071284121"/>
    <n v="259.2455993652344"/>
    <x v="1951"/>
    <n v="0"/>
    <s v="Tesla Inc."/>
    <s v="Consumer Discretionary"/>
  </r>
  <r>
    <x v="99"/>
    <n v="339.6400146484375"/>
    <n v="347.989990234375"/>
    <n v="335.27999877929688"/>
    <n v="343.80999755859369"/>
    <n v="58011700"/>
    <x v="4"/>
    <n v="-0.69876447662170493"/>
    <n v="135.03499080753829"/>
    <n v="261.44219970703125"/>
    <x v="1952"/>
    <n v="0"/>
    <s v="Tesla Inc."/>
    <s v="Consumer Discretionary"/>
  </r>
  <r>
    <x v="100"/>
    <n v="352.55999755859369"/>
    <n v="361.52999877929688"/>
    <n v="337.70001220703125"/>
    <n v="341.08999633789063"/>
    <n v="89140700"/>
    <x v="4"/>
    <n v="3.8040225983177356"/>
    <n v="140.17175237349332"/>
    <n v="263.88759979248044"/>
    <x v="1953"/>
    <n v="0"/>
    <s v="Tesla Inc."/>
    <s v="Consumer Discretionary"/>
  </r>
  <r>
    <x v="101"/>
    <n v="338.58999633789063"/>
    <n v="361.92999267578131"/>
    <n v="338.20001220703125"/>
    <n v="360.1400146484375"/>
    <n v="95890900"/>
    <x v="4"/>
    <n v="-3.9624464821427563"/>
    <n v="134.61752170261195"/>
    <n v="266.12379974365234"/>
    <x v="1954"/>
    <n v="0"/>
    <s v="Tesla Inc."/>
    <s v="Consumer Discretionary"/>
  </r>
  <r>
    <x v="102"/>
    <n v="338.23001098632813"/>
    <n v="346.95999145507813"/>
    <n v="335.66000366210938"/>
    <n v="341"/>
    <n v="62295900"/>
    <x v="4"/>
    <n v="-0.1063189566898104"/>
    <n v="134.4743977580161"/>
    <n v="268.33100006103518"/>
    <x v="1955"/>
    <n v="0"/>
    <s v="Tesla Inc."/>
    <s v="Consumer Discretionary"/>
  </r>
  <r>
    <x v="103"/>
    <n v="338.23001098632813"/>
    <n v="342.54998779296875"/>
    <n v="326.58999633789063"/>
    <n v="341.79998779296875"/>
    <n v="57896400"/>
    <x v="4"/>
    <n v="0"/>
    <n v="134.4743977580161"/>
    <n v="270.55160034179687"/>
    <x v="1956"/>
    <n v="0"/>
    <s v="Tesla Inc."/>
    <s v="Consumer Discretionary"/>
  </r>
  <r>
    <x v="104"/>
    <n v="345.16000366210938"/>
    <n v="345.45001220703125"/>
    <n v="334.64999389648438"/>
    <n v="336.07998657226563"/>
    <n v="37167600"/>
    <x v="4"/>
    <n v="2.0488994029750351"/>
    <n v="137.22964289083436"/>
    <n v="272.57640045166016"/>
    <x v="1957"/>
    <n v="0"/>
    <s v="Tesla Inc."/>
    <s v="Consumer Discretionary"/>
  </r>
  <r>
    <x v="105"/>
    <n v="357.08999633789063"/>
    <n v="360"/>
    <n v="351.14999389648438"/>
    <n v="352.3800048828125"/>
    <n v="77986500"/>
    <x v="4"/>
    <n v="3.4563659025395044"/>
    <n v="141.97280147588987"/>
    <n v="274.95320037841799"/>
    <x v="1958"/>
    <n v="0"/>
    <s v="Tesla Inc."/>
    <s v="Consumer Discretionary"/>
  </r>
  <r>
    <x v="106"/>
    <n v="351.42001342773438"/>
    <n v="355.69000244140625"/>
    <n v="348.20001220703125"/>
    <n v="351.79998779296875"/>
    <n v="58267200"/>
    <x v="4"/>
    <n v="-1.5878302299992542"/>
    <n v="139.71851441567887"/>
    <n v="276.98160064697265"/>
    <x v="1959"/>
    <n v="0"/>
    <s v="Tesla Inc."/>
    <s v="Consumer Discretionary"/>
  </r>
  <r>
    <x v="107"/>
    <n v="357.92999267578125"/>
    <n v="358.10000610351563"/>
    <n v="348.60000610351563"/>
    <n v="353"/>
    <n v="50810900"/>
    <x v="4"/>
    <n v="1.8524782309774723"/>
    <n v="142.30676947987442"/>
    <n v="279.05480041503904"/>
    <x v="1960"/>
    <n v="0"/>
    <s v="Tesla Inc."/>
    <s v="Consumer Discretionary"/>
  </r>
  <r>
    <x v="108"/>
    <n v="369.489990234375"/>
    <n v="375.42999267578131"/>
    <n v="359.5"/>
    <n v="359.8699951171875"/>
    <n v="81403600"/>
    <x v="4"/>
    <n v="3.2296811653515167"/>
    <n v="146.90282441078614"/>
    <n v="281.3042004394531"/>
    <x v="1961"/>
    <n v="0"/>
    <s v="Tesla Inc."/>
    <s v="Consumer Discretionary"/>
  </r>
  <r>
    <x v="109"/>
    <n v="389.22000122070313"/>
    <n v="389.489990234375"/>
    <n v="370.79998779296881"/>
    <n v="377.42001342773438"/>
    <n v="81455800"/>
    <x v="4"/>
    <n v="5.3397958017247005"/>
    <n v="154.74713526128826"/>
    <n v="284.00420043945314"/>
    <x v="1962"/>
    <n v="0"/>
    <s v="Tesla Inc."/>
    <s v="Consumer Discretionary"/>
  </r>
  <r>
    <x v="110"/>
    <n v="389.79000854492188"/>
    <n v="404.79998779296881"/>
    <n v="378.010009765625"/>
    <n v="397.6099853515625"/>
    <n v="96359200"/>
    <x v="4"/>
    <n v="0.14644862094215227"/>
    <n v="154.97376030682594"/>
    <n v="286.59080078124998"/>
    <x v="1963"/>
    <n v="0"/>
    <s v="Tesla Inc."/>
    <s v="Consumer Discretionary"/>
  </r>
  <r>
    <x v="111"/>
    <n v="400.989990234375"/>
    <n v="409.73001098632813"/>
    <n v="390.85000610351563"/>
    <n v="392.67999267578131"/>
    <n v="97563600"/>
    <x v="4"/>
    <n v="2.873337295448497"/>
    <n v="159.4266791598809"/>
    <n v="289.37800048828126"/>
    <x v="1964"/>
    <n v="0"/>
    <s v="Tesla Inc."/>
    <s v="Consumer Discretionary"/>
  </r>
  <r>
    <x v="112"/>
    <n v="424.76998901367188"/>
    <n v="424.8800048828125"/>
    <n v="402.3800048828125"/>
    <n v="409.70001220703131"/>
    <n v="104287600"/>
    <x v="4"/>
    <n v="5.9303222919349308"/>
    <n v="168.88119505339091"/>
    <n v="292.71300048828124"/>
    <x v="1965"/>
    <n v="0"/>
    <s v="Tesla Inc."/>
    <s v="Consumer Discretionary"/>
  </r>
  <r>
    <x v="113"/>
    <n v="418.10000610351563"/>
    <n v="429.29998779296881"/>
    <n v="415"/>
    <n v="424.83999633789063"/>
    <n v="87752200"/>
    <x v="4"/>
    <n v="-1.5702575706076027"/>
    <n v="166.22932530273246"/>
    <n v="296.09460052490232"/>
    <x v="1966"/>
    <n v="0"/>
    <s v="Tesla Inc."/>
    <s v="Consumer Discretionary"/>
  </r>
  <r>
    <x v="114"/>
    <n v="436.23001098632813"/>
    <n v="436.29998779296881"/>
    <n v="415.70999145507813"/>
    <n v="420"/>
    <n v="89000200"/>
    <x v="4"/>
    <n v="4.3362842903962528"/>
    <n v="173.4375014218665"/>
    <n v="300.00600067138674"/>
    <x v="1967"/>
    <n v="0"/>
    <s v="Tesla Inc."/>
    <s v="Consumer Discretionary"/>
  </r>
  <r>
    <x v="115"/>
    <n v="463.01998901367188"/>
    <n v="463.19000244140631"/>
    <n v="436.14999389648438"/>
    <n v="441.08999633789063"/>
    <n v="114083800"/>
    <x v="4"/>
    <n v="6.1412505679677709"/>
    <n v="184.08873296300601"/>
    <n v="304.26480041503908"/>
    <x v="1968"/>
    <n v="0"/>
    <s v="Tesla Inc."/>
    <s v="Consumer Discretionary"/>
  </r>
  <r>
    <x v="116"/>
    <n v="463.01998901367188"/>
    <n v="483.989990234375"/>
    <n v="457.510009765625"/>
    <n v="475.89999389648438"/>
    <n v="131223000"/>
    <x v="4"/>
    <n v="0"/>
    <n v="184.08873296300601"/>
    <n v="308.70860015869141"/>
    <x v="1969"/>
    <n v="0"/>
    <s v="Tesla Inc."/>
    <s v="Consumer Discretionary"/>
  </r>
  <r>
    <x v="117"/>
    <n v="440.1300048828125"/>
    <n v="488.54000854492188"/>
    <n v="427.010009765625"/>
    <n v="466.5"/>
    <n v="149340800"/>
    <x v="4"/>
    <n v="-4.943627634655634"/>
    <n v="174.98807148795942"/>
    <n v="312.62120025634766"/>
    <x v="1970"/>
    <n v="0"/>
    <s v="Tesla Inc."/>
    <s v="Consumer Discretionary"/>
  </r>
  <r>
    <x v="118"/>
    <n v="436.17001342773438"/>
    <n v="456.3599853515625"/>
    <n v="420.01998901367188"/>
    <n v="451.8800048828125"/>
    <n v="118566100"/>
    <x v="4"/>
    <n v="-0.89973221801419312"/>
    <n v="173.41364743110054"/>
    <n v="316.52360046386718"/>
    <x v="1971"/>
    <n v="0"/>
    <s v="Tesla Inc."/>
    <s v="Consumer Discretionary"/>
  </r>
  <r>
    <x v="119"/>
    <n v="421.05999755859375"/>
    <n v="447.07998657226563"/>
    <n v="417.6400146484375"/>
    <n v="425.510009765625"/>
    <n v="132216200"/>
    <x v="4"/>
    <n v="-3.4642491239586515"/>
    <n v="167.40616666914389"/>
    <n v="320.16940032958985"/>
    <x v="1972"/>
    <n v="0"/>
    <s v="Tesla Inc."/>
    <s v="Consumer Discretionary"/>
  </r>
  <r>
    <x v="120"/>
    <n v="430.60000610351563"/>
    <n v="434.510009765625"/>
    <n v="415.41000366210938"/>
    <n v="431"/>
    <n v="72698100"/>
    <x v="4"/>
    <n v="2.2657123925894362"/>
    <n v="171.19910893332565"/>
    <n v="324.42540039062499"/>
    <x v="1973"/>
    <n v="0"/>
    <s v="Tesla Inc."/>
    <s v="Consumer Discretionary"/>
  </r>
  <r>
    <x v="121"/>
    <n v="430.60000610351563"/>
    <n v="462.77999877929688"/>
    <n v="435.1400146484375"/>
    <n v="435.89999389648438"/>
    <n v="59551800"/>
    <x v="4"/>
    <n v="0"/>
    <n v="171.19910893332565"/>
    <n v="328.65420043945312"/>
    <x v="1974"/>
    <n v="0"/>
    <s v="Tesla Inc."/>
    <s v="Consumer Discretionary"/>
  </r>
  <r>
    <x v="122"/>
    <n v="454.1300048828125"/>
    <n v="465.32998657226563"/>
    <n v="451.01998901367188"/>
    <n v="465.16000366210938"/>
    <n v="76366400"/>
    <x v="4"/>
    <n v="5.464467822984731"/>
    <n v="180.55422915422378"/>
    <n v="333.345400390625"/>
    <x v="1975"/>
    <n v="0"/>
    <s v="Tesla Inc."/>
    <s v="Consumer Discretionary"/>
  </r>
  <r>
    <x v="123"/>
    <n v="431.66000366210938"/>
    <n v="450"/>
    <n v="426.5"/>
    <n v="449.51998901367188"/>
    <n v="82666800"/>
    <x v="4"/>
    <n v="-4.9479226166748163"/>
    <n v="171.62054561453905"/>
    <n v="337.55200042724607"/>
    <x v="1976"/>
    <n v="0"/>
    <s v="Tesla Inc."/>
    <s v="Consumer Discretionary"/>
  </r>
  <r>
    <x v="124"/>
    <n v="417.41000366210938"/>
    <n v="427"/>
    <n v="415.75"/>
    <n v="419.39999389648438"/>
    <n v="64941000"/>
    <x v="4"/>
    <n v="-3.301209257078741"/>
    <n v="165.95499227566285"/>
    <n v="341.48240051269534"/>
    <x v="1977"/>
    <n v="0"/>
    <s v="Tesla Inc."/>
    <s v="Consumer Discretionary"/>
  </r>
  <r>
    <x v="125"/>
    <n v="403.83999633789063"/>
    <n v="427.92999267578131"/>
    <n v="402.54000854492188"/>
    <n v="423.79000854492188"/>
    <n v="76825100"/>
    <x v="4"/>
    <n v="-3.2510019417751113"/>
    <n v="160.55979225430832"/>
    <n v="345.14520050048827"/>
    <x v="1978"/>
    <n v="0"/>
    <s v="Tesla Inc."/>
    <s v="Consumer Discretionary"/>
  </r>
  <r>
    <x v="126"/>
    <n v="379.27999877929688"/>
    <n v="392.73001098632813"/>
    <n v="373.04000854492188"/>
    <n v="390.10000610351563"/>
    <n v="109710700"/>
    <x v="4"/>
    <n v="-6.0816159323764829"/>
    <n v="150.79516234757972"/>
    <n v="348.35380035400391"/>
    <x v="1979"/>
    <n v="0"/>
    <s v="Tesla Inc."/>
    <s v="Consumer Discretionary"/>
  </r>
  <r>
    <x v="127"/>
    <n v="410.44000244140631"/>
    <n v="411.8800048828125"/>
    <n v="379.45001220703131"/>
    <n v="381.48001098632813"/>
    <n v="95423300"/>
    <x v="4"/>
    <n v="8.2155673282000343"/>
    <n v="163.18384043791369"/>
    <n v="352.20320037841799"/>
    <x v="1980"/>
    <n v="0"/>
    <s v="Tesla Inc."/>
    <s v="Consumer Discretionary"/>
  </r>
  <r>
    <x v="128"/>
    <n v="411.04998779296881"/>
    <n v="426.42999267578131"/>
    <n v="401.70001220703131"/>
    <n v="423.20001220703131"/>
    <n v="85516500"/>
    <x v="4"/>
    <n v="0.14861742226248698"/>
    <n v="163.42636005512145"/>
    <n v="356.15120025634764"/>
    <x v="1981"/>
    <n v="0"/>
    <s v="Tesla Inc."/>
    <s v="Consumer Discretionary"/>
  </r>
  <r>
    <x v="129"/>
    <n v="394.3599853515625"/>
    <n v="414.32998657226563"/>
    <n v="390"/>
    <n v="405.82998657226563"/>
    <n v="75699500"/>
    <x v="4"/>
    <n v="-4.0603340073111616"/>
    <n v="156.79070398089257"/>
    <n v="358.82879974365233"/>
    <x v="1982"/>
    <n v="0"/>
    <s v="Tesla Inc."/>
    <s v="Consumer Discretionary"/>
  </r>
  <r>
    <x v="130"/>
    <n v="394.94000244140631"/>
    <n v="402.5"/>
    <n v="387.39999389648438"/>
    <n v="392.95001220703131"/>
    <n v="73038800"/>
    <x v="4"/>
    <n v="0.14707807875760093"/>
    <n v="157.02130873597818"/>
    <n v="361.51799957275392"/>
    <x v="1983"/>
    <n v="0"/>
    <s v="Tesla Inc."/>
    <s v="Consumer Discretionary"/>
  </r>
  <r>
    <x v="131"/>
    <n v="394.739990234375"/>
    <n v="399.27999877929688"/>
    <n v="377.29000854492188"/>
    <n v="391.39999389648438"/>
    <n v="62287300"/>
    <x v="4"/>
    <n v="-5.0643694180096954E-2"/>
    <n v="156.94178734458433"/>
    <n v="364.16259918212893"/>
    <x v="1984"/>
    <n v="0"/>
    <s v="Tesla Inc."/>
    <s v="Consumer Discretionary"/>
  </r>
  <r>
    <x v="132"/>
    <n v="403.30999755859375"/>
    <n v="403.79000854492188"/>
    <n v="380.07000732421881"/>
    <n v="383.20999145507813"/>
    <n v="67580500"/>
    <x v="4"/>
    <n v="2.1710512074366584"/>
    <n v="160.3490739137016"/>
    <n v="367.03839935302733"/>
    <x v="1985"/>
    <n v="0"/>
    <s v="Tesla Inc."/>
    <s v="Consumer Discretionary"/>
  </r>
  <r>
    <x v="133"/>
    <n v="396.3599853515625"/>
    <n v="422.6400146484375"/>
    <n v="394.54000854492188"/>
    <n v="414.33999633789063"/>
    <n v="84565000"/>
    <x v="4"/>
    <n v="-1.7232432245921525"/>
    <n v="157.58586936178747"/>
    <n v="369.81459930419919"/>
    <x v="1986"/>
    <n v="0"/>
    <s v="Tesla Inc."/>
    <s v="Consumer Discretionary"/>
  </r>
  <r>
    <x v="134"/>
    <n v="428.22000122070313"/>
    <n v="429.79998779296881"/>
    <n v="405.66000366210938"/>
    <n v="409.89999389648438"/>
    <n v="81375500"/>
    <x v="4"/>
    <n v="8.0381514397527951"/>
    <n v="170.25286018873896"/>
    <n v="373.38199920654296"/>
    <x v="1987"/>
    <n v="0"/>
    <s v="Tesla Inc."/>
    <s v="Consumer Discretionary"/>
  </r>
  <r>
    <x v="135"/>
    <n v="413.82000732421881"/>
    <n v="424"/>
    <n v="409.1300048828125"/>
    <n v="423.489990234375"/>
    <n v="68335200"/>
    <x v="4"/>
    <n v="-3.3627560262096678"/>
    <n v="164.52767187294782"/>
    <n v="376.67879943847657"/>
    <x v="1988"/>
    <n v="0"/>
    <s v="Tesla Inc."/>
    <s v="Consumer Discretionary"/>
  </r>
  <r>
    <x v="136"/>
    <n v="426.5"/>
    <n v="439.739990234375"/>
    <n v="419.75"/>
    <n v="421.5"/>
    <n v="94991400"/>
    <x v="4"/>
    <n v="3.0641323404759113"/>
    <n v="169.5690174758389"/>
    <n v="380.35199951171876"/>
    <x v="1989"/>
    <n v="0"/>
    <s v="Tesla Inc."/>
    <s v="Consumer Discretionary"/>
  </r>
  <r>
    <x v="137"/>
    <n v="424.07000732421881"/>
    <n v="433.20001220703131"/>
    <n v="406.30999755859375"/>
    <n v="432.6400146484375"/>
    <n v="87320900"/>
    <x v="4"/>
    <n v="-0.56975209279747085"/>
    <n v="168.6028944500342"/>
    <n v="383.80459960937497"/>
    <x v="1990"/>
    <n v="0"/>
    <s v="Tesla Inc."/>
    <s v="Consumer Discretionary"/>
  </r>
  <r>
    <x v="138"/>
    <n v="415.1099853515625"/>
    <n v="428"/>
    <n v="414.58999633789063"/>
    <n v="416.80999755859375"/>
    <n v="60963300"/>
    <x v="4"/>
    <n v="-2.112863871036752"/>
    <n v="165.04054480767724"/>
    <n v="386.33619934082031"/>
    <x v="1991"/>
    <n v="0"/>
    <s v="Tesla Inc."/>
    <s v="Consumer Discretionary"/>
  </r>
  <r>
    <x v="139"/>
    <n v="412.3800048828125"/>
    <n v="420.73001098632813"/>
    <n v="408.95001220703131"/>
    <n v="416.05999755859375"/>
    <n v="50690600"/>
    <x v="4"/>
    <n v="-0.65765232470569313"/>
    <n v="163.9551518280426"/>
    <n v="388.64559936523438"/>
    <x v="1992"/>
    <n v="0"/>
    <s v="Tesla Inc."/>
    <s v="Consumer Discretionary"/>
  </r>
  <r>
    <x v="140"/>
    <n v="406.57998657226563"/>
    <n v="418.8800048828125"/>
    <n v="405.77999877929688"/>
    <n v="414.45001220703131"/>
    <n v="56427100"/>
    <x v="4"/>
    <n v="-1.4064741844588391"/>
    <n v="161.64916494349086"/>
    <n v="390.35279907226561"/>
    <x v="1993"/>
    <n v="0"/>
    <s v="Tesla Inc."/>
    <s v="Consumer Discretionary"/>
  </r>
  <r>
    <x v="141"/>
    <n v="397.14999389648438"/>
    <n v="406.69000244140631"/>
    <n v="389"/>
    <n v="394.79998779296881"/>
    <n v="58125500"/>
    <x v="4"/>
    <n v="-2.3193450212053546"/>
    <n v="157.89996308455397"/>
    <n v="391.29579895019532"/>
    <x v="1994"/>
    <n v="0"/>
    <s v="Tesla Inc."/>
    <s v="Consumer Discretionary"/>
  </r>
  <r>
    <x v="142"/>
    <n v="398.08999633789063"/>
    <n v="400.58999633789063"/>
    <n v="386.5"/>
    <n v="396.91000366210938"/>
    <n v="48910700"/>
    <x v="4"/>
    <n v="0.23668700890153715"/>
    <n v="158.27369178423544"/>
    <n v="392.68779907226565"/>
    <x v="1995"/>
    <n v="0"/>
    <s v="Tesla Inc."/>
    <s v="Consumer Discretionary"/>
  </r>
  <r>
    <x v="143"/>
    <n v="389.10000610351563"/>
    <n v="398.58999633789063"/>
    <n v="384.48001098632813"/>
    <n v="395.20999145507813"/>
    <n v="68033600"/>
    <x v="4"/>
    <n v="-2.2582808704252111"/>
    <n v="154.69942727975632"/>
    <n v="393.86499938964846"/>
    <x v="1996"/>
    <n v="0"/>
    <s v="Tesla Inc."/>
    <s v="Consumer Discretionary"/>
  </r>
  <r>
    <x v="144"/>
    <n v="400.27999877929688"/>
    <n v="412.5"/>
    <n v="384.41000366210938"/>
    <n v="410.77999877929688"/>
    <n v="98092900"/>
    <x v="4"/>
    <n v="2.8732954254456988"/>
    <n v="159.14439884697623"/>
    <n v="395.64699951171878"/>
    <x v="1997"/>
    <n v="0"/>
    <s v="Tesla Inc."/>
    <s v="Consumer Discretionary"/>
  </r>
  <r>
    <x v="145"/>
    <n v="404.60000610351563"/>
    <n v="419.989990234375"/>
    <n v="401.33999633789063"/>
    <n v="401.52999877929688"/>
    <n v="83283600"/>
    <x v="4"/>
    <n v="1.0792463618949588"/>
    <n v="160.86195898169186"/>
    <n v="397.32459960937501"/>
    <x v="1998"/>
    <n v="0"/>
    <s v="Tesla Inc."/>
    <s v="Consumer Discretionary"/>
  </r>
  <r>
    <x v="146"/>
    <n v="383.67999267578131"/>
    <n v="389.17001342773438"/>
    <n v="374.3599853515625"/>
    <n v="386.67999267578131"/>
    <n v="93732100"/>
    <x v="4"/>
    <n v="-5.1705420445253285"/>
    <n v="152.54452375889639"/>
    <n v="398.22339965820311"/>
    <x v="1999"/>
    <n v="0"/>
    <s v="Tesla Inc."/>
    <s v="Consumer Discretionary"/>
  </r>
  <r>
    <x v="147"/>
    <n v="392.20999145507813"/>
    <n v="394"/>
    <n v="381.39999389648438"/>
    <n v="382.6300048828125"/>
    <n v="57072200"/>
    <x v="4"/>
    <n v="2.2232065633156051"/>
    <n v="155.93590362308271"/>
    <n v="399.14759948730466"/>
    <x v="2000"/>
    <n v="0"/>
    <s v="Tesla Inc."/>
    <s v="Consumer Discretionary"/>
  </r>
  <r>
    <x v="148"/>
    <n v="378.17001342773438"/>
    <n v="388.3900146484375"/>
    <n v="375.52999877929688"/>
    <n v="387.510009765625"/>
    <n v="57223300"/>
    <x v="4"/>
    <n v="-3.5797094243459227"/>
    <n v="150.35385138514823"/>
    <n v="399.87039978027343"/>
    <x v="2001"/>
    <n v="0"/>
    <s v="Tesla Inc."/>
    <s v="Consumer Discretionary"/>
  </r>
  <r>
    <x v="149"/>
    <n v="374.32000732421881"/>
    <n v="375.39999389648438"/>
    <n v="363.17999267578131"/>
    <n v="373.02999877929688"/>
    <n v="77918200"/>
    <x v="4"/>
    <n v="-1.0180622383618165"/>
    <n v="148.8231556002734"/>
    <n v="400.56399963378908"/>
    <x v="2002"/>
    <n v="0"/>
    <s v="Tesla Inc."/>
    <s v="Consumer Discretionary"/>
  </r>
  <r>
    <x v="150"/>
    <n v="361.6199951171875"/>
    <n v="380.54998779296881"/>
    <n v="360.33999633789063"/>
    <n v="370.19000244140631"/>
    <n v="70298300"/>
    <x v="4"/>
    <n v="-3.3928221731496011"/>
    <n v="143.77385057828639"/>
    <n v="400.74519958496091"/>
    <x v="2003"/>
    <n v="0"/>
    <s v="Tesla Inc."/>
    <s v="Consumer Discretionary"/>
  </r>
  <r>
    <x v="151"/>
    <n v="350.73001098632813"/>
    <n v="362.70001220703131"/>
    <n v="350.510009765625"/>
    <n v="356.20999145507813"/>
    <n v="77514900"/>
    <x v="4"/>
    <n v="-3.0114441341470455"/>
    <n v="139.44418138860925"/>
    <n v="400.98799987792967"/>
    <x v="2004"/>
    <n v="0"/>
    <s v="Tesla Inc."/>
    <s v="Consumer Discretionary"/>
  </r>
  <r>
    <x v="152"/>
    <n v="328.5"/>
    <n v="349.3699951171875"/>
    <n v="325.10000610351563"/>
    <n v="345.79998779296875"/>
    <n v="118543400"/>
    <x v="4"/>
    <n v="-6.3382118125028919"/>
    <n v="130.60591381198847"/>
    <n v="400.7933996582031"/>
    <x v="2005"/>
    <n v="0"/>
    <s v="Tesla Inc."/>
    <s v="Consumer Discretionary"/>
  </r>
  <r>
    <x v="153"/>
    <n v="336.510009765625"/>
    <n v="346.39999389648438"/>
    <n v="329.1199951171875"/>
    <n v="329.94000244140625"/>
    <n v="105382700"/>
    <x v="4"/>
    <n v="2.4383591371765601"/>
    <n v="133.79055504511604"/>
    <n v="400.75899963378907"/>
    <x v="2006"/>
    <n v="0"/>
    <s v="Tesla Inc."/>
    <s v="Consumer Discretionary"/>
  </r>
  <r>
    <x v="154"/>
    <n v="355.94000244140625"/>
    <n v="358.69000244140625"/>
    <n v="342.85000610351563"/>
    <n v="345"/>
    <n v="89441500"/>
    <x v="4"/>
    <n v="5.7739716834319443"/>
    <n v="141.51558380852745"/>
    <n v="400.97459960937499"/>
    <x v="2007"/>
    <n v="0"/>
    <s v="Tesla Inc."/>
    <s v="Consumer Discretionary"/>
  </r>
  <r>
    <x v="155"/>
    <n v="355.83999633789063"/>
    <n v="362"/>
    <n v="347.5"/>
    <n v="360.6199951171875"/>
    <n v="68277300"/>
    <x v="4"/>
    <n v="-2.8096337256189319E-2"/>
    <n v="141.47582311283054"/>
    <n v="400.94959960937501"/>
    <x v="2008"/>
    <n v="0"/>
    <s v="Tesla Inc."/>
    <s v="Consumer Discretionary"/>
  </r>
  <r>
    <x v="156"/>
    <n v="354.1099853515625"/>
    <n v="359.10000610351563"/>
    <n v="350.01998901367188"/>
    <n v="355.010009765625"/>
    <n v="51631700"/>
    <x v="4"/>
    <n v="-0.48617665358937634"/>
    <n v="140.78800069038255"/>
    <n v="401.00339904785159"/>
    <x v="2009"/>
    <n v="0"/>
    <s v="Tesla Inc."/>
    <s v="Consumer Discretionary"/>
  </r>
  <r>
    <x v="157"/>
    <n v="360.55999755859375"/>
    <n v="367.33999633789063"/>
    <n v="353.67001342773438"/>
    <n v="354"/>
    <n v="67094400"/>
    <x v="4"/>
    <n v="1.8214714280444966"/>
    <n v="143.35241389707295"/>
    <n v="401.05599914550783"/>
    <x v="2010"/>
    <n v="0"/>
    <s v="Tesla Inc."/>
    <s v="Consumer Discretionary"/>
  </r>
  <r>
    <x v="158"/>
    <n v="354.39999389648438"/>
    <n v="362.29998779296881"/>
    <n v="348"/>
    <n v="361.510009765625"/>
    <n v="45965400"/>
    <x v="4"/>
    <n v="-1.708454543992588"/>
    <n v="140.90330306792535"/>
    <n v="400.75419921874999"/>
    <x v="2011"/>
    <n v="0"/>
    <s v="Tesla Inc."/>
    <s v="Consumer Discretionary"/>
  </r>
  <r>
    <x v="159"/>
    <n v="337.79998779296875"/>
    <n v="354.98001098632813"/>
    <n v="334.42001342773438"/>
    <n v="353.44000244140625"/>
    <n v="74058600"/>
    <x v="4"/>
    <n v="-4.6839747148427646"/>
    <n v="134.30342797984545"/>
    <n v="399.72579895019533"/>
    <x v="2012"/>
    <n v="0"/>
    <s v="Tesla Inc."/>
    <s v="Consumer Discretionary"/>
  </r>
  <r>
    <x v="160"/>
    <n v="330.52999877929688"/>
    <n v="342.39999389648438"/>
    <n v="324.70001220703125"/>
    <n v="338.1400146484375"/>
    <n v="76052300"/>
    <x v="4"/>
    <n v="-2.1521578674915554"/>
    <n v="131.41300618826637"/>
    <n v="398.54059875488281"/>
    <x v="2013"/>
    <n v="0"/>
    <s v="Tesla Inc."/>
    <s v="Consumer Discretionary"/>
  </r>
  <r>
    <x v="161"/>
    <n v="302.79998779296875"/>
    <n v="328.8900146484375"/>
    <n v="297.25"/>
    <n v="327.01998901367188"/>
    <n v="134228800"/>
    <x v="4"/>
    <n v="-8.3895595222036601"/>
    <n v="120.3880338141846"/>
    <n v="396.57679870605466"/>
    <x v="2014"/>
    <n v="0"/>
    <s v="Tesla Inc."/>
    <s v="Consumer Discretionary"/>
  </r>
  <r>
    <x v="162"/>
    <n v="290.79998779296875"/>
    <n v="309"/>
    <n v="288.04000854492188"/>
    <n v="303.70999145507813"/>
    <n v="100118300"/>
    <x v="4"/>
    <n v="-3.9630120487999076"/>
    <n v="115.61704152881514"/>
    <n v="393.89739868164065"/>
    <x v="2015"/>
    <n v="0"/>
    <s v="Tesla Inc."/>
    <s v="Consumer Discretionary"/>
  </r>
  <r>
    <x v="163"/>
    <n v="281.95001220703125"/>
    <n v="297.23001098632813"/>
    <n v="280.8800048828125"/>
    <n v="291.16000366210938"/>
    <n v="101748200"/>
    <x v="4"/>
    <n v="-3.0433204805490277"/>
    <n v="112.09844442496384"/>
    <n v="391.17439880371091"/>
    <x v="2016"/>
    <n v="0"/>
    <s v="Tesla Inc."/>
    <s v="Consumer Discretionary"/>
  </r>
  <r>
    <x v="164"/>
    <n v="292.98001098632813"/>
    <n v="293.8800048828125"/>
    <n v="273.60000610351563"/>
    <n v="279.5"/>
    <n v="115697000"/>
    <x v="4"/>
    <n v="3.9120405397243818"/>
    <n v="116.48378101526882"/>
    <n v="388.30939880371096"/>
    <x v="2017"/>
    <n v="0"/>
    <s v="Tesla Inc."/>
    <s v="Consumer Discretionary"/>
  </r>
  <r>
    <x v="165"/>
    <n v="284.64999389648438"/>
    <n v="303.94000244140625"/>
    <n v="277.29998779296875"/>
    <n v="300.33999633789063"/>
    <n v="115551400"/>
    <x v="4"/>
    <n v="-2.8432032143764441"/>
    <n v="113.17191040921546"/>
    <n v="384.7419989013672"/>
    <x v="2018"/>
    <n v="0"/>
    <s v="Tesla Inc."/>
    <s v="Consumer Discretionary"/>
  </r>
  <r>
    <x v="166"/>
    <n v="272.04000854492188"/>
    <n v="284.35000610351563"/>
    <n v="261.83999633789063"/>
    <n v="270.92999267578125"/>
    <n v="126706600"/>
    <x v="4"/>
    <n v="-4.4299967054094669"/>
    <n v="108.15839850663826"/>
    <n v="380.92239929199218"/>
    <x v="2019"/>
    <n v="0"/>
    <s v="Tesla Inc."/>
    <s v="Consumer Discretionary"/>
  </r>
  <r>
    <x v="167"/>
    <n v="279.10000610351563"/>
    <n v="279.54998779296875"/>
    <n v="267.70999145507813"/>
    <n v="272.92001342773438"/>
    <n v="94042900"/>
    <x v="4"/>
    <n v="2.5952056083059283"/>
    <n v="110.96533133053643"/>
    <n v="377.70179931640627"/>
    <x v="2020"/>
    <n v="0"/>
    <s v="Tesla Inc."/>
    <s v="Consumer Discretionary"/>
  </r>
  <r>
    <x v="168"/>
    <n v="263.45001220703125"/>
    <n v="272.64999389648438"/>
    <n v="260.01998901367188"/>
    <n v="272.05999755859369"/>
    <n v="98451600"/>
    <x v="4"/>
    <n v="-5.6073068986891901"/>
    <n v="104.74316465168594"/>
    <n v="374.24739929199217"/>
    <x v="2021"/>
    <n v="0"/>
    <s v="Tesla Inc."/>
    <s v="Consumer Discretionary"/>
  </r>
  <r>
    <x v="169"/>
    <n v="262.67001342773438"/>
    <n v="266.25"/>
    <n v="250.72999572753903"/>
    <n v="259.32000732421875"/>
    <n v="102369600"/>
    <x v="4"/>
    <n v="-0.29607088371812473"/>
    <n v="104.43305063846738"/>
    <n v="371.07959960937501"/>
    <x v="2022"/>
    <n v="0"/>
    <s v="Tesla Inc."/>
    <s v="Consumer Discretionary"/>
  </r>
  <r>
    <x v="170"/>
    <n v="222.1499938964844"/>
    <n v="253.3699951171875"/>
    <n v="220"/>
    <n v="252.53999328613281"/>
    <n v="189076900"/>
    <x v="4"/>
    <n v="-15.426206822195109"/>
    <n v="88.322992256249634"/>
    <n v="366.91059936523436"/>
    <x v="2023"/>
    <n v="1"/>
    <s v="Tesla Inc."/>
    <s v="Consumer Discretionary"/>
  </r>
  <r>
    <x v="171"/>
    <n v="230.58000183105469"/>
    <n v="237.05999755859369"/>
    <n v="217.02000427246091"/>
    <n v="225.30999755859369"/>
    <n v="174896400"/>
    <x v="4"/>
    <n v="3.7947369642955975"/>
    <n v="91.674617491369474"/>
    <n v="362.91019927978516"/>
    <x v="2024"/>
    <n v="0"/>
    <s v="Tesla Inc."/>
    <s v="Consumer Discretionary"/>
  </r>
  <r>
    <x v="172"/>
    <n v="248.08999633789065"/>
    <n v="251.83999633789065"/>
    <n v="241.1000061035156"/>
    <n v="247.22000122070313"/>
    <n v="142215700"/>
    <x v="4"/>
    <n v="7.5938912168391326"/>
    <n v="98.636288217117439"/>
    <n v="358.7893991088867"/>
    <x v="2025"/>
    <n v="0"/>
    <s v="Tesla Inc."/>
    <s v="Consumer Discretionary"/>
  </r>
  <r>
    <x v="173"/>
    <n v="240.67999267578125"/>
    <n v="248.28999328613281"/>
    <n v="232.6000061035156"/>
    <n v="248.1300048828125"/>
    <n v="114813500"/>
    <x v="4"/>
    <n v="-2.9868208196582091"/>
    <n v="95.690199024910498"/>
    <n v="354.96979888916013"/>
    <x v="2026"/>
    <n v="0"/>
    <s v="Tesla Inc."/>
    <s v="Consumer Discretionary"/>
  </r>
  <r>
    <x v="174"/>
    <n v="249.97999572753903"/>
    <n v="251.58000183105469"/>
    <n v="240.72999572753903"/>
    <n v="247.30999755859369"/>
    <n v="100242300"/>
    <x v="4"/>
    <n v="3.8640532386444715"/>
    <n v="99.387719259397883"/>
    <n v="351.62119873046873"/>
    <x v="2027"/>
    <n v="0"/>
    <s v="Tesla Inc."/>
    <s v="Consumer Discretionary"/>
  </r>
  <r>
    <x v="175"/>
    <n v="238.00999450683599"/>
    <n v="245.3999938964844"/>
    <n v="232.80000305175781"/>
    <n v="245.05999755859369"/>
    <n v="111900600"/>
    <x v="4"/>
    <n v="-4.788383640805205"/>
    <n v="94.628653969411474"/>
    <n v="348.30459869384765"/>
    <x v="2028"/>
    <n v="0"/>
    <s v="Tesla Inc."/>
    <s v="Consumer Discretionary"/>
  </r>
  <r>
    <x v="176"/>
    <n v="225.30999755859369"/>
    <n v="230.1000061035156"/>
    <n v="222.27999877929688"/>
    <n v="228.16000366210929"/>
    <n v="111477600"/>
    <x v="4"/>
    <n v="-5.3359090968247314"/>
    <n v="89.579355014054855"/>
    <n v="345.22519866943361"/>
    <x v="2029"/>
    <n v="0"/>
    <s v="Tesla Inc."/>
    <s v="Consumer Discretionary"/>
  </r>
  <r>
    <x v="177"/>
    <n v="235.86000061035159"/>
    <n v="241.41000366210929"/>
    <n v="229.19999694824219"/>
    <n v="231.61000061035159"/>
    <n v="111993800"/>
    <x v="4"/>
    <n v="4.6824389357219998"/>
    <n v="93.773853611601595"/>
    <n v="341.73359863281252"/>
    <x v="2030"/>
    <n v="0"/>
    <s v="Tesla Inc."/>
    <s v="Consumer Discretionary"/>
  </r>
  <r>
    <x v="178"/>
    <n v="236.25999450683599"/>
    <n v="238"/>
    <n v="230.05000305175781"/>
    <n v="233.3500061035156"/>
    <n v="99028300"/>
    <x v="4"/>
    <n v="0.16958954271573123"/>
    <n v="93.932884261128436"/>
    <n v="338.23779876708983"/>
    <x v="2031"/>
    <n v="0"/>
    <s v="Tesla Inc."/>
    <s v="Consumer Discretionary"/>
  </r>
  <r>
    <x v="179"/>
    <n v="248.71000671386719"/>
    <n v="249.52000427246091"/>
    <n v="234.55000305175781"/>
    <n v="234.99000549316409"/>
    <n v="132728700"/>
    <x v="4"/>
    <n v="5.2696235065183394"/>
    <n v="98.882793610503526"/>
    <n v="335.32479919433592"/>
    <x v="2032"/>
    <n v="0"/>
    <s v="Tesla Inc."/>
    <s v="Consumer Discretionary"/>
  </r>
  <r>
    <x v="180"/>
    <n v="278.3900146484375"/>
    <n v="278.6400146484375"/>
    <n v="256.32998657226563"/>
    <n v="258.07998657226563"/>
    <n v="169079900"/>
    <x v="4"/>
    <n v="11.933580126800525"/>
    <n v="110.68305101763175"/>
    <n v="332.99379943847663"/>
    <x v="2033"/>
    <n v="0"/>
    <s v="Tesla Inc."/>
    <s v="Consumer Discretionary"/>
  </r>
  <r>
    <x v="181"/>
    <n v="288.1400146484375"/>
    <n v="288.20001220703125"/>
    <n v="271.27999877929688"/>
    <n v="283.60000610351563"/>
    <n v="150361500"/>
    <x v="4"/>
    <n v="3.5022807884516727"/>
    <n v="114.55948224949444"/>
    <n v="330.86179992675784"/>
    <x v="2034"/>
    <n v="0"/>
    <s v="Tesla Inc."/>
    <s v="Consumer Discretionary"/>
  </r>
  <r>
    <x v="182"/>
    <n v="272.05999755859369"/>
    <n v="284.89999389648438"/>
    <n v="266.510009765625"/>
    <n v="282.66000366210938"/>
    <n v="153629800"/>
    <x v="4"/>
    <n v="-5.5806261790689486"/>
    <n v="108.16634579247331"/>
    <n v="328.23679992675784"/>
    <x v="2035"/>
    <n v="0"/>
    <s v="Tesla Inc."/>
    <s v="Consumer Discretionary"/>
  </r>
  <r>
    <x v="183"/>
    <n v="273.1300048828125"/>
    <n v="291.85000610351563"/>
    <n v="271.82000732421875"/>
    <n v="272.48001098632813"/>
    <n v="162572100"/>
    <x v="4"/>
    <n v="0.39329829222261026"/>
    <n v="108.59176218323469"/>
    <n v="325.77220031738284"/>
    <x v="2036"/>
    <n v="0"/>
    <s v="Tesla Inc."/>
    <s v="Consumer Discretionary"/>
  </r>
  <r>
    <x v="184"/>
    <n v="263.54998779296875"/>
    <n v="276.10000610351563"/>
    <n v="260.57000732421875"/>
    <n v="275.57998657226563"/>
    <n v="123809400"/>
    <x v="4"/>
    <n v="-3.5074934714529382"/>
    <n v="104.78291321412203"/>
    <n v="322.47880004882813"/>
    <x v="2037"/>
    <n v="0"/>
    <s v="Tesla Inc."/>
    <s v="Consumer Discretionary"/>
  </r>
  <r>
    <x v="185"/>
    <n v="259.16000366210938"/>
    <n v="260.55999755859369"/>
    <n v="243.36000061035159"/>
    <n v="249.30999755859369"/>
    <n v="134008900"/>
    <x v="4"/>
    <n v="-1.6657121359109794"/>
    <n v="103.03753151235333"/>
    <n v="319.38559997558593"/>
    <x v="2038"/>
    <n v="0"/>
    <s v="Tesla Inc."/>
    <s v="Consumer Discretionary"/>
  </r>
  <r>
    <x v="186"/>
    <n v="268.45999145507813"/>
    <n v="277.45001220703125"/>
    <n v="259.25"/>
    <n v="263.79998779296875"/>
    <n v="146486900"/>
    <x v="4"/>
    <n v="3.5885119854736525"/>
    <n v="106.73504568021033"/>
    <n v="316.22479980468751"/>
    <x v="2039"/>
    <n v="0"/>
    <s v="Tesla Inc."/>
    <s v="Consumer Discretionary"/>
  </r>
  <r>
    <x v="187"/>
    <n v="282.760009765625"/>
    <n v="284.989990234375"/>
    <n v="251.27000427246091"/>
    <n v="254.6000061035156"/>
    <n v="212787800"/>
    <x v="4"/>
    <n v="5.3266850799776222"/>
    <n v="112.4204854335654"/>
    <n v="313.39859985351563"/>
    <x v="2040"/>
    <n v="0"/>
    <s v="Tesla Inc."/>
    <s v="Consumer Discretionary"/>
  </r>
  <r>
    <x v="188"/>
    <n v="267.27999877929688"/>
    <n v="276.29998779296875"/>
    <n v="261.510009765625"/>
    <n v="265.29000854492188"/>
    <n v="136174300"/>
    <x v="4"/>
    <n v="-5.4746111372535484"/>
    <n v="106.26590101746494"/>
    <n v="310.44200012207034"/>
    <x v="2041"/>
    <n v="0"/>
    <s v="Tesla Inc."/>
    <s v="Consumer Discretionary"/>
  </r>
  <r>
    <x v="189"/>
    <n v="239.42999267578125"/>
    <n v="261"/>
    <n v="236"/>
    <n v="255.3800048828125"/>
    <n v="181229400"/>
    <x v="4"/>
    <n v="-10.419786826814681"/>
    <n v="95.193220661851186"/>
    <n v="306.98299987792973"/>
    <x v="2042"/>
    <n v="0"/>
    <s v="Tesla Inc."/>
    <s v="Consumer Discretionary"/>
  </r>
  <r>
    <x v="190"/>
    <n v="233.28999328613281"/>
    <n v="252"/>
    <n v="214.25"/>
    <n v="223.77999877929688"/>
    <n v="183453800"/>
    <x v="4"/>
    <n v="-2.5644236634809525"/>
    <n v="92.75206318516905"/>
    <n v="303.51720001220701"/>
    <x v="2043"/>
    <n v="0"/>
    <s v="Tesla Inc."/>
    <s v="Consumer Discretionary"/>
  </r>
  <r>
    <x v="191"/>
    <n v="221.86000061035159"/>
    <n v="250.44000244140625"/>
    <n v="217.80000305175781"/>
    <n v="245"/>
    <n v="171603500"/>
    <x v="4"/>
    <n v="-4.8994783337158454"/>
    <n v="88.20769594533725"/>
    <n v="300.01140014648439"/>
    <x v="2044"/>
    <n v="0"/>
    <s v="Tesla Inc."/>
    <s v="Consumer Discretionary"/>
  </r>
  <r>
    <x v="192"/>
    <n v="272.20001220703125"/>
    <n v="274.69000244140625"/>
    <n v="223.8800048828125"/>
    <n v="224.69000244140625"/>
    <n v="219433400"/>
    <x v="4"/>
    <n v="22.689989839624513"/>
    <n v="108.22201319310116"/>
    <n v="297.49360046386721"/>
    <x v="2045"/>
    <n v="0"/>
    <s v="Tesla Inc."/>
    <s v="Consumer Discretionary"/>
  </r>
  <r>
    <x v="193"/>
    <n v="252.3999938964844"/>
    <n v="262.489990234375"/>
    <n v="239.33000183105469"/>
    <n v="260"/>
    <n v="181722600"/>
    <x v="4"/>
    <n v="-7.2740695894926155"/>
    <n v="100.3498686422851"/>
    <n v="294.75960021972656"/>
    <x v="2046"/>
    <n v="0"/>
    <s v="Tesla Inc."/>
    <s v="Consumer Discretionary"/>
  </r>
  <r>
    <x v="194"/>
    <n v="252.30999755859369"/>
    <n v="257.739990234375"/>
    <n v="241.36000061035159"/>
    <n v="251.83999633789065"/>
    <n v="128948100"/>
    <x v="4"/>
    <n v="-3.5656236159664623E-2"/>
    <n v="100.3140876561361"/>
    <n v="291.80020019531253"/>
    <x v="2047"/>
    <n v="0"/>
    <s v="Tesla Inc."/>
    <s v="Consumer Discretionary"/>
  </r>
  <r>
    <x v="195"/>
    <n v="252.3500061035156"/>
    <n v="261.79998779296875"/>
    <n v="245.92999267578125"/>
    <n v="258.3599853515625"/>
    <n v="100135200"/>
    <x v="4"/>
    <n v="1.5856900364252802E-2"/>
    <n v="100.32999436106704"/>
    <n v="288.75520019531251"/>
    <x v="2048"/>
    <n v="0"/>
    <s v="Tesla Inc."/>
    <s v="Consumer Discretionary"/>
  </r>
  <r>
    <x v="196"/>
    <n v="254.11000061035159"/>
    <n v="258.75"/>
    <n v="247.53999328613281"/>
    <n v="249.91000366210929"/>
    <n v="79594300"/>
    <x v="4"/>
    <n v="0.69744183248168223"/>
    <n v="101.02973771226762"/>
    <n v="286.16380035400391"/>
    <x v="2049"/>
    <n v="0"/>
    <s v="Tesla Inc."/>
    <s v="Consumer Discretionary"/>
  </r>
  <r>
    <x v="197"/>
    <n v="241.55000305175781"/>
    <n v="251.97000122070313"/>
    <n v="233.88999938964844"/>
    <n v="247.61000061035159"/>
    <n v="112378700"/>
    <x v="4"/>
    <n v="-4.9427403598542696"/>
    <n v="96.036100090908477"/>
    <n v="283.15060058593753"/>
    <x v="2050"/>
    <n v="0"/>
    <s v="Tesla Inc."/>
    <s v="Consumer Discretionary"/>
  </r>
  <r>
    <x v="198"/>
    <n v="241.3699951171875"/>
    <n v="244.33999633789065"/>
    <n v="237.67999267578125"/>
    <n v="243.47000122070313"/>
    <n v="83404800"/>
    <x v="4"/>
    <n v="-7.4522017096290138E-2"/>
    <n v="95.964532051980115"/>
    <n v="280.41460021972654"/>
    <x v="2051"/>
    <n v="0"/>
    <s v="Tesla Inc."/>
    <s v="Consumer Discretionary"/>
  </r>
  <r>
    <x v="199"/>
    <n v="227.5"/>
    <n v="232.21000671386719"/>
    <n v="222.78999328613281"/>
    <n v="230.25999450683599"/>
    <n v="97768000"/>
    <x v="4"/>
    <n v="-5.7463625959197966"/>
    <n v="90.45006207679566"/>
    <n v="277.47820007324219"/>
    <x v="2052"/>
    <n v="0"/>
    <s v="Tesla Inc."/>
    <s v="Consumer Discretionary"/>
  </r>
  <r>
    <x v="200"/>
    <n v="237.97000122070313"/>
    <n v="242.78999328613281"/>
    <n v="229.8500061035156"/>
    <n v="230.96000671386719"/>
    <n v="120858500"/>
    <x v="4"/>
    <n v="4.6021983387706022"/>
    <n v="94.612753331110937"/>
    <n v="275.00520019531251"/>
    <x v="2053"/>
    <n v="0"/>
    <s v="Tesla Inc."/>
    <s v="Consumer Discretionary"/>
  </r>
  <r>
    <x v="201"/>
    <n v="250.74000549316409"/>
    <n v="259.45001220703125"/>
    <n v="244.42999267578125"/>
    <n v="254.86000061035159"/>
    <n v="150381900"/>
    <x v="4"/>
    <n v="5.3662244009561322"/>
    <n v="99.689885986781448"/>
    <n v="273.0054000854492"/>
    <x v="2054"/>
    <n v="0"/>
    <s v="Tesla Inc."/>
    <s v="Consumer Discretionary"/>
  </r>
  <r>
    <x v="202"/>
    <n v="259.510009765625"/>
    <n v="259.54000854492188"/>
    <n v="249.19999694824219"/>
    <n v="250.5"/>
    <n v="94464200"/>
    <x v="4"/>
    <n v="3.4976485922985301"/>
    <n v="103.17668788066212"/>
    <n v="271.62560028076172"/>
    <x v="2055"/>
    <n v="0"/>
    <s v="Tesla Inc."/>
    <s v="Consumer Discretionary"/>
  </r>
  <r>
    <x v="203"/>
    <n v="284.95001220703125"/>
    <n v="286.85000610351563"/>
    <n v="259.6300048828125"/>
    <n v="261.69000244140625"/>
    <n v="167560700"/>
    <x v="4"/>
    <n v="9.8030910115499026"/>
    <n v="113.29119249630619"/>
    <n v="270.59440032958986"/>
    <x v="2056"/>
    <n v="0"/>
    <s v="Tesla Inc."/>
    <s v="Consumer Discretionary"/>
  </r>
  <r>
    <x v="204"/>
    <n v="285.8800048828125"/>
    <n v="294.8599853515625"/>
    <n v="272.42001342773438"/>
    <n v="288.98001098632813"/>
    <n v="151731800"/>
    <x v="4"/>
    <n v="0.32637046356942534"/>
    <n v="113.66094148643973"/>
    <n v="269.19320037841794"/>
    <x v="2057"/>
    <n v="0"/>
    <s v="Tesla Inc."/>
    <s v="Consumer Discretionary"/>
  </r>
  <r>
    <x v="205"/>
    <n v="292.02999877929688"/>
    <n v="293.32000732421875"/>
    <n v="279.47000122070313"/>
    <n v="285.5"/>
    <n v="108906600"/>
    <x v="4"/>
    <n v="2.1512501019458785"/>
    <n v="116.1060726060394"/>
    <n v="267.91700042724608"/>
    <x v="2058"/>
    <n v="0"/>
    <s v="Tesla Inc."/>
    <s v="Consumer Discretionary"/>
  </r>
  <r>
    <x v="206"/>
    <n v="282.16000366210938"/>
    <n v="284.45001220703125"/>
    <n v="270.77999877929688"/>
    <n v="279.89999389648438"/>
    <n v="128961100"/>
    <x v="4"/>
    <n v="-3.3797880897321053"/>
    <n v="112.18193339264477"/>
    <n v="266.47800079345706"/>
    <x v="2059"/>
    <n v="0"/>
    <s v="Tesla Inc."/>
    <s v="Consumer Discretionary"/>
  </r>
  <r>
    <x v="207"/>
    <n v="280.51998901367188"/>
    <n v="290.8699951171875"/>
    <n v="279.80999755859369"/>
    <n v="280.010009765625"/>
    <n v="99659000"/>
    <x v="4"/>
    <n v="-0.58123569150553278"/>
    <n v="111.52989195634575"/>
    <n v="264.87720062255858"/>
    <x v="2060"/>
    <n v="0"/>
    <s v="Tesla Inc."/>
    <s v="Consumer Discretionary"/>
  </r>
  <r>
    <x v="208"/>
    <n v="287.20999145507813"/>
    <n v="294.77999877929688"/>
    <n v="279.80999755859369"/>
    <n v="284.89999389648438"/>
    <n v="114454700"/>
    <x v="4"/>
    <n v="2.3848576584252656"/>
    <n v="114.18972112610008"/>
    <n v="263.53340057373049"/>
    <x v="2061"/>
    <n v="0"/>
    <s v="Tesla Inc."/>
    <s v="Consumer Discretionary"/>
  </r>
  <r>
    <x v="209"/>
    <n v="280.260009765625"/>
    <n v="284.85000610351563"/>
    <n v="274.39999389648438"/>
    <n v="284.57000732421875"/>
    <n v="94618900"/>
    <x v="4"/>
    <n v="-2.4198258752220814"/>
    <n v="111.42652870744678"/>
    <n v="262.3826010131836"/>
    <x v="2062"/>
    <n v="0"/>
    <s v="Tesla Inc."/>
    <s v="Consumer Discretionary"/>
  </r>
  <r>
    <x v="210"/>
    <n v="275.35000610351563"/>
    <n v="277.73001098632813"/>
    <n v="271.35000610351563"/>
    <n v="273.1099853515625"/>
    <n v="76715800"/>
    <x v="4"/>
    <n v="-1.7519458684867262"/>
    <n v="109.47439624135849"/>
    <n v="261.27900115966798"/>
    <x v="2063"/>
    <n v="0"/>
    <s v="Tesla Inc."/>
    <s v="Consumer Discretionary"/>
  </r>
  <r>
    <x v="211"/>
    <n v="276.22000122070313"/>
    <n v="277.92001342773438"/>
    <n v="271"/>
    <n v="276.8800048828125"/>
    <n v="71592600"/>
    <x v="4"/>
    <n v="0.3159597232260225"/>
    <n v="109.82029124072604"/>
    <n v="260.74740142822264"/>
    <x v="2064"/>
    <n v="0"/>
    <s v="Tesla Inc."/>
    <s v="Consumer Discretionary"/>
  </r>
  <r>
    <x v="212"/>
    <n v="284.82000732421875"/>
    <n v="289.79998779296875"/>
    <n v="279.41000366210938"/>
    <n v="279.6300048828125"/>
    <n v="97539400"/>
    <x v="4"/>
    <n v="3.1134624811778533"/>
    <n v="113.23950480522629"/>
    <n v="260.62780181884767"/>
    <x v="2065"/>
    <n v="0"/>
    <s v="Tesla Inc."/>
    <s v="Consumer Discretionary"/>
  </r>
  <r>
    <x v="213"/>
    <n v="298.260009765625"/>
    <n v="307.04000854492188"/>
    <n v="290"/>
    <n v="290.20999145507813"/>
    <n v="132387800"/>
    <x v="4"/>
    <n v="4.7187704851461287"/>
    <n v="118.58301713550092"/>
    <n v="260.95400177001954"/>
    <x v="2066"/>
    <n v="0"/>
    <s v="Tesla Inc."/>
    <s v="Consumer Discretionary"/>
  </r>
  <r>
    <x v="214"/>
    <n v="318.3800048828125"/>
    <n v="322.20999145507813"/>
    <n v="311.5"/>
    <n v="321.989990234375"/>
    <n v="112826700"/>
    <x v="4"/>
    <n v="6.7457904038150884"/>
    <n v="126.58237892598197"/>
    <n v="261.46200164794919"/>
    <x v="2067"/>
    <n v="0"/>
    <s v="Tesla Inc."/>
    <s v="Consumer Discretionary"/>
  </r>
  <r>
    <x v="215"/>
    <n v="334.07000732421875"/>
    <n v="337.58999633789063"/>
    <n v="316.79998779296875"/>
    <n v="320"/>
    <n v="136992600"/>
    <x v="4"/>
    <n v="4.9280740626853614"/>
    <n v="132.82045230976337"/>
    <n v="262.45040191650389"/>
    <x v="2068"/>
    <n v="0"/>
    <s v="Tesla Inc."/>
    <s v="Consumer Discretionary"/>
  </r>
  <r>
    <x v="216"/>
    <n v="347.67999267578125"/>
    <n v="350"/>
    <n v="337"/>
    <n v="342.5"/>
    <n v="136997300"/>
    <x v="4"/>
    <n v="4.0739919936463753"/>
    <n v="138.23154690278804"/>
    <n v="263.96320159912108"/>
    <x v="2069"/>
    <n v="0"/>
    <s v="Tesla Inc."/>
    <s v="Consumer Discretionary"/>
  </r>
  <r>
    <x v="217"/>
    <n v="342.82000732421875"/>
    <n v="346.1400146484375"/>
    <n v="334.72000122070313"/>
    <n v="340.33999633789063"/>
    <n v="97882600"/>
    <x v="4"/>
    <n v="-1.3978329078298546"/>
    <n v="136.29930085117857"/>
    <n v="265.23760162353517"/>
    <x v="2070"/>
    <n v="0"/>
    <s v="Tesla Inc."/>
    <s v="Consumer Discretionary"/>
  </r>
  <r>
    <x v="218"/>
    <n v="349.98001098632813"/>
    <n v="351.6199951171875"/>
    <n v="342.32998657226563"/>
    <n v="346.239990234375"/>
    <n v="95895700"/>
    <x v="4"/>
    <n v="2.0885606175656601"/>
    <n v="139.14599437077365"/>
    <n v="266.96820159912107"/>
    <x v="2071"/>
    <n v="0"/>
    <s v="Tesla Inc."/>
    <s v="Consumer Discretionary"/>
  </r>
  <r>
    <x v="219"/>
    <n v="342.08999633789063"/>
    <n v="343"/>
    <n v="333.3699951171875"/>
    <n v="336.29998779296875"/>
    <n v="88869900"/>
    <x v="4"/>
    <n v="-2.2544186527114873"/>
    <n v="136.00906111917806"/>
    <n v="268.55660125732425"/>
    <x v="2072"/>
    <n v="0"/>
    <s v="Tesla Inc."/>
    <s v="Consumer Discretionary"/>
  </r>
  <r>
    <x v="220"/>
    <n v="343.82000732421875"/>
    <n v="354.989990234375"/>
    <n v="341.6300048828125"/>
    <n v="347.8699951171875"/>
    <n v="131715500"/>
    <x v="4"/>
    <n v="0.50571808730102141"/>
    <n v="136.69688354162605"/>
    <n v="270.99000152587888"/>
    <x v="2073"/>
    <n v="0"/>
    <s v="Tesla Inc."/>
    <s v="Consumer Discretionary"/>
  </r>
  <r>
    <x v="221"/>
    <n v="334.6199951171875"/>
    <n v="347.35000610351563"/>
    <n v="332.20001220703125"/>
    <n v="344.42999267578125"/>
    <n v="102354800"/>
    <x v="4"/>
    <n v="-2.6758222357769146"/>
    <n v="133.03911793620514"/>
    <n v="273.07080139160155"/>
    <x v="2074"/>
    <n v="0"/>
    <s v="Tesla Inc."/>
    <s v="Consumer Discretionary"/>
  </r>
  <r>
    <x v="222"/>
    <n v="341.04000854492188"/>
    <n v="347.26998901367188"/>
    <n v="331.3900146484375"/>
    <n v="331.89999389648438"/>
    <n v="97113400"/>
    <x v="4"/>
    <n v="1.9185982671137136"/>
    <n v="135.59160414751256"/>
    <n v="274.92980163574219"/>
    <x v="2075"/>
    <n v="0"/>
    <s v="Tesla Inc."/>
    <s v="Consumer Discretionary"/>
  </r>
  <r>
    <x v="223"/>
    <n v="339.33999633789063"/>
    <n v="343.17999267578125"/>
    <n v="333.20999145507813"/>
    <n v="337.92001342773438"/>
    <n v="84654800"/>
    <x v="4"/>
    <n v="-0.49847881903489766"/>
    <n v="134.91570872044755"/>
    <n v="276.90300170898439"/>
    <x v="2076"/>
    <n v="0"/>
    <s v="Tesla Inc."/>
    <s v="Consumer Discretionary"/>
  </r>
  <r>
    <x v="224"/>
    <n v="362.8900146484375"/>
    <n v="363.79000854492188"/>
    <n v="347.32000732421875"/>
    <n v="347.35000610351563"/>
    <n v="120146400"/>
    <x v="4"/>
    <n v="6.9399477116447672"/>
    <n v="144.27878836044158"/>
    <n v="279.16120208740233"/>
    <x v="2077"/>
    <n v="0"/>
    <s v="Tesla Inc."/>
    <s v="Consumer Discretionary"/>
  </r>
  <r>
    <x v="225"/>
    <n v="356.89999389648438"/>
    <n v="365"/>
    <n v="355.91000366210938"/>
    <n v="364.83999633789063"/>
    <n v="91404300"/>
    <x v="4"/>
    <n v="-1.6506435862546853"/>
    <n v="141.89725979404398"/>
    <n v="281.5390020751953"/>
    <x v="2078"/>
    <n v="0"/>
    <s v="Tesla Inc."/>
    <s v="Consumer Discretionary"/>
  </r>
  <r>
    <x v="226"/>
    <n v="358.42999267578125"/>
    <n v="367.70999145507813"/>
    <n v="356"/>
    <n v="365.29000854492188"/>
    <n v="88087800"/>
    <x v="4"/>
    <n v="0.42869117552875036"/>
    <n v="142.50556082509814"/>
    <n v="284.20140197753904"/>
    <x v="2079"/>
    <n v="0"/>
    <s v="Tesla Inc."/>
    <s v="Consumer Discretionary"/>
  </r>
  <r>
    <x v="227"/>
    <n v="346.45999145507813"/>
    <n v="363.67999267578131"/>
    <n v="345.29000854492188"/>
    <n v="355.51998901367188"/>
    <n v="123474900"/>
    <x v="4"/>
    <n v="-3.3395646193957407"/>
    <n v="137.74649553511168"/>
    <n v="286.41340179443358"/>
    <x v="2080"/>
    <n v="0"/>
    <s v="Tesla Inc."/>
    <s v="Consumer Discretionary"/>
  </r>
  <r>
    <x v="228"/>
    <n v="342.69000244140625"/>
    <n v="348.01998901367188"/>
    <n v="333.32998657226563"/>
    <n v="343.5"/>
    <n v="81873800"/>
    <x v="4"/>
    <n v="-1.088145559849063"/>
    <n v="136.24761316009869"/>
    <n v="288.54200195312501"/>
    <x v="2081"/>
    <n v="0"/>
    <s v="Tesla Inc."/>
    <s v="Consumer Discretionary"/>
  </r>
  <r>
    <x v="229"/>
    <n v="344.26998901367188"/>
    <n v="355.39999389648438"/>
    <n v="343.04000854492188"/>
    <n v="346.60000610351563"/>
    <n v="99324500"/>
    <x v="4"/>
    <n v="0.46105417753929956"/>
    <n v="136.87578847237091"/>
    <n v="290.45320159912109"/>
    <x v="2082"/>
    <n v="0"/>
    <s v="Tesla Inc."/>
    <s v="Consumer Discretionary"/>
  </r>
  <r>
    <x v="230"/>
    <n v="332.04998779296875"/>
    <n v="345.60000610351563"/>
    <n v="327.32998657226563"/>
    <n v="345.10000610351563"/>
    <n v="98912100"/>
    <x v="4"/>
    <n v="-3.5495400733921767"/>
    <n v="132.0173275097726"/>
    <n v="291.5264010620117"/>
    <x v="2083"/>
    <n v="0"/>
    <s v="Tesla Inc."/>
    <s v="Consumer Discretionary"/>
  </r>
  <r>
    <x v="231"/>
    <n v="284.70001220703125"/>
    <n v="324.54998779296875"/>
    <n v="273.20999145507813"/>
    <n v="322.489990234375"/>
    <n v="287499800"/>
    <x v="4"/>
    <n v="-14.259893789082124"/>
    <n v="113.19179682369433"/>
    <n v="291.45760101318359"/>
    <x v="2084"/>
    <n v="1"/>
    <s v="Tesla Inc."/>
    <s v="Consumer Discretionary"/>
  </r>
  <r>
    <x v="232"/>
    <n v="295.1400146484375"/>
    <n v="305.5"/>
    <n v="291.1400146484375"/>
    <n v="298.82998657226563"/>
    <n v="164747700"/>
    <x v="4"/>
    <n v="3.6670186138995975"/>
    <n v="117.34256108262662"/>
    <n v="291.91920135498049"/>
    <x v="2085"/>
    <n v="0"/>
    <s v="Tesla Inc."/>
    <s v="Consumer Discretionary"/>
  </r>
  <r>
    <x v="233"/>
    <n v="308.57998657226563"/>
    <n v="309.82998657226563"/>
    <n v="281.85000610351563"/>
    <n v="285.95999145507813"/>
    <n v="140908900"/>
    <x v="4"/>
    <n v="4.5537613528404242"/>
    <n v="122.68606127964044"/>
    <n v="292.62820098876955"/>
    <x v="2086"/>
    <n v="0"/>
    <s v="Tesla Inc."/>
    <s v="Consumer Discretionary"/>
  </r>
  <r>
    <x v="234"/>
    <n v="326.08999633789063"/>
    <n v="327.82998657226563"/>
    <n v="310.67001342773438"/>
    <n v="314.94000244140625"/>
    <n v="151256500"/>
    <x v="4"/>
    <n v="5.674382827003055"/>
    <n v="129.64773807201883"/>
    <n v="293.87900115966795"/>
    <x v="2087"/>
    <n v="0"/>
    <s v="Tesla Inc."/>
    <s v="Consumer Discretionary"/>
  </r>
  <r>
    <x v="235"/>
    <n v="326.42999267578125"/>
    <n v="335.5"/>
    <n v="322.5"/>
    <n v="334.39999389648438"/>
    <n v="122611400"/>
    <x v="4"/>
    <n v="0.10426457165473302"/>
    <n v="129.78291473077962"/>
    <n v="295.2244009399414"/>
    <x v="2088"/>
    <n v="0"/>
    <s v="Tesla Inc."/>
    <s v="Consumer Discretionary"/>
  </r>
  <r>
    <x v="236"/>
    <n v="319.1099853515625"/>
    <n v="332.55999755859369"/>
    <n v="316.8599853515625"/>
    <n v="323.07998657226563"/>
    <n v="105127500"/>
    <x v="4"/>
    <n v="-2.2424432461661592"/>
    <n v="126.87260652472168"/>
    <n v="296.23740081787111"/>
    <x v="2089"/>
    <n v="0"/>
    <s v="Tesla Inc."/>
    <s v="Consumer Discretionary"/>
  </r>
  <r>
    <x v="237"/>
    <n v="325.30999755859369"/>
    <n v="332.989990234375"/>
    <n v="313.29998779296875"/>
    <n v="313.97000122070313"/>
    <n v="128964300"/>
    <x v="4"/>
    <n v="1.9429076154419578"/>
    <n v="129.3376240588002"/>
    <n v="297.0884005737305"/>
    <x v="2090"/>
    <n v="0"/>
    <s v="Tesla Inc."/>
    <s v="Consumer Discretionary"/>
  </r>
  <r>
    <x v="238"/>
    <n v="329.1300048828125"/>
    <n v="332.04998779296875"/>
    <n v="326.41000366210938"/>
    <n v="331.29000854492188"/>
    <n v="83925900"/>
    <x v="4"/>
    <n v="1.1742668079331775"/>
    <n v="130.8563928482921"/>
    <n v="298.32540069580079"/>
    <x v="2091"/>
    <n v="0"/>
    <s v="Tesla Inc."/>
    <s v="Consumer Discretionary"/>
  </r>
  <r>
    <x v="239"/>
    <n v="316.35000610351563"/>
    <n v="327.260009765625"/>
    <n v="314.739990234375"/>
    <n v="326.08999633789063"/>
    <n v="88282700"/>
    <x v="4"/>
    <n v="-3.8829637497946212"/>
    <n v="125.77528654970406"/>
    <n v="299.86380096435545"/>
    <x v="2092"/>
    <n v="0"/>
    <s v="Tesla Inc."/>
    <s v="Consumer Discretionary"/>
  </r>
  <r>
    <x v="240"/>
    <n v="316.35000610351563"/>
    <n v="329.32000732421875"/>
    <n v="315.45001220703125"/>
    <n v="317.30999755859369"/>
    <n v="95137700"/>
    <x v="4"/>
    <n v="0"/>
    <n v="125.77528654970406"/>
    <n v="301.52500122070313"/>
    <x v="2093"/>
    <n v="0"/>
    <s v="Tesla Inc."/>
    <s v="Consumer Discretionary"/>
  </r>
  <r>
    <x v="241"/>
    <n v="322.16000366210938"/>
    <n v="332.3599853515625"/>
    <n v="317.77999877929688"/>
    <n v="327.95001220703125"/>
    <n v="108688000"/>
    <x v="4"/>
    <n v="1.8365726083446443"/>
    <n v="128.08524101054292"/>
    <n v="303.53100128173827"/>
    <x v="2094"/>
    <n v="0"/>
    <s v="Tesla Inc."/>
    <s v="Consumer Discretionary"/>
  </r>
  <r>
    <x v="242"/>
    <n v="348.67999267578125"/>
    <n v="357.54000854492188"/>
    <n v="327.48001098632813"/>
    <n v="327.54000854492188"/>
    <n v="190716800"/>
    <x v="4"/>
    <n v="8.2319309387290716"/>
    <n v="138.62912959323549"/>
    <n v="305.06060089111327"/>
    <x v="2095"/>
    <n v="0"/>
    <s v="Tesla Inc."/>
    <s v="Consumer Discretionary"/>
  </r>
  <r>
    <x v="243"/>
    <n v="340.47000122070313"/>
    <n v="356.260009765625"/>
    <n v="340.44000244140625"/>
    <n v="356.17001342773438"/>
    <n v="114736200"/>
    <x v="4"/>
    <n v="-2.3545920693855638"/>
    <n v="135.36497910197491"/>
    <n v="306.82200103759766"/>
    <x v="2096"/>
    <n v="0"/>
    <s v="Tesla Inc."/>
    <s v="Consumer Discretionary"/>
  </r>
  <r>
    <x v="244"/>
    <n v="327.54998779296875"/>
    <n v="343"/>
    <n v="320.39999389648438"/>
    <n v="342.70001220703125"/>
    <n v="119845100"/>
    <x v="4"/>
    <n v="-3.7947582404945002"/>
    <n v="130.22820540275904"/>
    <n v="308.32680084228514"/>
    <x v="2097"/>
    <n v="0"/>
    <s v="Tesla Inc."/>
    <s v="Consumer Discretionary"/>
  </r>
  <r>
    <x v="245"/>
    <n v="325.77999877929688"/>
    <n v="331.04998779296875"/>
    <n v="323.6099853515625"/>
    <n v="324.6099853515625"/>
    <n v="80440900"/>
    <x v="4"/>
    <n v="-0.54037218123500486"/>
    <n v="129.52448840864096"/>
    <n v="309.79540069580077"/>
    <x v="2098"/>
    <n v="0"/>
    <s v="Tesla Inc."/>
    <s v="Consumer Discretionary"/>
  </r>
  <r>
    <x v="246"/>
    <n v="323.6300048828125"/>
    <n v="329.33999633789063"/>
    <n v="317.5"/>
    <n v="324.510009765625"/>
    <n v="89067000"/>
    <x v="4"/>
    <n v="-0.65995269953356139"/>
    <n v="128.6696880508311"/>
    <n v="311.18580078125001"/>
    <x v="2099"/>
    <n v="0"/>
    <s v="Tesla Inc."/>
    <s v="Consumer Discretionary"/>
  </r>
  <r>
    <x v="247"/>
    <n v="317.66000366210938"/>
    <n v="325.57998657226563"/>
    <n v="316.60000610351563"/>
    <n v="319.89999389648438"/>
    <n v="76695100"/>
    <x v="4"/>
    <n v="-1.8446995428822777"/>
    <n v="126.29611890352936"/>
    <n v="312.70800079345702"/>
    <x v="2100"/>
    <n v="0"/>
    <s v="Tesla Inc."/>
    <s v="Consumer Discretionary"/>
  </r>
  <r>
    <x v="248"/>
    <n v="300.70999145507813"/>
    <n v="305.8900146484375"/>
    <n v="293.20999145507813"/>
    <n v="298.45999145507813"/>
    <n v="145085700"/>
    <x v="4"/>
    <n v="-5.3358975041317258"/>
    <n v="119.5570874471407"/>
    <n v="313.89480072021485"/>
    <x v="2101"/>
    <n v="0"/>
    <s v="Tesla Inc."/>
    <s v="Consumer Discretionary"/>
  </r>
  <r>
    <x v="249"/>
    <n v="315.64999389648438"/>
    <n v="316.82998657226563"/>
    <n v="303.82000732421875"/>
    <n v="312.6300048828125"/>
    <n v="119483700"/>
    <x v="4"/>
    <n v="4.9682427807318463"/>
    <n v="125.49697381308653"/>
    <n v="315.65780059814455"/>
    <x v="2102"/>
    <n v="0"/>
    <s v="Tesla Inc."/>
    <s v="Consumer Discretionary"/>
  </r>
  <r>
    <x v="250"/>
    <n v="315.35000610351563"/>
    <n v="318.45001220703125"/>
    <n v="312.760009765625"/>
    <n v="317.989990234375"/>
    <n v="58042300"/>
    <x v="4"/>
    <n v="-9.5038111442868889E-2"/>
    <n v="125.37770385925661"/>
    <n v="317.20540069580079"/>
    <x v="2103"/>
    <n v="0"/>
    <s v="Tesla Inc."/>
    <s v="Consumer Discretionary"/>
  </r>
  <r>
    <x v="251"/>
    <n v="293.94000244140625"/>
    <n v="296.14999389648438"/>
    <n v="288.76998901367188"/>
    <n v="291.3699951171875"/>
    <n v="131177900"/>
    <x v="4"/>
    <n v="-6.7892827803153422"/>
    <n v="116.86545700078534"/>
    <n v="318.0694006347656"/>
    <x v="2104"/>
    <n v="0"/>
    <s v="Tesla Inc."/>
    <s v="Consumer Discretionary"/>
  </r>
  <r>
    <x v="252"/>
    <n v="297.80999755859369"/>
    <n v="304.04998779296875"/>
    <n v="294.35000610351563"/>
    <n v="297"/>
    <n v="103246700"/>
    <x v="4"/>
    <n v="1.3165935514200422"/>
    <n v="118.40410007149522"/>
    <n v="318.83540039062501"/>
    <x v="2105"/>
    <n v="0"/>
    <s v="Tesla Inc."/>
    <s v="Consumer Discretionary"/>
  </r>
  <r>
    <x v="253"/>
    <n v="295.8800048828125"/>
    <n v="300.14999389648438"/>
    <n v="293.54998779296875"/>
    <n v="297.54998779296875"/>
    <n v="75586800"/>
    <x v="4"/>
    <n v="-0.64806174796112614"/>
    <n v="117.63676839091426"/>
    <n v="319.05400024414064"/>
    <x v="2106"/>
    <n v="0"/>
    <s v="Tesla Inc."/>
    <s v="Consumer Discretionary"/>
  </r>
  <r>
    <x v="254"/>
    <n v="309.8699951171875"/>
    <n v="310.48001098632813"/>
    <n v="300"/>
    <n v="300.04998779296875"/>
    <n v="104365300"/>
    <x v="4"/>
    <n v="4.7282648382799497"/>
    <n v="123.19894634763067"/>
    <n v="319.53380004882814"/>
    <x v="2107"/>
    <n v="0"/>
    <s v="Tesla Inc."/>
    <s v="Consumer Discretionary"/>
  </r>
  <r>
    <x v="255"/>
    <n v="313.510009765625"/>
    <n v="314.08999633789063"/>
    <n v="305.64999389648438"/>
    <n v="307.8900146484375"/>
    <n v="79236400"/>
    <x v="4"/>
    <n v="1.174690904506881"/>
    <n v="124.6461531648246"/>
    <n v="319.96340026855466"/>
    <x v="2108"/>
    <n v="0"/>
    <s v="Tesla Inc."/>
    <s v="Consumer Discretionary"/>
  </r>
  <r>
    <x v="256"/>
    <n v="316.89999389648438"/>
    <n v="322.60000610351563"/>
    <n v="312.67001342773438"/>
    <n v="317.73001098632813"/>
    <n v="78043400"/>
    <x v="4"/>
    <n v="1.0813001260769006"/>
    <n v="125.99395217614584"/>
    <n v="320.6582000732422"/>
    <x v="2109"/>
    <n v="0"/>
    <s v="Tesla Inc."/>
    <s v="Consumer Discretionary"/>
  </r>
  <r>
    <x v="257"/>
    <n v="310.77999877929688"/>
    <n v="321.20001220703125"/>
    <n v="310.5"/>
    <n v="319.67999267578125"/>
    <n v="77556300"/>
    <x v="4"/>
    <n v="-1.9312070795389769"/>
    <n v="123.56074805192915"/>
    <n v="321.26340026855468"/>
    <x v="2110"/>
    <n v="0"/>
    <s v="Tesla Inc."/>
    <s v="Consumer Discretionary"/>
  </r>
  <r>
    <x v="258"/>
    <n v="321.67001342773438"/>
    <n v="323.5"/>
    <n v="312.6199951171875"/>
    <n v="312.79998779296875"/>
    <n v="97284800"/>
    <x v="4"/>
    <n v="3.5040912192586537"/>
    <n v="127.89042937486713"/>
    <n v="321.95260070800782"/>
    <x v="2111"/>
    <n v="0"/>
    <s v="Tesla Inc."/>
    <s v="Consumer Discretionary"/>
  </r>
  <r>
    <x v="259"/>
    <n v="319.41000366210938"/>
    <n v="324.33999633789063"/>
    <n v="317.05999755859369"/>
    <n v="323.14999389648438"/>
    <n v="73922900"/>
    <x v="4"/>
    <n v="-0.70258639950370183"/>
    <n v="126.99188861181241"/>
    <n v="322.7356005859375"/>
    <x v="2112"/>
    <n v="0"/>
    <s v="Tesla Inc."/>
    <s v="Consumer Discretionary"/>
  </r>
  <r>
    <x v="260"/>
    <n v="329.64999389648438"/>
    <n v="330.89999389648438"/>
    <n v="321.42001342773438"/>
    <n v="321.66000366210938"/>
    <n v="94255000"/>
    <x v="4"/>
    <n v="3.2059078040672429"/>
    <n v="131.06313147935086"/>
    <n v="323.82160034179685"/>
    <x v="2113"/>
    <n v="0"/>
    <s v="Tesla Inc."/>
    <s v="Consumer Discretionary"/>
  </r>
  <r>
    <x v="261"/>
    <n v="328.489990234375"/>
    <n v="338"/>
    <n v="326.8800048828125"/>
    <n v="334.39999389648438"/>
    <n v="75768800"/>
    <x v="4"/>
    <n v="-0.35188948387289143"/>
    <n v="130.60193410244051"/>
    <n v="324.86700012207029"/>
    <x v="2114"/>
    <n v="0"/>
    <s v="Tesla Inc."/>
    <s v="Consumer Discretionary"/>
  </r>
  <r>
    <x v="262"/>
    <n v="332.1099853515625"/>
    <n v="335.41000366210938"/>
    <n v="321.54998779296875"/>
    <n v="329.739990234375"/>
    <n v="77370400"/>
    <x v="4"/>
    <n v="1.10201078413521"/>
    <n v="132.04118150053858"/>
    <n v="325.8127996826172"/>
    <x v="2115"/>
    <n v="0"/>
    <s v="Tesla Inc."/>
    <s v="Consumer Discretionary"/>
  </r>
  <r>
    <x v="263"/>
    <n v="332.55999755859369"/>
    <n v="336.20001220703125"/>
    <n v="328.67001342773438"/>
    <n v="330.89999389648438"/>
    <n v="92553800"/>
    <x v="4"/>
    <n v="0.13550095657461902"/>
    <n v="132.22009856454423"/>
    <n v="326.49879943847657"/>
    <x v="2116"/>
    <n v="0"/>
    <s v="Tesla Inc."/>
    <s v="Consumer Discretionary"/>
  </r>
  <r>
    <x v="264"/>
    <n v="305.29998779296875"/>
    <n v="310.14999389648438"/>
    <n v="300.41000366210938"/>
    <n v="310"/>
    <n v="156966000"/>
    <x v="4"/>
    <n v="-8.1970200763012748"/>
    <n v="121.38199054030321"/>
    <n v="326.23719909667966"/>
    <x v="2117"/>
    <n v="0"/>
    <s v="Tesla Inc."/>
    <s v="Consumer Discretionary"/>
  </r>
  <r>
    <x v="265"/>
    <n v="316.05999755859369"/>
    <n v="323.6300048828125"/>
    <n v="308.010009765625"/>
    <n v="308.739990234375"/>
    <n v="148227000"/>
    <x v="4"/>
    <n v="3.52440556693423"/>
    <n v="125.65998417216126"/>
    <n v="325.87699890136719"/>
    <x v="2118"/>
    <n v="0"/>
    <s v="Tesla Inc."/>
    <s v="Consumer Discretionary"/>
  </r>
  <r>
    <x v="266"/>
    <n v="325.58999633789063"/>
    <n v="330.489990234375"/>
    <n v="315.69000244140625"/>
    <n v="318.45001220703125"/>
    <n v="112673800"/>
    <x v="4"/>
    <n v="3.0152499060024818"/>
    <n v="129.44894672679507"/>
    <n v="325.43519897460936"/>
    <x v="2119"/>
    <n v="0"/>
    <s v="Tesla Inc."/>
    <s v="Consumer Discretionary"/>
  </r>
  <r>
    <x v="267"/>
    <n v="321.20001220703125"/>
    <n v="326.25"/>
    <n v="318.25"/>
    <n v="325.54998779296875"/>
    <n v="87358900"/>
    <x v="4"/>
    <n v="-1.3483166498468035"/>
    <n v="127.70356502502638"/>
    <n v="325.00279907226565"/>
    <x v="2120"/>
    <n v="0"/>
    <s v="Tesla Inc."/>
    <s v="Consumer Discretionary"/>
  </r>
  <r>
    <x v="268"/>
    <n v="319.04000854492188"/>
    <n v="324.45001220703125"/>
    <n v="311.6199951171875"/>
    <n v="322.17999267578125"/>
    <n v="83931900"/>
    <x v="4"/>
    <n v="-0.67247932130124477"/>
    <n v="126.84478495766858"/>
    <n v="324.38399902343753"/>
    <x v="2121"/>
    <n v="0"/>
    <s v="Tesla Inc."/>
    <s v="Consumer Discretionary"/>
  </r>
  <r>
    <x v="269"/>
    <n v="308.26998901367188"/>
    <n v="321.3699951171875"/>
    <n v="306.10000610351563"/>
    <n v="319.6099853515625"/>
    <n v="85270900"/>
    <x v="4"/>
    <n v="-3.3757582882378623"/>
    <n v="122.56281161626261"/>
    <n v="323.70759887695311"/>
    <x v="2122"/>
    <n v="0"/>
    <s v="Tesla Inc."/>
    <s v="Consumer Discretionary"/>
  </r>
  <r>
    <x v="270"/>
    <n v="308.26998901367188"/>
    <n v="309.30999755859369"/>
    <n v="297.82000732421875"/>
    <n v="306.20999145507813"/>
    <n v="89121400"/>
    <x v="4"/>
    <n v="0"/>
    <n v="122.56281161626261"/>
    <n v="322.99659851074216"/>
    <x v="2122"/>
    <n v="0"/>
    <s v="Tesla Inc."/>
    <s v="Consumer Discretionary"/>
  </r>
  <r>
    <x v="271"/>
    <n v="309.260009765625"/>
    <n v="312.1199951171875"/>
    <n v="303"/>
    <n v="309.07998657226563"/>
    <n v="78683900"/>
    <x v="4"/>
    <n v="0.32115378961175001"/>
    <n v="122.95642673042293"/>
    <n v="322.48939880371091"/>
    <x v="2123"/>
    <n v="0"/>
    <s v="Tesla Inc."/>
    <s v="Consumer Discretionary"/>
  </r>
  <r>
    <x v="272"/>
    <n v="308.72000122070313"/>
    <n v="312.45001220703125"/>
    <n v="305.5"/>
    <n v="308.95001220703125"/>
    <n v="57961300"/>
    <x v="4"/>
    <n v="-0.17461311772288823"/>
    <n v="122.74172868026827"/>
    <n v="321.84299865722659"/>
    <x v="2124"/>
    <n v="0"/>
    <s v="Tesla Inc."/>
    <s v="Consumer Discretionary"/>
  </r>
  <r>
    <x v="273"/>
    <n v="319.91000366210938"/>
    <n v="320.47000122070313"/>
    <n v="306.92999267578125"/>
    <n v="307.8900146484375"/>
    <n v="78523600"/>
    <x v="4"/>
    <n v="3.6246444665587241"/>
    <n v="127.19067995703614"/>
    <n v="321.45439880371094"/>
    <x v="2125"/>
    <n v="0"/>
    <s v="Tesla Inc."/>
    <s v="Consumer Discretionary"/>
  </r>
  <r>
    <x v="274"/>
    <n v="322.26998901367188"/>
    <n v="322.39999389648438"/>
    <n v="316.16000366210938"/>
    <n v="319.79000854492188"/>
    <n v="66658700"/>
    <x v="4"/>
    <n v="0.7377028928595486"/>
    <n v="128.12896928252692"/>
    <n v="320.64199829101563"/>
    <x v="2126"/>
    <n v="0"/>
    <s v="Tesla Inc."/>
    <s v="Consumer Discretionary"/>
  </r>
  <r>
    <x v="275"/>
    <n v="329.64999389648438"/>
    <n v="335.14999389648438"/>
    <n v="320.98001098632813"/>
    <n v="321.42999267578125"/>
    <n v="91200300"/>
    <x v="4"/>
    <n v="2.2900068682782049"/>
    <n v="131.06313147935086"/>
    <n v="320.09699829101561"/>
    <x v="2127"/>
    <n v="0"/>
    <s v="Tesla Inc."/>
    <s v="Consumer Discretionary"/>
  </r>
  <r>
    <x v="276"/>
    <n v="339.02999877929688"/>
    <n v="346.6400146484375"/>
    <n v="334.14999389648438"/>
    <n v="335"/>
    <n v="105320200"/>
    <x v="4"/>
    <n v="2.8454436694932861"/>
    <n v="134.79245905706972"/>
    <n v="319.70899841308596"/>
    <x v="2128"/>
    <n v="0"/>
    <s v="Tesla Inc."/>
    <s v="Consumer Discretionary"/>
  </r>
  <r>
    <x v="277"/>
    <n v="340.83999633789063"/>
    <n v="345.260009765625"/>
    <n v="332.94000244140625"/>
    <n v="345"/>
    <n v="80522100"/>
    <x v="4"/>
    <n v="0.53387533997308889"/>
    <n v="135.51208275611876"/>
    <n v="319.59659851074218"/>
    <x v="2129"/>
    <n v="0"/>
    <s v="Tesla Inc."/>
    <s v="Consumer Discretionary"/>
  </r>
  <r>
    <x v="278"/>
    <n v="339.3800048828125"/>
    <n v="348.98001098632813"/>
    <n v="338.20001220703125"/>
    <n v="341.5"/>
    <n v="67838900"/>
    <x v="4"/>
    <n v="-0.42835097722239146"/>
    <n v="134.93161542537848"/>
    <n v="319.5303985595703"/>
    <x v="2130"/>
    <n v="0"/>
    <s v="Tesla Inc."/>
    <s v="Consumer Discretionary"/>
  </r>
  <r>
    <x v="279"/>
    <n v="335.57998657226563"/>
    <n v="340.47000122070313"/>
    <n v="330.39999389648438"/>
    <n v="335.760009765625"/>
    <n v="75000700"/>
    <x v="4"/>
    <n v="-1.1196942235471519"/>
    <n v="133.42079392172167"/>
    <n v="319.35659851074217"/>
    <x v="2131"/>
    <n v="0"/>
    <s v="Tesla Inc."/>
    <s v="Consumer Discretionary"/>
  </r>
  <r>
    <x v="280"/>
    <n v="330.55999755859369"/>
    <n v="339.29998779296875"/>
    <n v="327.01998901367188"/>
    <n v="337.66000366210938"/>
    <n v="74319800"/>
    <x v="4"/>
    <n v="-1.49591430196655"/>
    <n v="131.42493318364933"/>
    <n v="319.32679870605466"/>
    <x v="2132"/>
    <n v="0"/>
    <s v="Tesla Inc."/>
    <s v="Consumer Discretionary"/>
  </r>
  <r>
    <x v="281"/>
    <n v="335.16000366210938"/>
    <n v="336.26998901367188"/>
    <n v="329.58999633789063"/>
    <n v="329.6199951171875"/>
    <n v="56956600"/>
    <x v="4"/>
    <n v="1.3915797850586165"/>
    <n v="133.25381598635983"/>
    <n v="320.33599853515625"/>
    <x v="2133"/>
    <n v="0"/>
    <s v="Tesla Inc."/>
    <s v="Consumer Discretionary"/>
  </r>
  <r>
    <x v="282"/>
    <n v="329.30999755859369"/>
    <n v="340.54998779296875"/>
    <n v="327.85000610351563"/>
    <n v="335.79000854492188"/>
    <n v="75956000"/>
    <x v="4"/>
    <n v="-1.7454368181154867"/>
    <n v="130.92795482059"/>
    <n v="321.01939819335939"/>
    <x v="2134"/>
    <n v="0"/>
    <s v="Tesla Inc."/>
    <s v="Consumer Discretionary"/>
  </r>
  <r>
    <x v="283"/>
    <n v="323.89999389648438"/>
    <n v="331.3699951171875"/>
    <n v="314.60000610351563"/>
    <n v="329.22000122070313"/>
    <n v="77481800"/>
    <x v="4"/>
    <n v="-1.6428300696053832"/>
    <n v="128.77703100927803"/>
    <n v="321.32579833984374"/>
    <x v="2135"/>
    <n v="0"/>
    <s v="Tesla Inc."/>
    <s v="Consumer Discretionary"/>
  </r>
  <r>
    <x v="284"/>
    <n v="320.1099853515625"/>
    <n v="324.89999389648438"/>
    <n v="318.67999267578125"/>
    <n v="322.07998657226563"/>
    <n v="55744400"/>
    <x v="4"/>
    <n v="-1.1701168929731831"/>
    <n v="127.27018921516915"/>
    <n v="321.20619812011716"/>
    <x v="2136"/>
    <n v="0"/>
    <s v="Tesla Inc."/>
    <s v="Consumer Discretionary"/>
  </r>
  <r>
    <x v="285"/>
    <n v="340.010009765625"/>
    <n v="340.25"/>
    <n v="319.69000244140625"/>
    <n v="321.66000366210938"/>
    <n v="94016300"/>
    <x v="4"/>
    <n v="6.2166209505171155"/>
    <n v="135.18209446168211"/>
    <n v="321.47779846191406"/>
    <x v="2137"/>
    <n v="0"/>
    <s v="Tesla Inc."/>
    <s v="Consumer Discretionary"/>
  </r>
  <r>
    <x v="286"/>
    <n v="346.60000610351563"/>
    <n v="349.52999877929688"/>
    <n v="335.02999877929688"/>
    <n v="338.89999389648438"/>
    <n v="86670000"/>
    <x v="4"/>
    <n v="1.9381771561470362"/>
    <n v="137.80216293573955"/>
    <n v="322.02759887695311"/>
    <x v="2138"/>
    <n v="0"/>
    <s v="Tesla Inc."/>
    <s v="Consumer Discretionary"/>
  </r>
  <r>
    <x v="287"/>
    <n v="351.67001342773438"/>
    <n v="351.89999389648438"/>
    <n v="343.72000122070313"/>
    <n v="344.92999267578125"/>
    <n v="76651600"/>
    <x v="4"/>
    <n v="1.4627833914995669"/>
    <n v="139.81791008829072"/>
    <n v="322.55479919433594"/>
    <x v="2139"/>
    <n v="0"/>
    <s v="Tesla Inc."/>
    <s v="Consumer Discretionary"/>
  </r>
  <r>
    <x v="288"/>
    <n v="349.60000610351563"/>
    <n v="355.3900146484375"/>
    <n v="349.16000366210938"/>
    <n v="351.94000244140625"/>
    <n v="65519000"/>
    <x v="4"/>
    <n v="-0.58862207330171445"/>
    <n v="138.9949110070819"/>
    <n v="322.96419921875003"/>
    <x v="2140"/>
    <n v="0"/>
    <s v="Tesla Inc."/>
    <s v="Consumer Discretionary"/>
  </r>
  <r>
    <x v="289"/>
    <n v="345.98001098632813"/>
    <n v="353.54998779296875"/>
    <n v="340.260009765625"/>
    <n v="350.91000366210938"/>
    <n v="67903200"/>
    <x v="4"/>
    <n v="-1.0354676927882056"/>
    <n v="137.55566360898385"/>
    <n v="323.55679931640623"/>
    <x v="2141"/>
    <n v="0"/>
    <s v="Tesla Inc."/>
    <s v="Consumer Discretionary"/>
  </r>
  <r>
    <x v="290"/>
    <n v="333.8699951171875"/>
    <n v="348.75"/>
    <n v="331.70001220703125"/>
    <n v="347.23001098632813"/>
    <n v="81145700"/>
    <x v="4"/>
    <n v="-3.5002067994093333"/>
    <n v="132.74093091836957"/>
    <n v="323.90719909667968"/>
    <x v="2142"/>
    <n v="0"/>
    <s v="Tesla Inc."/>
    <s v="Consumer Discretionary"/>
  </r>
  <r>
    <x v="291"/>
    <n v="329.3599853515625"/>
    <n v="333.32998657226563"/>
    <n v="325.60000610351563"/>
    <n v="328.23001098632813"/>
    <n v="58392000"/>
    <x v="4"/>
    <n v="-1.350828116207925"/>
    <n v="130.94782910180808"/>
    <n v="324.05119873046874"/>
    <x v="2143"/>
    <n v="0"/>
    <s v="Tesla Inc."/>
    <s v="Consumer Discretionary"/>
  </r>
  <r>
    <x v="292"/>
    <n v="334.08999633789063"/>
    <n v="343.32998657226563"/>
    <n v="328.510009765625"/>
    <n v="335.20001220703125"/>
    <n v="88733300"/>
    <x v="4"/>
    <n v="1.4361219324440011"/>
    <n v="132.82839959559843"/>
    <n v="323.75939880371095"/>
    <x v="2144"/>
    <n v="0"/>
    <s v="Tesla Inc."/>
    <s v="Consumer Discretionary"/>
  </r>
  <r>
    <x v="293"/>
    <n v="338.52999877929688"/>
    <n v="338.8900146484375"/>
    <n v="331.48001098632813"/>
    <n v="336.14999389648438"/>
    <n v="60711000"/>
    <x v="4"/>
    <n v="1.328983953448204"/>
    <n v="134.593667711846"/>
    <n v="323.72059875488281"/>
    <x v="2145"/>
    <n v="0"/>
    <s v="Tesla Inc."/>
    <s v="Consumer Discretionary"/>
  </r>
  <r>
    <x v="294"/>
    <n v="350.83999633789063"/>
    <n v="355.8699951171875"/>
    <n v="344.67999267578125"/>
    <n v="348"/>
    <n v="108989800"/>
    <x v="4"/>
    <n v="3.6363092201525005"/>
    <n v="139.48790966059329"/>
    <n v="324.18639892578125"/>
    <x v="2146"/>
    <n v="0"/>
    <s v="Tesla Inc."/>
    <s v="Consumer Discretionary"/>
  </r>
  <r>
    <x v="295"/>
    <n v="346.39999389648438"/>
    <n v="358.44000244140625"/>
    <n v="344.83999633789063"/>
    <n v="354.6400146484375"/>
    <n v="75208300"/>
    <x v="4"/>
    <n v="-1.265534855703887"/>
    <n v="137.72264154434572"/>
    <n v="324.59879882812498"/>
    <x v="2147"/>
    <n v="0"/>
    <s v="Tesla Inc."/>
    <s v="Consumer Discretionary"/>
  </r>
  <r>
    <x v="296"/>
    <n v="346.97000122070313"/>
    <n v="350.76998901367188"/>
    <n v="343.82000732421875"/>
    <n v="348.44000244140625"/>
    <n v="53816000"/>
    <x v="4"/>
    <n v="0.16455177086092121"/>
    <n v="137.94926658988336"/>
    <n v="325.06559875488279"/>
    <x v="2148"/>
    <n v="0"/>
    <s v="Tesla Inc."/>
    <s v="Consumer Discretionary"/>
  </r>
  <r>
    <x v="297"/>
    <n v="347.79000854492188"/>
    <n v="356.32998657226563"/>
    <n v="346.07000732421875"/>
    <n v="350.54998779296875"/>
    <n v="72121700"/>
    <x v="4"/>
    <n v="0.23633378140295314"/>
    <n v="138.27528730803286"/>
    <n v="325.66819885253904"/>
    <x v="2149"/>
    <n v="0"/>
    <s v="Tesla Inc."/>
    <s v="Consumer Discretionary"/>
  </r>
  <r>
    <x v="298"/>
    <n v="368.80999755859375"/>
    <n v="368.989990234375"/>
    <n v="347.60000610351563"/>
    <n v="350.17001342773438"/>
    <n v="103756000"/>
    <x v="4"/>
    <n v="6.0438737448539559"/>
    <n v="146.63247109326446"/>
    <n v="327.03019897460939"/>
    <x v="2150"/>
    <n v="0"/>
    <s v="Tesla Inc."/>
    <s v="Consumer Discretionary"/>
  </r>
  <r>
    <x v="299"/>
    <n v="395.94000244140631"/>
    <n v="396.69000244140631"/>
    <n v="370.239990234375"/>
    <n v="370.94000244140631"/>
    <n v="168156400"/>
    <x v="4"/>
    <n v="7.3560925849094794"/>
    <n v="157.41889142642563"/>
    <n v="328.63599914550781"/>
    <x v="2151"/>
    <n v="1"/>
    <s v="Tesla Inc."/>
    <s v="Consumer Discretionary"/>
  </r>
  <r>
    <x v="300"/>
    <n v="395.94000244140631"/>
    <n v="425.70001220703131"/>
    <n v="402.42999267578131"/>
    <n v="423.1300048828125"/>
    <n v="163823700"/>
    <x v="4"/>
    <n v="0"/>
    <n v="157.41889142642563"/>
    <n v="330.24779907226565"/>
    <x v="2151"/>
    <n v="0"/>
    <s v="Tesla Inc."/>
    <s v="Consumer Discretionary"/>
  </r>
  <r>
    <x v="301"/>
    <n v="421.6199951171875"/>
    <n v="423.25"/>
    <n v="411.42999267578131"/>
    <n v="414.5"/>
    <n v="78628600"/>
    <x v="4"/>
    <n v="6.4858292967206577"/>
    <n v="167.6288120051336"/>
    <n v="332.80139892578126"/>
    <x v="2152"/>
    <n v="0"/>
    <s v="Tesla Inc."/>
    <s v="Consumer Discretionary"/>
  </r>
  <r>
    <x v="302"/>
    <n v="425.8599853515625"/>
    <n v="428.30999755859375"/>
    <n v="409.67001342773438"/>
    <n v="415.75"/>
    <n v="106133500"/>
    <x v="4"/>
    <n v="1.0056425889375831"/>
    <n v="169.31455872998734"/>
    <n v="335.36239868164063"/>
    <x v="2153"/>
    <n v="0"/>
    <s v="Tesla Inc."/>
    <s v="Consumer Discretionary"/>
  </r>
  <r>
    <x v="303"/>
    <n v="416.85000610351563"/>
    <n v="432.22000122070313"/>
    <n v="416.55999755859375"/>
    <n v="428.8699951171875"/>
    <n v="90454500"/>
    <x v="4"/>
    <n v="-2.1157139806429193"/>
    <n v="165.73234693967314"/>
    <n v="337.7817987060547"/>
    <x v="2154"/>
    <n v="0"/>
    <s v="Tesla Inc."/>
    <s v="Consumer Discretionary"/>
  </r>
  <r>
    <x v="304"/>
    <n v="426.07000732421881"/>
    <n v="429.47000122070313"/>
    <n v="421.72000122070313"/>
    <n v="421.82000732421881"/>
    <n v="93131000"/>
    <x v="4"/>
    <n v="2.2118270566640286"/>
    <n v="169.39805983092913"/>
    <n v="340.10579895019532"/>
    <x v="2155"/>
    <n v="0"/>
    <s v="Tesla Inc."/>
    <s v="Consumer Discretionary"/>
  </r>
  <r>
    <x v="305"/>
    <n v="434.20999145507813"/>
    <n v="444.98001098632813"/>
    <n v="429.1300048828125"/>
    <n v="431.1099853515625"/>
    <n v="97108800"/>
    <x v="4"/>
    <n v="1.9104804353583971"/>
    <n v="172.63437662187576"/>
    <n v="342.51979858398437"/>
    <x v="2156"/>
    <n v="0"/>
    <s v="Tesla Inc."/>
    <s v="Consumer Discretionary"/>
  </r>
  <r>
    <x v="306"/>
    <n v="425.85000610351563"/>
    <n v="440.97000122070313"/>
    <n v="423.72000122070313"/>
    <n v="439.8800048828125"/>
    <n v="83422700"/>
    <x v="4"/>
    <n v="-1.9253323313789705"/>
    <n v="169.31059115370022"/>
    <n v="344.69879882812501"/>
    <x v="2157"/>
    <n v="0"/>
    <s v="Tesla Inc."/>
    <s v="Consumer Discretionary"/>
  </r>
  <r>
    <x v="307"/>
    <n v="442.79000854492188"/>
    <n v="444.20999145507813"/>
    <n v="429.02999877929688"/>
    <n v="429.82998657226563"/>
    <n v="93133600"/>
    <x v="4"/>
    <n v="3.9779270162293878"/>
    <n v="176.04564290054094"/>
    <n v="347.33899902343751"/>
    <x v="2158"/>
    <n v="0"/>
    <s v="Tesla Inc."/>
    <s v="Consumer Discretionary"/>
  </r>
  <r>
    <x v="308"/>
    <n v="423.3900146484375"/>
    <n v="435.35000610351563"/>
    <n v="419.07998657226563"/>
    <n v="435.239990234375"/>
    <n v="96746400"/>
    <x v="4"/>
    <n v="-4.3813079613597932"/>
    <n v="168.33254113251252"/>
    <n v="349.37339904785154"/>
    <x v="2159"/>
    <n v="0"/>
    <s v="Tesla Inc."/>
    <s v="Consumer Discretionary"/>
  </r>
  <r>
    <x v="309"/>
    <n v="440.39999389648438"/>
    <n v="440.47000122070313"/>
    <n v="421.01998901367188"/>
    <n v="428.29998779296881"/>
    <n v="101628200"/>
    <x v="4"/>
    <n v="4.0175674105519699"/>
    <n v="175.09541444640635"/>
    <n v="351.79319885253904"/>
    <x v="2160"/>
    <n v="0"/>
    <s v="Tesla Inc."/>
    <s v="Consumer Discretionary"/>
  </r>
  <r>
    <x v="310"/>
    <n v="443.20999145507813"/>
    <n v="450.98001098632813"/>
    <n v="439.5"/>
    <n v="444.35000610351563"/>
    <n v="79491500"/>
    <x v="4"/>
    <n v="0.63805576692497201"/>
    <n v="176.21262083590284"/>
    <n v="354.06439880371096"/>
    <x v="2161"/>
    <n v="0"/>
    <s v="Tesla Inc."/>
    <s v="Consumer Discretionary"/>
  </r>
  <r>
    <x v="311"/>
    <n v="444.72000122070313"/>
    <n v="445"/>
    <n v="433.1199951171875"/>
    <n v="441.51998901367188"/>
    <n v="74358000"/>
    <x v="4"/>
    <n v="0.34069849388267404"/>
    <n v="176.81297458112195"/>
    <n v="356.38899902343752"/>
    <x v="2162"/>
    <n v="0"/>
    <s v="Tesla Inc."/>
    <s v="Consumer Discretionary"/>
  </r>
  <r>
    <x v="312"/>
    <n v="459.45999145507813"/>
    <n v="462.29000854492188"/>
    <n v="440.75"/>
    <n v="443.79998779296881"/>
    <n v="98122300"/>
    <x v="4"/>
    <n v="3.3144428390707636"/>
    <n v="182.67333955567395"/>
    <n v="358.93599914550782"/>
    <x v="2163"/>
    <n v="0"/>
    <s v="Tesla Inc."/>
    <s v="Consumer Discretionary"/>
  </r>
  <r>
    <x v="313"/>
    <n v="436"/>
    <n v="470.75"/>
    <n v="435.57000732421881"/>
    <n v="470.54000854492188"/>
    <n v="137009000"/>
    <x v="4"/>
    <n v="-5.1059922281332826"/>
    <n v="173.34605303508971"/>
    <n v="361.00479919433593"/>
    <x v="2164"/>
    <n v="0"/>
    <s v="Tesla Inc."/>
    <s v="Consumer Discretionary"/>
  </r>
  <r>
    <x v="314"/>
    <n v="429.82998657226563"/>
    <n v="446.76998901367188"/>
    <n v="416.57998657226563"/>
    <n v="443.29000854492188"/>
    <n v="133188200"/>
    <x v="4"/>
    <n v="-1.4151406944344913"/>
    <n v="170.89296249639418"/>
    <n v="363.49539916992188"/>
    <x v="2165"/>
    <n v="0"/>
    <s v="Tesla Inc."/>
    <s v="Consumer Discretionary"/>
  </r>
  <r>
    <x v="315"/>
    <n v="453.25"/>
    <n v="453.54998779296881"/>
    <n v="436.69000244140631"/>
    <n v="440.75"/>
    <n v="85324900"/>
    <x v="4"/>
    <n v="5.4486690457546505"/>
    <n v="180.2043544453083"/>
    <n v="366.23919921875"/>
    <x v="2166"/>
    <n v="0"/>
    <s v="Tesla Inc."/>
    <s v="Consumer Discretionary"/>
  </r>
  <r>
    <x v="316"/>
    <n v="433.08999633789063"/>
    <n v="452.67999267578131"/>
    <n v="432.45001220703131"/>
    <n v="447.82000732421881"/>
    <n v="102296100"/>
    <x v="4"/>
    <n v="-4.4478772558432134"/>
    <n v="172.18908594989634"/>
    <n v="368.38919921874998"/>
    <x v="2167"/>
    <n v="0"/>
    <s v="Tesla Inc."/>
    <s v="Consumer Discretionary"/>
  </r>
  <r>
    <x v="317"/>
    <n v="438.69000244140631"/>
    <n v="441.32998657226563"/>
    <n v="425.23001098632813"/>
    <n v="437.57000732421881"/>
    <n v="71192100"/>
    <x v="4"/>
    <n v="1.2930352007361146"/>
    <n v="174.41555144305426"/>
    <n v="370.73899902343749"/>
    <x v="2168"/>
    <n v="0"/>
    <s v="Tesla Inc."/>
    <s v="Consumer Discretionary"/>
  </r>
  <r>
    <x v="318"/>
    <n v="435.54000854492188"/>
    <n v="436.35000610351563"/>
    <n v="426.17999267578131"/>
    <n v="431.80999755859375"/>
    <n v="69339900"/>
    <x v="4"/>
    <n v="-0.7180455170972766"/>
    <n v="173.16316839479691"/>
    <n v="373.06899902343753"/>
    <x v="2169"/>
    <n v="0"/>
    <s v="Tesla Inc."/>
    <s v="Consumer Discretionary"/>
  </r>
  <r>
    <x v="319"/>
    <n v="413.489990234375"/>
    <n v="443.1300048828125"/>
    <n v="411.45001220703131"/>
    <n v="436.54000854492188"/>
    <n v="112107900"/>
    <x v="4"/>
    <n v="-5.0626849148056259"/>
    <n v="164.39646279047409"/>
    <n v="375.17339904785155"/>
    <x v="2170"/>
    <n v="0"/>
    <s v="Tesla Inc."/>
    <s v="Consumer Discretionary"/>
  </r>
  <r>
    <x v="320"/>
    <n v="435.89999389648438"/>
    <n v="436.8900146484375"/>
    <n v="419.70001220703131"/>
    <n v="423.52999877929688"/>
    <n v="79552800"/>
    <x v="4"/>
    <n v="5.4197209585187034"/>
    <n v="173.3062923393928"/>
    <n v="377.72599914550779"/>
    <x v="2171"/>
    <n v="0"/>
    <s v="Tesla Inc."/>
    <s v="Consumer Discretionary"/>
  </r>
  <r>
    <x v="321"/>
    <n v="429.239990234375"/>
    <n v="434.20001220703131"/>
    <n v="417.8599853515625"/>
    <n v="426.79000854492188"/>
    <n v="72669400"/>
    <x v="4"/>
    <n v="-1.5278742269702716"/>
    <n v="170.65839016502147"/>
    <n v="380.12559875488279"/>
    <x v="2172"/>
    <n v="0"/>
    <s v="Tesla Inc."/>
    <s v="Consumer Discretionary"/>
  </r>
  <r>
    <x v="322"/>
    <n v="435.14999389648438"/>
    <n v="440.510009765625"/>
    <n v="426.32998657226563"/>
    <n v="434.89999389648438"/>
    <n v="71558200"/>
    <x v="4"/>
    <n v="1.3768529951932784"/>
    <n v="173.00810532155722"/>
    <n v="382.65419860839842"/>
    <x v="2173"/>
    <n v="0"/>
    <s v="Tesla Inc."/>
    <s v="Consumer Discretionary"/>
  </r>
  <r>
    <x v="323"/>
    <n v="428.75"/>
    <n v="439.35000610351563"/>
    <n v="421.30999755859375"/>
    <n v="434.73001098632813"/>
    <n v="77189900"/>
    <x v="4"/>
    <n v="-1.470755828163206"/>
    <n v="170.46357852934568"/>
    <n v="384.83099853515625"/>
    <x v="2174"/>
    <n v="0"/>
    <s v="Tesla Inc."/>
    <s v="Consumer Discretionary"/>
  </r>
  <r>
    <x v="324"/>
    <n v="439.30999755859375"/>
    <n v="441.45999145507813"/>
    <n v="423.60000610351563"/>
    <n v="425.5"/>
    <n v="89331600"/>
    <x v="4"/>
    <n v="2.4629731915087438"/>
    <n v="174.66205076980992"/>
    <n v="387.17179870605469"/>
    <x v="2175"/>
    <n v="0"/>
    <s v="Tesla Inc."/>
    <s v="Consumer Discretionary"/>
  </r>
  <r>
    <x v="325"/>
    <n v="447.42999267578131"/>
    <n v="449.79998779296881"/>
    <n v="440.6099853515625"/>
    <n v="443.8699951171875"/>
    <n v="63719000"/>
    <x v="4"/>
    <n v="1.8483519979771268"/>
    <n v="177.89042027492152"/>
    <n v="389.52739868164065"/>
    <x v="2176"/>
    <n v="0"/>
    <s v="Tesla Inc."/>
    <s v="Consumer Discretionary"/>
  </r>
  <r>
    <x v="326"/>
    <n v="442.60000610351563"/>
    <n v="449.29998779296881"/>
    <n v="442.04998779296881"/>
    <n v="445.760009765625"/>
    <n v="54412200"/>
    <x v="4"/>
    <n v="-1.0794954856246375"/>
    <n v="175.97010121869508"/>
    <n v="391.59879882812498"/>
    <x v="2177"/>
    <n v="0"/>
    <s v="Tesla Inc."/>
    <s v="Consumer Discretionary"/>
  </r>
  <r>
    <x v="327"/>
    <n v="438.97000122070313"/>
    <n v="445.54000854492188"/>
    <n v="429"/>
    <n v="443.45001220703131"/>
    <n v="84023500"/>
    <x v="4"/>
    <n v="-0.82015472949711343"/>
    <n v="174.52687411104907"/>
    <n v="393.56139892578125"/>
    <x v="2178"/>
    <n v="0"/>
    <s v="Tesla Inc."/>
    <s v="Consumer Discretionary"/>
  </r>
  <r>
    <x v="328"/>
    <n v="448.98001098632813"/>
    <n v="449.39999389648438"/>
    <n v="413.89999389648438"/>
    <n v="420"/>
    <n v="126709800"/>
    <x v="4"/>
    <n v="2.2803402824313368"/>
    <n v="178.50668072507153"/>
    <n v="395.75339904785159"/>
    <x v="2179"/>
    <n v="0"/>
    <s v="Tesla Inc."/>
    <s v="Consumer Discretionary"/>
  </r>
  <r>
    <x v="329"/>
    <n v="433.72000122070313"/>
    <n v="451.67999267578131"/>
    <n v="430.17001342773438"/>
    <n v="446.82998657226563"/>
    <n v="94727800"/>
    <x v="4"/>
    <n v="-3.3988171838878811"/>
    <n v="172.43956498619994"/>
    <n v="397.71619934082031"/>
    <x v="2180"/>
    <n v="0"/>
    <s v="Tesla Inc."/>
    <s v="Consumer Discretionary"/>
  </r>
  <r>
    <x v="330"/>
    <n v="452.42001342773438"/>
    <n v="460.16000366210938"/>
    <n v="438.69000244140631"/>
    <n v="439.98001098632813"/>
    <n v="105867500"/>
    <x v="4"/>
    <n v="4.3115401997602554"/>
    <n v="179.87436615087168"/>
    <n v="400.15339965820311"/>
    <x v="2181"/>
    <n v="0"/>
    <s v="Tesla Inc."/>
    <s v="Consumer Discretionary"/>
  </r>
  <r>
    <x v="331"/>
    <n v="460.54998779296881"/>
    <n v="467"/>
    <n v="451.60000610351563"/>
    <n v="454.77999877929688"/>
    <n v="80185700"/>
    <x v="4"/>
    <n v="1.7969970655449474"/>
    <n v="183.10670323227038"/>
    <n v="402.6611993408203"/>
    <x v="2182"/>
    <n v="0"/>
    <s v="Tesla Inc."/>
    <s v="Consumer Discretionary"/>
  </r>
  <r>
    <x v="332"/>
    <n v="461.510009765625"/>
    <n v="465.70001220703131"/>
    <n v="452.64999389648438"/>
    <n v="462.5"/>
    <n v="67983500"/>
    <x v="4"/>
    <n v="0.20845119924044475"/>
    <n v="183.48839135104771"/>
    <n v="405.30519958496092"/>
    <x v="2183"/>
    <n v="0"/>
    <s v="Tesla Inc."/>
    <s v="Consumer Discretionary"/>
  </r>
  <r>
    <x v="333"/>
    <n v="440.10000610351563"/>
    <n v="455.05999755859375"/>
    <n v="439.6099853515625"/>
    <n v="451.04998779296881"/>
    <n v="72447900"/>
    <x v="4"/>
    <n v="-4.6391201077052084"/>
    <n v="174.97614449257642"/>
    <n v="407.62919982910154"/>
    <x v="2184"/>
    <n v="0"/>
    <s v="Tesla Inc."/>
    <s v="Consumer Discretionary"/>
  </r>
  <r>
    <x v="334"/>
    <n v="456.55999755859375"/>
    <n v="458"/>
    <n v="443.69000244140631"/>
    <n v="446.75"/>
    <n v="83135800"/>
    <x v="4"/>
    <n v="3.7400570840270708"/>
    <n v="181.52035218002848"/>
    <n v="410.35820007324219"/>
    <x v="2185"/>
    <n v="0"/>
    <s v="Tesla Inc."/>
    <s v="Consumer Discretionary"/>
  </r>
  <r>
    <x v="335"/>
    <n v="468.3699951171875"/>
    <n v="474.07000732421881"/>
    <n v="453.79998779296881"/>
    <n v="455.989990234375"/>
    <n v="84595200"/>
    <x v="4"/>
    <n v="2.5867350669674272"/>
    <n v="186.21580278355205"/>
    <n v="412.92539978027344"/>
    <x v="2186"/>
    <n v="0"/>
    <s v="Tesla Inc."/>
    <s v="Consumer Discretionary"/>
  </r>
  <r>
    <x v="336"/>
    <n v="444.260009765625"/>
    <n v="460.22000122070313"/>
    <n v="443.60000610351563"/>
    <n v="454.45999145507813"/>
    <n v="87756600"/>
    <x v="4"/>
    <n v="-5.1476366127019109"/>
    <n v="176.63008994082915"/>
    <n v="414.87859985351565"/>
    <x v="2187"/>
    <n v="0"/>
    <s v="Tesla Inc."/>
    <s v="Consumer Discretionary"/>
  </r>
  <r>
    <x v="337"/>
    <n v="462.07000732421881"/>
    <n v="466.32998657226563"/>
    <n v="440.70999145507813"/>
    <n v="452.04998779296881"/>
    <n v="85573000"/>
    <x v="4"/>
    <n v="4.0089130615176716"/>
    <n v="183.71103668703745"/>
    <n v="417.08659973144529"/>
    <x v="2188"/>
    <n v="0"/>
    <s v="Tesla Inc."/>
    <s v="Consumer Discretionary"/>
  </r>
  <r>
    <x v="338"/>
    <n v="445.91000366210938"/>
    <n v="467.45001220703131"/>
    <n v="435.08999633789063"/>
    <n v="461.95999145507813"/>
    <n v="109622900"/>
    <x v="4"/>
    <n v="-3.4973063401560478"/>
    <n v="177.28609895341526"/>
    <n v="419.01279968261719"/>
    <x v="2189"/>
    <n v="0"/>
    <s v="Tesla Inc."/>
    <s v="Consumer Discretionary"/>
  </r>
  <r>
    <x v="339"/>
    <n v="429.51998901367188"/>
    <n v="439.3599853515625"/>
    <n v="421.8800048828125"/>
    <n v="437.92001342773438"/>
    <n v="103471500"/>
    <x v="4"/>
    <n v="-3.6756328662357451"/>
    <n v="170.76971283301631"/>
    <n v="420.68359924316405"/>
    <x v="2190"/>
    <n v="0"/>
    <s v="Tesla Inc."/>
    <s v="Consumer Discretionary"/>
  </r>
  <r>
    <x v="340"/>
    <n v="445.23001098632813"/>
    <n v="449.67001342773438"/>
    <n v="433.3599853515625"/>
    <n v="439.60000610351563"/>
    <n v="76515900"/>
    <x v="4"/>
    <n v="3.6575764515015763"/>
    <n v="177.01574563589361"/>
    <n v="422.91079956054688"/>
    <x v="2191"/>
    <n v="0"/>
    <s v="Tesla Inc."/>
    <s v="Consumer Discretionary"/>
  </r>
  <r>
    <x v="341"/>
    <n v="439.6199951171875"/>
    <n v="442.489990234375"/>
    <n v="432.3599853515625"/>
    <n v="439.39999389648438"/>
    <n v="60533200"/>
    <x v="4"/>
    <n v="-1.260026442672324"/>
    <n v="174.78530043318776"/>
    <n v="425.11599975585938"/>
    <x v="2192"/>
    <n v="0"/>
    <s v="Tesla Inc."/>
    <s v="Consumer Discretionary"/>
  </r>
  <r>
    <x v="342"/>
    <n v="430.60000610351563"/>
    <n v="442.32998657226563"/>
    <n v="426.55999755859375"/>
    <n v="442.14999389648438"/>
    <n v="58513500"/>
    <x v="4"/>
    <n v="-2.051769508633805"/>
    <n v="171.19910893332565"/>
    <n v="427.0461999511719"/>
    <x v="2193"/>
    <n v="0"/>
    <s v="Tesla Inc."/>
    <s v="Consumer Discretionary"/>
  </r>
  <r>
    <x v="343"/>
    <n v="401.989990234375"/>
    <n v="424.5"/>
    <n v="396.33999633789063"/>
    <n v="423.1300048828125"/>
    <n v="118948000"/>
    <x v="4"/>
    <n v="-6.644220962287406"/>
    <n v="159.82426185032836"/>
    <n v="428.31539978027342"/>
    <x v="2194"/>
    <n v="0"/>
    <s v="Tesla Inc."/>
    <s v="Consumer Discretionary"/>
  </r>
  <r>
    <x v="344"/>
    <n v="404.35000610351563"/>
    <n v="412.19000244140631"/>
    <n v="382.77999877929688"/>
    <n v="386.29998779296881"/>
    <n v="105506700"/>
    <x v="4"/>
    <n v="0.58708324248686328"/>
    <n v="160.76256330907995"/>
    <n v="429.38559997558593"/>
    <x v="2195"/>
    <n v="0"/>
    <s v="Tesla Inc."/>
    <s v="Consumer Discretionary"/>
  </r>
  <r>
    <x v="345"/>
    <n v="408.92001342773438"/>
    <n v="423.95999145507813"/>
    <n v="398.739990234375"/>
    <n v="398.739990234375"/>
    <n v="102214300"/>
    <x v="4"/>
    <n v="1.1302107716671506"/>
    <n v="162.57951911640743"/>
    <n v="430.63600036621096"/>
    <x v="2196"/>
    <n v="0"/>
    <s v="Tesla Inc."/>
    <s v="Consumer Discretionary"/>
  </r>
  <r>
    <x v="346"/>
    <n v="401.25"/>
    <n v="408.89999389648438"/>
    <n v="393.70999145507813"/>
    <n v="405.3800048828125"/>
    <n v="80688600"/>
    <x v="4"/>
    <n v="-1.8756757252943457"/>
    <n v="159.53005454204069"/>
    <n v="431.72160034179689"/>
    <x v="2197"/>
    <n v="0"/>
    <s v="Tesla Inc."/>
    <s v="Consumer Discretionary"/>
  </r>
  <r>
    <x v="347"/>
    <n v="403.989990234375"/>
    <n v="411.77999877929688"/>
    <n v="398.5"/>
    <n v="406.17999267578131"/>
    <n v="72047700"/>
    <x v="4"/>
    <n v="0.68286360981308913"/>
    <n v="160.61942723122326"/>
    <n v="432.84559997558591"/>
    <x v="2198"/>
    <n v="0"/>
    <s v="Tesla Inc."/>
    <s v="Consumer Discretionary"/>
  </r>
  <r>
    <x v="348"/>
    <n v="395.23001098632813"/>
    <n v="428.94000244140631"/>
    <n v="394.739990234375"/>
    <n v="414.6300048828125"/>
    <n v="113548800"/>
    <x v="4"/>
    <n v="-2.1683654198869529"/>
    <n v="157.13661111352093"/>
    <n v="433.37400024414063"/>
    <x v="2199"/>
    <n v="0"/>
    <s v="Tesla Inc."/>
    <s v="Consumer Discretionary"/>
  </r>
  <r>
    <x v="349"/>
    <n v="391.08999633789063"/>
    <n v="402.79998779296881"/>
    <n v="383.760009765625"/>
    <n v="402.32000732421881"/>
    <n v="100460600"/>
    <x v="4"/>
    <n v="-1.0474950113494086"/>
    <n v="155.49061295110329"/>
    <n v="433.27700012207032"/>
    <x v="2200"/>
    <n v="0"/>
    <s v="Tesla Inc."/>
    <s v="Consumer Discretionary"/>
  </r>
  <r>
    <x v="350"/>
    <n v="417.77999877929688"/>
    <n v="421.72000122070313"/>
    <n v="401.08999633789063"/>
    <n v="402.17001342773438"/>
    <n v="96806400"/>
    <x v="4"/>
    <n v="6.8245167841999299"/>
    <n v="166.10209592980667"/>
    <n v="433.71380004882815"/>
    <x v="2201"/>
    <n v="0"/>
    <s v="Tesla Inc."/>
    <s v="Consumer Discretionary"/>
  </r>
  <r>
    <x v="351"/>
    <n v="419.39999389648438"/>
    <n v="420.48001098632813"/>
    <n v="405.95001220703131"/>
    <n v="414.42001342773438"/>
    <n v="71915600"/>
    <x v="4"/>
    <n v="0.38776272725380423"/>
    <n v="166.74617794700984"/>
    <n v="433.66940002441407"/>
    <x v="2202"/>
    <n v="0"/>
    <s v="Tesla Inc."/>
    <s v="Consumer Discretionary"/>
  </r>
  <r>
    <x v="352"/>
    <n v="426.57998657226563"/>
    <n v="426.94000244140631"/>
    <n v="416.8900146484375"/>
    <n v="423.95001220703131"/>
    <n v="63463000"/>
    <x v="4"/>
    <n v="1.7119677587676296"/>
    <n v="169.60081875243995"/>
    <n v="433.68380004882812"/>
    <x v="2203"/>
    <n v="0"/>
    <s v="Tesla Inc."/>
    <s v="Consumer Discretionary"/>
  </r>
  <r>
    <x v="353"/>
    <n v="430.17001342773438"/>
    <n v="432.92999267578131"/>
    <n v="426.20001220703131"/>
    <n v="426.58999633789063"/>
    <n v="36252900"/>
    <x v="4"/>
    <n v="0.84158351738814474"/>
    <n v="171.02815128841581"/>
    <n v="433.9502001953125"/>
    <x v="2204"/>
    <n v="0"/>
    <s v="Tesla Inc."/>
    <s v="Consumer Discretionary"/>
  </r>
  <r>
    <x v="354"/>
    <n v="430.1400146484375"/>
    <n v="433.66000366210938"/>
    <n v="425.29000854492188"/>
    <n v="425.32000732421881"/>
    <n v="57463600"/>
    <x v="4"/>
    <n v="-6.9737030384375842E-3"/>
    <n v="171.01622429303282"/>
    <n v="434.03160034179689"/>
    <x v="2205"/>
    <n v="0"/>
    <s v="Tesla Inc."/>
    <s v="Consumer Discretionary"/>
  </r>
  <r>
    <x v="355"/>
    <n v="429.239990234375"/>
    <n v="436.79998779296881"/>
    <n v="422.1199951171875"/>
    <n v="430.80999755859375"/>
    <n v="69336600"/>
    <x v="4"/>
    <n v="-0.20923987153301793"/>
    <n v="170.65839016502147"/>
    <n v="433.93220031738281"/>
    <x v="2206"/>
    <n v="0"/>
    <s v="Tesla Inc."/>
    <s v="Consumer Discretionary"/>
  </r>
  <r>
    <x v="356"/>
    <n v="446.739990234375"/>
    <n v="447.92001342773438"/>
    <n v="431.1099853515625"/>
    <n v="432.10000610351563"/>
    <n v="87483000"/>
    <x v="4"/>
    <n v="4.0769733478105419"/>
    <n v="177.61608724785191"/>
    <n v="434.35"/>
    <x v="2207"/>
    <n v="0"/>
    <s v="Tesla Inc."/>
    <s v="Consumer Discretionary"/>
  </r>
  <r>
    <x v="357"/>
    <n v="446.739990234375"/>
    <n v="454.6300048828125"/>
    <n v="445.3900146484375"/>
    <n v="449.94000244140631"/>
    <n v="71906500"/>
    <x v="4"/>
    <n v="0"/>
    <n v="177.61608724785191"/>
    <n v="434.42899963378909"/>
    <x v="2208"/>
    <n v="0"/>
    <s v="Tesla Inc."/>
    <s v="Consumer Discretionary"/>
  </r>
  <r>
    <x v="358"/>
    <n v="455"/>
    <n v="458.8699951171875"/>
    <n v="451.66000366210938"/>
    <n v="453.02999877929688"/>
    <n v="56427500"/>
    <x v="4"/>
    <n v="1.8489523987524681"/>
    <n v="180.90012415359132"/>
    <n v="435.06119934082034"/>
    <x v="2209"/>
    <n v="0"/>
    <s v="Tesla Inc."/>
    <s v="Consumer Discretionary"/>
  </r>
  <r>
    <x v="359"/>
    <n v="439.57998657226563"/>
    <n v="449.75"/>
    <n v="435.25"/>
    <n v="447.45001220703131"/>
    <n v="69165800"/>
    <x v="4"/>
    <n v="-3.3890139401614006"/>
    <n v="174.76939372825683"/>
    <n v="435.04479919433595"/>
    <x v="2210"/>
    <n v="0"/>
    <s v="Tesla Inc."/>
    <s v="Consumer Discretionary"/>
  </r>
  <r>
    <x v="360"/>
    <n v="445.17001342773438"/>
    <n v="452.3900146484375"/>
    <n v="435.70001220703131"/>
    <n v="437.54000854492188"/>
    <n v="62367400"/>
    <x v="4"/>
    <n v="1.271674558948499"/>
    <n v="176.99189164512762"/>
    <n v="435.08399963378906"/>
    <x v="2211"/>
    <n v="0"/>
    <s v="Tesla Inc."/>
    <s v="Consumer Discretionary"/>
  </r>
  <r>
    <x v="361"/>
    <n v="451.45001220703131"/>
    <n v="456.8800048828125"/>
    <n v="443.6099853515625"/>
    <n v="446.07000732421881"/>
    <n v="78628600"/>
    <x v="4"/>
    <n v="1.410696720325344"/>
    <n v="179.48871045580722"/>
    <n v="435.21859985351563"/>
    <x v="2212"/>
    <n v="0"/>
    <s v="Tesla Inc."/>
    <s v="Consumer Discretionary"/>
  </r>
  <r>
    <x v="362"/>
    <n v="446.8900146484375"/>
    <n v="449.26998901367188"/>
    <n v="440.32998657226563"/>
    <n v="448.95001220703131"/>
    <n v="55979500"/>
    <x v="4"/>
    <n v="-1.0100780674035303"/>
    <n v="177.67573435802768"/>
    <n v="434.96720031738283"/>
    <x v="2213"/>
    <n v="0"/>
    <s v="Tesla Inc."/>
    <s v="Consumer Discretionary"/>
  </r>
  <r>
    <x v="363"/>
    <n v="458.95999145507813"/>
    <n v="463.010009765625"/>
    <n v="441.67001342773438"/>
    <n v="448.08999633789063"/>
    <n v="95656700"/>
    <x v="4"/>
    <n v="2.7008830833098685"/>
    <n v="182.47454821045022"/>
    <n v="435.42640014648435"/>
    <x v="2214"/>
    <n v="0"/>
    <s v="Tesla Inc."/>
    <s v="Consumer Discretionary"/>
  </r>
  <r>
    <x v="364"/>
    <n v="475.30999755859375"/>
    <n v="481.76998901367188"/>
    <n v="467.66000366210938"/>
    <n v="469.44000244140631"/>
    <n v="114542200"/>
    <x v="4"/>
    <n v="3.5624033484225714"/>
    <n v="188.97502762591824"/>
    <n v="436.33600036621095"/>
    <x v="2215"/>
    <n v="0"/>
    <s v="Tesla Inc."/>
    <s v="Consumer Discretionary"/>
  </r>
  <r>
    <x v="365"/>
    <n v="489.8800048828125"/>
    <n v="491.5"/>
    <n v="465.82998657226563"/>
    <n v="472.20999145507813"/>
    <n v="107608100"/>
    <x v="4"/>
    <n v="3.0653694218629735"/>
    <n v="194.76781033772025"/>
    <n v="437.0686004638672"/>
    <x v="2216"/>
    <n v="0"/>
    <s v="Tesla Inc."/>
    <s v="Consumer Discretionary"/>
  </r>
  <r>
    <x v="366"/>
    <n v="467.260009765625"/>
    <n v="495.27999877929688"/>
    <n v="466.20001220703131"/>
    <n v="488.22000122070313"/>
    <n v="106490400"/>
    <x v="4"/>
    <n v="-4.6174562937302488"/>
    <n v="185.77449182112059"/>
    <n v="437.75200073242189"/>
    <x v="2217"/>
    <n v="0"/>
    <s v="Tesla Inc."/>
    <s v="Consumer Discretionary"/>
  </r>
  <r>
    <x v="367"/>
    <n v="483.3699951171875"/>
    <n v="490.8599853515625"/>
    <n v="473.1199951171875"/>
    <n v="478.16000366210938"/>
    <n v="95168400"/>
    <x v="4"/>
    <n v="3.4477560704677446"/>
    <n v="192.17954314026386"/>
    <n v="438.64560058593747"/>
    <x v="2218"/>
    <n v="0"/>
    <s v="Tesla Inc."/>
    <s v="Consumer Discretionary"/>
  </r>
  <r>
    <x v="368"/>
    <n v="481.20001220703131"/>
    <n v="490.489990234375"/>
    <n v="474.72000122070313"/>
    <n v="488.1199951171875"/>
    <n v="103305400"/>
    <x v="4"/>
    <n v="-0.44892792934532189"/>
    <n v="191.31679549661897"/>
    <n v="439.55880065917967"/>
    <x v="2219"/>
    <n v="0"/>
    <s v="Tesla Inc."/>
    <s v="Consumer Discretionary"/>
  </r>
  <r>
    <x v="369"/>
    <n v="488.73001098632813"/>
    <n v="498.82998657226563"/>
    <n v="485.32998657226563"/>
    <n v="489.8800048828125"/>
    <n v="86916100"/>
    <x v="4"/>
    <n v="1.5648376118613028"/>
    <n v="194.31059267035781"/>
    <n v="441.06360107421875"/>
    <x v="2220"/>
    <n v="0"/>
    <s v="Tesla Inc."/>
    <s v="Consumer Discretionary"/>
  </r>
  <r>
    <x v="370"/>
    <n v="485.55999755859375"/>
    <n v="491.97000122070313"/>
    <n v="482.83999633789063"/>
    <n v="489.39999389648438"/>
    <n v="58223600"/>
    <x v="4"/>
    <n v="-0.64862262526846903"/>
    <n v="193.05025020300462"/>
    <n v="442.05680114746093"/>
    <x v="2221"/>
    <n v="0"/>
    <s v="Tesla Inc."/>
    <s v="Consumer Discretionary"/>
  </r>
  <r>
    <x v="371"/>
    <n v="485.39999389648438"/>
    <n v="490.89999389648438"/>
    <n v="476.79998779296881"/>
    <n v="488.48001098632813"/>
    <n v="41285400"/>
    <x v="4"/>
    <n v="-3.2952397832164415E-2"/>
    <n v="192.98663551654175"/>
    <n v="443.1800012207031"/>
    <x v="2222"/>
    <n v="0"/>
    <s v="Tesla Inc."/>
    <s v="Consumer Discretionary"/>
  </r>
  <r>
    <x v="372"/>
    <n v="475.19000244140631"/>
    <n v="489.08999633789063"/>
    <n v="473.82000732421881"/>
    <n v="485.23001098632813"/>
    <n v="58780700"/>
    <x v="4"/>
    <n v="-2.1034181259704465"/>
    <n v="188.9273196443863"/>
    <n v="443.98080139160157"/>
    <x v="2223"/>
    <n v="0"/>
    <s v="Tesla Inc."/>
    <s v="Consumer Discretionary"/>
  </r>
  <r>
    <x v="373"/>
    <n v="459.6400146484375"/>
    <n v="469.39999389648438"/>
    <n v="459"/>
    <n v="469"/>
    <n v="66263000"/>
    <x v="4"/>
    <n v="-3.2723726747357684"/>
    <n v="182.74491366123272"/>
    <n v="444.59860168457033"/>
    <x v="2224"/>
    <n v="0"/>
    <s v="Tesla Inc."/>
    <s v="Consumer Discretionary"/>
  </r>
  <r>
    <x v="374"/>
    <n v="454.42999267578131"/>
    <n v="463.1199951171875"/>
    <n v="453.82998657226563"/>
    <n v="461.08999633789063"/>
    <n v="59238500"/>
    <x v="4"/>
    <n v="-1.133500523587172"/>
    <n v="180.6734991080537"/>
    <n v="444.90100158691405"/>
    <x v="2225"/>
    <n v="0"/>
    <s v="Tesla Inc."/>
    <s v="Consumer Discretionary"/>
  </r>
  <r>
    <x v="375"/>
    <n v="449.72000122070313"/>
    <n v="456.54998779296881"/>
    <n v="449.29998779296881"/>
    <n v="456.10000610351563"/>
    <n v="49078000"/>
    <x v="4"/>
    <n v="-1.0364613980130888"/>
    <n v="178.8008880333592"/>
    <n v="444.94680175781252"/>
    <x v="2226"/>
    <n v="0"/>
    <s v="Tesla Inc."/>
    <s v="Consumer Discretionary"/>
  </r>
  <r>
    <x v="376"/>
    <n v="438.07000732421881"/>
    <n v="458.33999633789063"/>
    <n v="435.29998779296881"/>
    <n v="457.79998779296881"/>
    <n v="85535400"/>
    <x v="4"/>
    <n v="-2.590499391813128"/>
    <n v="174.16905211629856"/>
    <n v="444.85620178222655"/>
    <x v="2227"/>
    <n v="0"/>
    <s v="Tesla Inc."/>
    <s v="Consumer Discretionary"/>
  </r>
  <r>
    <x v="377"/>
    <n v="451.67001342773438"/>
    <n v="457.54998779296881"/>
    <n v="444.57000732421881"/>
    <n v="447.989990234375"/>
    <n v="67940800"/>
    <x v="4"/>
    <n v="3.1045280151877908"/>
    <n v="179.57617913303608"/>
    <n v="445.11020202636718"/>
    <x v="2228"/>
    <n v="0"/>
    <s v="Tesla Inc."/>
    <s v="Consumer Discretionary"/>
  </r>
  <r>
    <x v="378"/>
    <n v="432.95999145507813"/>
    <n v="448.25"/>
    <n v="428.77999877929688"/>
    <n v="446.3800048828125"/>
    <n v="89093800"/>
    <x v="4"/>
    <n v="-4.1424095947095179"/>
    <n v="172.13739825881643"/>
    <n v="444.78980163574221"/>
    <x v="2229"/>
    <n v="0"/>
    <s v="Tesla Inc."/>
    <s v="Consumer Discretionary"/>
  </r>
  <r>
    <x v="379"/>
    <n v="431.41000366210938"/>
    <n v="438.3699951171875"/>
    <n v="431.29000854492188"/>
    <n v="435.89999389648438"/>
    <n v="59828800"/>
    <x v="4"/>
    <n v="-0.35799792672750463"/>
    <n v="171.52114994192721"/>
    <n v="444.74360168457031"/>
    <x v="2230"/>
    <n v="0"/>
    <s v="Tesla Inc."/>
    <s v="Consumer Discretionary"/>
  </r>
  <r>
    <x v="380"/>
    <n v="435.79998779296881"/>
    <n v="436.8900146484375"/>
    <n v="424.3699951171875"/>
    <n v="427.8900146484375"/>
    <n v="57041100"/>
    <x v="4"/>
    <n v="1.017589785492734"/>
    <n v="173.26653164369591"/>
    <n v="444.41120117187501"/>
    <x v="2231"/>
    <n v="0"/>
    <s v="Tesla Inc."/>
    <s v="Consumer Discretionary"/>
  </r>
  <r>
    <x v="381"/>
    <n v="445.010009765625"/>
    <n v="449.04998779296881"/>
    <n v="430.3900146484375"/>
    <n v="435.95001220703131"/>
    <n v="67331500"/>
    <x v="4"/>
    <n v="2.1133598509946561"/>
    <n v="176.92827695866472"/>
    <n v="444.10040161132815"/>
    <x v="2232"/>
    <n v="0"/>
    <s v="Tesla Inc."/>
    <s v="Consumer Discretionary"/>
  </r>
  <r>
    <x v="382"/>
    <n v="445.010009765625"/>
    <n v="454.29998779296881"/>
    <n v="438"/>
    <n v="441.23001098632813"/>
    <n v="61649600"/>
    <x v="4"/>
    <n v="0"/>
    <n v="176.92827695866472"/>
    <n v="443.77040161132811"/>
    <x v="2233"/>
    <n v="0"/>
    <s v="Tesla Inc."/>
    <s v="Consumer Discretionary"/>
  </r>
  <r>
    <x v="383"/>
    <n v="447.20001220703131"/>
    <n v="451.80999755859375"/>
    <n v="443.95001220703131"/>
    <n v="450.20001220703131"/>
    <n v="53719200"/>
    <x v="4"/>
    <n v="0.49212431031826487"/>
    <n v="177.79898402140554"/>
    <n v="443.91240173339844"/>
    <x v="2234"/>
    <n v="0"/>
    <s v="Tesla Inc."/>
    <s v="Consumer Discretionary"/>
  </r>
  <r>
    <x v="384"/>
    <n v="439.20001220703131"/>
    <n v="443.91000366210938"/>
    <n v="434.22000122070313"/>
    <n v="442.80999755859375"/>
    <n v="57259500"/>
    <x v="4"/>
    <n v="-1.7889087168218576"/>
    <n v="174.61832249782591"/>
    <n v="443.56520202636716"/>
    <x v="2235"/>
    <n v="0"/>
    <s v="Tesla Inc."/>
    <s v="Consumer Discretionary"/>
  </r>
  <r>
    <x v="385"/>
    <n v="438.57000732421881"/>
    <n v="445.3599853515625"/>
    <n v="437.64999389648438"/>
    <n v="441.1300048828125"/>
    <n v="49465800"/>
    <x v="4"/>
    <n v="-0.14344373071545347"/>
    <n v="174.36784346152228"/>
    <n v="442.96920227050782"/>
    <x v="2236"/>
    <n v="0"/>
    <s v="Tesla Inc."/>
    <s v="Consumer Discretionary"/>
  </r>
  <r>
    <x v="386"/>
    <n v="437.5"/>
    <n v="447.25"/>
    <n v="435.260009765625"/>
    <n v="439.5"/>
    <n v="60220600"/>
    <x v="4"/>
    <n v="-0.24397640202235005"/>
    <n v="173.94242707076089"/>
    <n v="442.83400207519531"/>
    <x v="2237"/>
    <n v="0"/>
    <s v="Tesla Inc."/>
    <s v="Consumer Discretionary"/>
  </r>
  <r>
    <x v="387"/>
    <n v="419.25"/>
    <n v="430.73001098632813"/>
    <n v="417.44000244140631"/>
    <n v="429.3599853515625"/>
    <n v="63187300"/>
    <x v="4"/>
    <n v="-4.1714285714285708"/>
    <n v="166.68654297009488"/>
    <n v="441.97760192871095"/>
    <x v="2238"/>
    <n v="0"/>
    <s v="Tesla Inc."/>
    <s v="Consumer Discretionary"/>
  </r>
  <r>
    <x v="388"/>
    <n v="431.44000244140631"/>
    <n v="438.20001220703131"/>
    <n v="419.6199951171875"/>
    <n v="421.66000366210938"/>
    <n v="68124000"/>
    <x v="4"/>
    <n v="2.9075736294350119"/>
    <n v="171.53307693731023"/>
    <n v="441.68820190429688"/>
    <x v="2239"/>
    <n v="0"/>
    <s v="Tesla Inc."/>
    <s v="Consumer Discretionary"/>
  </r>
  <r>
    <x v="389"/>
    <n v="449.3599853515625"/>
    <n v="449.5"/>
    <n v="432.6300048828125"/>
    <n v="435.16000366210938"/>
    <n v="71546700"/>
    <x v="4"/>
    <n v="4.1535283721378935"/>
    <n v="178.6577519555025"/>
    <n v="442.08500183105468"/>
    <x v="2240"/>
    <n v="0"/>
    <s v="Tesla Inc."/>
    <s v="Consumer Discretionary"/>
  </r>
  <r>
    <x v="390"/>
    <n v="449.05999755859375"/>
    <n v="452.42999267578131"/>
    <n v="444.04000854492188"/>
    <n v="447.42999267578131"/>
    <n v="56771400"/>
    <x v="4"/>
    <n v="-6.6758902160379829E-2"/>
    <n v="178.53848200167261"/>
    <n v="442.16160156249998"/>
    <x v="2241"/>
    <n v="0"/>
    <s v="Tesla Inc."/>
    <s v="Consumer Discretionary"/>
  </r>
  <r>
    <x v="391"/>
    <n v="435.20001220703131"/>
    <n v="445.04000854492188"/>
    <n v="434.27999877929688"/>
    <n v="445"/>
    <n v="49397400"/>
    <x v="4"/>
    <n v="-3.0864440001146964"/>
    <n v="173.02799173603609"/>
    <n v="442.07320190429687"/>
    <x v="2242"/>
    <n v="0"/>
    <s v="Tesla Inc."/>
    <s v="Consumer Discretionary"/>
  </r>
  <r>
    <x v="392"/>
    <n v="430.89999389648438"/>
    <n v="437.51998901367188"/>
    <n v="430.69000244140631"/>
    <n v="437.41000366210938"/>
    <n v="37733100"/>
    <x v="4"/>
    <n v="-0.98805565026072184"/>
    <n v="171.31837888715552"/>
    <n v="442.07920166015623"/>
    <x v="2243"/>
    <n v="0"/>
    <s v="Tesla Inc."/>
    <s v="Consumer Discretionary"/>
  </r>
  <r>
    <x v="393"/>
    <n v="431.45999145507813"/>
    <n v="438.260009765625"/>
    <n v="430.10000610351563"/>
    <n v="431.91000366210938"/>
    <n v="54857400"/>
    <x v="4"/>
    <n v="0.12995998294869082"/>
    <n v="171.54102422314526"/>
    <n v="442.66860168457032"/>
    <x v="2244"/>
    <n v="0"/>
    <s v="Tesla Inc."/>
    <s v="Consumer Discretionary"/>
  </r>
  <r>
    <x v="394"/>
    <n v="416.55999755859375"/>
    <n v="440.23001098632813"/>
    <n v="414.6199951171875"/>
    <n v="437.79998779296881"/>
    <n v="81686100"/>
    <x v="4"/>
    <n v="-3.453389466363932"/>
    <n v="165.61704456213036"/>
    <n v="442.91280151367187"/>
    <x v="2245"/>
    <n v="0"/>
    <s v="Tesla Inc."/>
    <s v="Consumer Discretionary"/>
  </r>
  <r>
    <x v="395"/>
    <n v="430.41000366210938"/>
    <n v="439.8800048828125"/>
    <n v="422.70001220703131"/>
    <n v="425.35000610351563"/>
    <n v="82626100"/>
    <x v="4"/>
    <n v="3.3248526466028494"/>
    <n v="171.12356725147976"/>
    <n v="443.34260131835936"/>
    <x v="2246"/>
    <n v="0"/>
    <s v="Tesla Inc."/>
    <s v="Consumer Discretionary"/>
  </r>
  <r>
    <x v="396"/>
    <n v="421.80999755859375"/>
    <n v="427.14999389648438"/>
    <n v="414.5"/>
    <n v="421.29000854492188"/>
    <n v="58739500"/>
    <x v="4"/>
    <n v="-1.9980962408733927"/>
    <n v="167.70435368697949"/>
    <n v="443.75380126953127"/>
    <x v="2247"/>
    <n v="0"/>
    <s v="Tesla Inc."/>
    <s v="Consumer Discretionary"/>
  </r>
  <r>
    <x v="397"/>
    <n v="421.95999145507813"/>
    <n v="428.55999755859375"/>
    <n v="413.69000244140631"/>
    <n v="424.26998901367188"/>
    <n v="56886500"/>
    <x v="4"/>
    <n v="3.5559587812650228E-2"/>
    <n v="167.76398866389442"/>
    <n v="444.11320129394534"/>
    <x v="2248"/>
    <n v="0"/>
    <s v="Tesla Inc."/>
    <s v="Consumer Discretionary"/>
  </r>
  <r>
    <x v="398"/>
    <n v="406.010009765625"/>
    <n v="423.89999389648438"/>
    <n v="399.17999267578131"/>
    <n v="420.45999145507813"/>
    <n v="74606900"/>
    <x v="4"/>
    <n v="-3.7799748820857459"/>
    <n v="161.42255203121405"/>
    <n v="444.32880126953125"/>
    <x v="2249"/>
    <n v="0"/>
    <s v="Tesla Inc."/>
    <s v="Consumer Discretionary"/>
  </r>
  <r>
    <x v="399"/>
    <n v="397.20999145507813"/>
    <n v="402.10000610351563"/>
    <n v="387.52999877929688"/>
    <n v="397.01998901367188"/>
    <n v="72819800"/>
    <x v="4"/>
    <n v="-2.1674387573909382"/>
    <n v="157.92381707531996"/>
    <n v="444.45120117187503"/>
    <x v="2250"/>
    <n v="0"/>
    <s v="Tesla Inc."/>
    <s v="Consumer Discretionary"/>
  </r>
  <r>
    <x v="400"/>
    <n v="411.1099853515625"/>
    <n v="414.54998779296881"/>
    <n v="397.75"/>
    <n v="400.8699951171875"/>
    <n v="62677100"/>
    <x v="4"/>
    <n v="3.4994069120882987"/>
    <n v="163.45021404588741"/>
    <n v="444.31780090332029"/>
    <x v="2251"/>
    <n v="0"/>
    <s v="Tesla Inc."/>
    <s v="Consumer Discretionary"/>
  </r>
  <r>
    <x v="401"/>
    <n v="417.32000732421881"/>
    <n v="421.25"/>
    <n v="407.29000854492188"/>
    <n v="409.91000366210938"/>
    <n v="54484300"/>
    <x v="4"/>
    <n v="1.5105500216312517"/>
    <n v="165.9192112895139"/>
    <n v="444.27620117187502"/>
    <x v="2252"/>
    <n v="0"/>
    <s v="Tesla Inc."/>
    <s v="Consumer Discretionary"/>
  </r>
  <r>
    <x v="402"/>
    <n v="425.20999145507813"/>
    <n v="427.25"/>
    <n v="417"/>
    <n v="418.07998657226563"/>
    <n v="64450200"/>
    <x v="4"/>
    <n v="1.8906316477488083"/>
    <n v="169.05613240784868"/>
    <n v="444.24880126953127"/>
    <x v="2253"/>
    <n v="0"/>
    <s v="Tesla Inc."/>
    <s v="Consumer Discretionary"/>
  </r>
  <r>
    <x v="403"/>
    <n v="428.26998901367188"/>
    <n v="436.35000610351563"/>
    <n v="420.02999877929688"/>
    <n v="427.95999145507813"/>
    <n v="57362000"/>
    <x v="4"/>
    <n v="0.71964385129388297"/>
    <n v="170.27273446995702"/>
    <n v="444.21080078124999"/>
    <x v="2254"/>
    <n v="0"/>
    <s v="Tesla Inc."/>
    <s v="Consumer Discretionary"/>
  </r>
  <r>
    <x v="404"/>
    <n v="417.07000732421881"/>
    <n v="436.23001098632813"/>
    <n v="414"/>
    <n v="430.29998779296881"/>
    <n v="61933400"/>
    <x v="4"/>
    <n v="-2.615168463063966"/>
    <n v="165.81981561690205"/>
    <n v="443.94940063476565"/>
    <x v="2255"/>
    <n v="0"/>
    <s v="Tesla Inc."/>
    <s v="Consumer Discretionary"/>
  </r>
  <r>
    <x v="405"/>
    <n v="417.44000244140631"/>
    <n v="424.05999755859375"/>
    <n v="410.8800048828125"/>
    <n v="414.30999755859375"/>
    <n v="51434100"/>
    <x v="4"/>
    <n v="8.8712952427649761E-2"/>
    <n v="165.96691927104587"/>
    <n v="443.71340087890627"/>
    <x v="2256"/>
    <n v="0"/>
    <s v="Tesla Inc."/>
    <s v="Consumer Discretionary"/>
  </r>
  <r>
    <x v="406"/>
    <n v="410.6300048828125"/>
    <n v="413.72000122070313"/>
    <n v="400.510009765625"/>
    <n v="412.3599853515625"/>
    <n v="59678800"/>
    <x v="4"/>
    <n v="-1.6313715788533467"/>
    <n v="163.25938211975955"/>
    <n v="442.99120117187499"/>
    <x v="2257"/>
    <n v="0"/>
    <s v="Tesla Inc."/>
    <s v="Consumer Discretionary"/>
  </r>
  <r>
    <x v="407"/>
    <n v="411.32000732421881"/>
    <n v="416.89999389648438"/>
    <n v="409.57998657226563"/>
    <n v="411.1099853515625"/>
    <n v="45921400"/>
    <x v="4"/>
    <n v="0.16803507615164026"/>
    <n v="163.53371514682917"/>
    <n v="442.28280151367187"/>
    <x v="2258"/>
    <n v="0"/>
    <s v="Tesla Inc."/>
    <s v="Consumer Discretionary"/>
  </r>
  <r>
    <x v="408"/>
    <n v="411.70999145507813"/>
    <n v="415.25"/>
    <n v="404.1099853515625"/>
    <n v="407.25"/>
    <n v="51019600"/>
    <x v="4"/>
    <n v="9.481282794783219E-2"/>
    <n v="163.68876608680804"/>
    <n v="441.41700134277346"/>
    <x v="2259"/>
    <n v="0"/>
    <s v="Tesla Inc."/>
    <s v="Consumer Discretionary"/>
  </r>
  <r>
    <x v="409"/>
    <n v="411.82000732421881"/>
    <n v="414.70001220703131"/>
    <n v="405.5"/>
    <n v="408.29998779296881"/>
    <n v="57912200"/>
    <x v="4"/>
    <n v="2.672169037041261E-2"/>
    <n v="163.73250649205292"/>
    <n v="440.86180175781249"/>
    <x v="2260"/>
    <n v="0"/>
    <s v="Tesla Inc."/>
    <s v="Consumer Discretionary"/>
  </r>
  <r>
    <x v="410"/>
    <n v="399.82998657226563"/>
    <n v="407.70001220703131"/>
    <n v="394.04000854492188"/>
    <n v="407.29000854492188"/>
    <n v="69680000"/>
    <x v="4"/>
    <n v="-2.9114711618451472"/>
    <n v="158.96548178297056"/>
    <n v="439.95500122070314"/>
    <x v="2261"/>
    <n v="0"/>
    <s v="Tesla Inc."/>
    <s v="Consumer Discretionary"/>
  </r>
  <r>
    <x v="411"/>
    <n v="409.3800048828125"/>
    <n v="410.82000732421881"/>
    <n v="397.6400146484375"/>
    <n v="399.5"/>
    <n v="58579500"/>
    <x v="4"/>
    <n v="2.3885197787236967"/>
    <n v="162.76240375670022"/>
    <n v="439.11360107421876"/>
    <x v="2262"/>
    <n v="0"/>
    <s v="Tesla Inc."/>
    <s v="Consumer Discretionary"/>
  </r>
  <r>
    <x v="412"/>
    <n v="417.39999389648438"/>
    <n v="420.33999633789063"/>
    <n v="412.14999389648438"/>
    <n v="412.14999389648438"/>
    <n v="54809700"/>
    <x v="4"/>
    <n v="1.9590573349979934"/>
    <n v="165.95101256611491"/>
    <n v="438.5238006591797"/>
    <x v="2263"/>
    <n v="0"/>
    <s v="Tesla Inc."/>
    <s v="Consumer Discretionary"/>
  </r>
  <r>
    <x v="413"/>
    <n v="417.39999389648438"/>
    <n v="416.80999755859375"/>
    <n v="403.66000366210938"/>
    <n v="414.42001342773438"/>
    <n v="53602500"/>
    <x v="4"/>
    <n v="0"/>
    <n v="165.95101256611491"/>
    <n v="437.69260070800783"/>
    <x v="2264"/>
    <n v="0"/>
    <s v="Tesla Inc."/>
    <s v="Consumer Discretionary"/>
  </r>
  <r>
    <x v="414"/>
    <n v="402.510009765625"/>
    <n v="407.1199951171875"/>
    <n v="398.1099853515625"/>
    <n v="402.94000244140631"/>
    <n v="56890100"/>
    <x v="4"/>
    <n v="-3.5673177643965381"/>
    <n v="160.03101261464795"/>
    <n v="436.23660095214842"/>
    <x v="2265"/>
    <n v="0"/>
    <s v="Tesla Inc."/>
    <s v="Consumer Discretionary"/>
  </r>
  <r>
    <x v="415"/>
    <n v="403.32000732421881"/>
    <n v="404.54000854492188"/>
    <n v="388.25"/>
    <n v="390.60000610351563"/>
    <n v="55088300"/>
    <x v="4"/>
    <n v="0.20123662491411398"/>
    <n v="160.35305362324954"/>
    <n v="434.50540100097658"/>
    <x v="2266"/>
    <n v="0"/>
    <s v="Tesla Inc."/>
    <s v="Consumer Discretionary"/>
  </r>
  <r>
    <x v="416"/>
    <n v="392.42999267578131"/>
    <n v="396.33999633789063"/>
    <n v="385.3900146484375"/>
    <n v="395.08999633789063"/>
    <n v="62617300"/>
    <x v="4"/>
    <n v="-2.7000928420799375"/>
    <n v="156.02337230031159"/>
    <n v="433.00880065917971"/>
    <x v="2267"/>
    <n v="0"/>
    <s v="Tesla Inc."/>
    <s v="Consumer Discretionary"/>
  </r>
  <r>
    <x v="417"/>
    <n v="405.94000244140631"/>
    <n v="408.32998657226563"/>
    <n v="394.57998657226563"/>
    <n v="397.85000610351563"/>
    <n v="68305500"/>
    <x v="4"/>
    <n v="3.4426547455017609"/>
    <n v="161.39471833090016"/>
    <n v="431.46020080566404"/>
    <x v="2268"/>
    <n v="0"/>
    <s v="Tesla Inc."/>
    <s v="Consumer Discretionary"/>
  </r>
  <r>
    <x v="418"/>
    <n v="405.54998779296881"/>
    <n v="408.6199951171875"/>
    <n v="399.42001342773438"/>
    <n v="401.57000732421881"/>
    <n v="51925900"/>
    <x v="4"/>
    <n v="-9.6076919271781414E-2"/>
    <n v="161.23965525766044"/>
    <n v="429.94720031738279"/>
    <x v="2269"/>
    <n v="0"/>
    <s v="Tesla Inc."/>
    <s v="Consumer Discretionary"/>
  </r>
  <r>
    <x v="419"/>
    <n v="396.73001098632813"/>
    <n v="402.35000610351563"/>
    <n v="394.20999145507813"/>
    <n v="398.08999633789063"/>
    <n v="64054600"/>
    <x v="4"/>
    <n v="-2.1748186591348695"/>
    <n v="157.73298514919213"/>
    <n v="428.10720031738282"/>
    <x v="2270"/>
    <n v="0"/>
    <s v="Tesla Inc."/>
    <s v="Consumer Discretionary"/>
  </r>
  <r>
    <x v="420"/>
    <n v="398.67999267578131"/>
    <n v="401.58999633789063"/>
    <n v="381.39999389648438"/>
    <n v="390.04998779296881"/>
    <n v="67018900"/>
    <x v="4"/>
    <n v="0.49151353198746417"/>
    <n v="158.50826411560817"/>
    <n v="426.36960021972658"/>
    <x v="2271"/>
    <n v="0"/>
    <s v="Tesla Inc."/>
    <s v="Consumer Discretionary"/>
  </r>
  <r>
    <x v="421"/>
    <n v="399.239990234375"/>
    <n v="406.58999633789063"/>
    <n v="398.19000244140631"/>
    <n v="402.22000122070313"/>
    <n v="59258700"/>
    <x v="4"/>
    <n v="0.14046291985589932"/>
    <n v="158.73090945159788"/>
    <n v="424.64640014648438"/>
    <x v="2272"/>
    <n v="0"/>
    <s v="Tesla Inc."/>
    <s v="Consumer Discretionary"/>
  </r>
  <r>
    <x v="422"/>
    <n v="407.82000732421881"/>
    <n v="416.3800048828125"/>
    <n v="402.14999389648438"/>
    <n v="402.27999877929688"/>
    <n v="62559900"/>
    <x v="4"/>
    <n v="2.1490875913524832"/>
    <n v="162.14217573026309"/>
    <n v="423.29900024414064"/>
    <x v="2273"/>
    <n v="0"/>
    <s v="Tesla Inc."/>
    <s v="Consumer Discretionary"/>
  </r>
  <r>
    <x v="423"/>
    <n v="395.010009765625"/>
    <n v="406.5"/>
    <n v="394.64999389648438"/>
    <n v="405.17999267578131"/>
    <n v="60973800"/>
    <x v="4"/>
    <n v="-3.1410910030242323"/>
    <n v="157.04914243629207"/>
    <n v="422.0064001464844"/>
    <x v="2274"/>
    <n v="0"/>
    <s v="Tesla Inc."/>
    <s v="Consumer Discretionary"/>
  </r>
  <r>
    <x v="424"/>
    <n v="391.20001220703131"/>
    <n v="400.20001220703131"/>
    <n v="389.95001220703131"/>
    <n v="399.17001342773438"/>
    <n v="58504100"/>
    <x v="4"/>
    <n v="-0.96453190157239632"/>
    <n v="155.53435335634816"/>
    <n v="420.74180053710938"/>
    <x v="2275"/>
    <n v="0"/>
    <s v="Tesla Inc."/>
    <s v="Consumer Discretionary"/>
  </r>
  <r>
    <x v="425"/>
    <n v="395.55999755859375"/>
    <n v="403.73001098632813"/>
    <n v="394.42001342773438"/>
    <n v="396.22000122070313"/>
    <n v="58068300"/>
    <x v="4"/>
    <n v="1.1145156481373153"/>
    <n v="157.26780806273385"/>
    <n v="419.65860046386717"/>
    <x v="2276"/>
    <n v="0"/>
    <s v="Tesla Inc."/>
    <s v="Consumer Discretionary"/>
  </r>
  <r>
    <x v="426"/>
    <n v="399.26998901367188"/>
    <n v="400.1199951171875"/>
    <n v="393"/>
    <n v="395.69000244140631"/>
    <n v="46890500"/>
    <x v="4"/>
    <n v="0.93790865557090708"/>
    <n v="158.74283644698087"/>
    <n v="418.88260009765622"/>
    <x v="2277"/>
    <n v="0"/>
    <s v="Tesla Inc."/>
    <s v="Consumer Discretionary"/>
  </r>
  <r>
    <x v="427"/>
    <n v="392.77999877929688"/>
    <n v="403.07000732421881"/>
    <n v="392.30999755859375"/>
    <n v="399"/>
    <n v="50853100"/>
    <x v="4"/>
    <n v="-1.6254640751756533"/>
    <n v="156.16252866862035"/>
    <n v="417.70479980468753"/>
    <x v="2278"/>
    <n v="0"/>
    <s v="Tesla Inc."/>
    <s v="Consumer Discretionary"/>
  </r>
  <r>
    <x v="428"/>
    <n v="380.29998779296881"/>
    <n v="387.26998901367188"/>
    <n v="378.73001098632813"/>
    <n v="387.26998901367188"/>
    <n v="67078300"/>
    <x v="4"/>
    <n v="-3.1773539959046082"/>
    <n v="151.20069232386223"/>
    <n v="416.65159973144529"/>
    <x v="2279"/>
    <n v="0"/>
    <s v="Tesla Inc."/>
    <s v="Consumer Discretionary"/>
  </r>
  <r>
    <x v="429"/>
    <n v="367.95999145507813"/>
    <n v="379.8900146484375"/>
    <n v="364.45999145507813"/>
    <n v="379.85000610351563"/>
    <n v="78628600"/>
    <x v="4"/>
    <n v="-3.2448058727281515"/>
    <n v="146.29452337973194"/>
    <n v="415.38259948730467"/>
    <x v="2280"/>
    <n v="0"/>
    <s v="Tesla Inc."/>
    <s v="Consumer Discretionary"/>
  </r>
  <r>
    <x v="430"/>
    <n v="380.85000610351563"/>
    <n v="385.32998657226563"/>
    <n v="372.73001098632813"/>
    <n v="373.08999633789063"/>
    <n v="74606000"/>
    <x v="4"/>
    <n v="3.5031022251806876"/>
    <n v="151.41937008356481"/>
    <n v="414.28359985351563"/>
    <x v="2281"/>
    <n v="0"/>
    <s v="Tesla Inc."/>
    <s v="Consumer Discretionary"/>
  </r>
  <r>
    <x v="431"/>
    <n v="383.02999877929688"/>
    <n v="387.48001098632813"/>
    <n v="376.30999755859375"/>
    <n v="376.55999755859375"/>
    <n v="60004900"/>
    <x v="4"/>
    <n v="0.57240190123266643"/>
    <n v="152.28609743675767"/>
    <n v="413.04399963378904"/>
    <x v="2282"/>
    <n v="0"/>
    <s v="Tesla Inc."/>
    <s v="Consumer Discretionary"/>
  </r>
  <r>
    <x v="432"/>
    <n v="385.95001220703131"/>
    <n v="396.23001098632813"/>
    <n v="385.010009765625"/>
    <n v="389.989990234375"/>
    <n v="55157300"/>
    <x v="4"/>
    <n v="0.76234588336172582"/>
    <n v="153.44704423149901"/>
    <n v="411.86279968261721"/>
    <x v="2283"/>
    <n v="0"/>
    <s v="Tesla Inc."/>
    <s v="Consumer Discretionary"/>
  </r>
  <r>
    <x v="433"/>
    <n v="372.1099853515625"/>
    <n v="384.44000244140631"/>
    <n v="371.8699951171875"/>
    <n v="381.60000610351563"/>
    <n v="55522900"/>
    <x v="4"/>
    <n v="-3.5859635750043029"/>
    <n v="147.94448911843671"/>
    <n v="410.36099914550783"/>
    <x v="2284"/>
    <n v="0"/>
    <s v="Tesla Inc."/>
    <s v="Consumer Discretionary"/>
  </r>
  <r>
    <x v="434"/>
    <n v="361.82998657226563"/>
    <n v="369.8599853515625"/>
    <n v="359.47000122070313"/>
    <n v="369.69000244140631"/>
    <n v="62065700"/>
    <x v="4"/>
    <n v="-2.7626237359861583"/>
    <n v="143.85733954596733"/>
    <n v="408.8135986328125"/>
    <x v="2285"/>
    <n v="0"/>
    <s v="Tesla Inc."/>
    <s v="Consumer Discretionary"/>
  </r>
  <r>
    <x v="435"/>
    <n v="361.82998657226563"/>
    <n v="367.29000854492188"/>
    <n v="352.1400146484375"/>
    <n v="365.8599853515625"/>
    <n v="67954400"/>
    <x v="4"/>
    <n v="0"/>
    <n v="143.85733954596733"/>
    <n v="407.27879821777344"/>
    <x v="2286"/>
    <n v="0"/>
    <s v="Tesla Inc."/>
    <s v="Consumer Discretionary"/>
  </r>
  <r>
    <x v="436"/>
    <n v="371.75"/>
    <n v="373.32998657226563"/>
    <n v="361"/>
    <n v="361.510009765625"/>
    <n v="75534900"/>
    <x v="4"/>
    <n v="2.7416228051494462"/>
    <n v="147.80136517384085"/>
    <n v="405.96379821777344"/>
    <x v="2287"/>
    <n v="0"/>
    <s v="Tesla Inc."/>
    <s v="Consumer Discretionary"/>
  </r>
  <r>
    <x v="437"/>
    <n v="381.260009765625"/>
    <n v="383.1400146484375"/>
    <n v="374.07998657226563"/>
    <n v="378.6300048828125"/>
    <n v="58683800"/>
    <x v="4"/>
    <n v="2.5581734406523227"/>
    <n v="151.58238044263956"/>
    <n v="405.20399841308591"/>
    <x v="2288"/>
    <n v="0"/>
    <s v="Tesla Inc."/>
    <s v="Consumer Discretionary"/>
  </r>
  <r>
    <x v="438"/>
    <n v="360.58999633789063"/>
    <n v="370.27999877929688"/>
    <n v="359.02999877929688"/>
    <n v="364.20001220703131"/>
    <n v="83031200"/>
    <x v="4"/>
    <n v="-5.4215005241281418"/>
    <n v="143.36434089245594"/>
    <n v="403.78699829101561"/>
    <x v="2289"/>
    <n v="0"/>
    <s v="Tesla Inc."/>
    <s v="Consumer Discretionary"/>
  </r>
  <r>
    <x v="439"/>
    <n v="352.82000732421875"/>
    <n v="367.72000122070313"/>
    <n v="346.6400146484375"/>
    <n v="362.58999633789063"/>
    <n v="77697600"/>
    <x v="4"/>
    <n v="-2.1547988276388597"/>
    <n v="140.27512775565313"/>
    <n v="401.85619873046875"/>
    <x v="2290"/>
    <n v="0"/>
    <s v="Tesla Inc."/>
    <s v="Consumer Discretionary"/>
  </r>
  <r>
    <x v="440"/>
    <n v="346.64999389648438"/>
    <n v="348.01998901367188"/>
    <n v="337.239990234375"/>
    <n v="346.44000244140625"/>
    <n v="74515400"/>
    <x v="4"/>
    <n v="-1.7487708462248674"/>
    <n v="137.8220372169576"/>
    <n v="399.80799865722656"/>
    <x v="2291"/>
    <n v="0"/>
    <s v="Tesla Inc."/>
    <s v="Consumer Discretionary"/>
  </r>
  <r>
    <x v="441"/>
    <n v="343.25"/>
    <n v="364.5"/>
    <n v="339.67001342773438"/>
    <n v="363.79000854492188"/>
    <n v="78838600"/>
    <x v="4"/>
    <n v="-0.98081464195832746"/>
    <n v="136.47025849608841"/>
    <n v="397.96899841308596"/>
    <x v="2292"/>
    <n v="0"/>
    <s v="Tesla Inc."/>
    <s v="Consumer Discretionary"/>
  </r>
  <r>
    <x v="442"/>
    <n v="345.6199951171875"/>
    <n v="348.8800048828125"/>
    <n v="337.25"/>
    <n v="343.14999389648438"/>
    <n v="62164000"/>
    <x v="4"/>
    <n v="0.69045742671158816"/>
    <n v="137.41252753112713"/>
    <n v="396.26339843749997"/>
    <x v="2293"/>
    <n v="0"/>
    <s v="Tesla Inc."/>
    <s v="Consumer Discretionary"/>
  </r>
  <r>
    <x v="443"/>
    <n v="348.95001220703125"/>
    <n v="350.3599853515625"/>
    <n v="342.739990234375"/>
    <n v="346.29000854492188"/>
    <n v="51336000"/>
    <x v="4"/>
    <n v="0.96349086768392489"/>
    <n v="138.73648468494321"/>
    <n v="394.61319885253909"/>
    <x v="2294"/>
    <n v="0"/>
    <s v="Tesla Inc."/>
    <s v="Consumer Discretionary"/>
  </r>
  <r>
    <x v="444"/>
    <n v="352.42001342773438"/>
    <n v="356.35000610351563"/>
    <n v="348.57000732421875"/>
    <n v="350.07000732421875"/>
    <n v="53617500"/>
    <x v="4"/>
    <n v="0.9944121218842028"/>
    <n v="140.11609710612632"/>
    <n v="393.33039916992186"/>
    <x v="2295"/>
    <n v="0"/>
    <s v="Tesla Inc."/>
    <s v="Consumer Discretionary"/>
  </r>
  <r>
    <x v="445"/>
    <n v="364.20001220703131"/>
    <n v="367.6300048828125"/>
    <n v="354.76998901367188"/>
    <n v="357.67001342773438"/>
    <n v="59979600"/>
    <x v="4"/>
    <n v="3.3426021027357145"/>
    <n v="144.79962071426689"/>
    <n v="392.00619934082033"/>
    <x v="2296"/>
    <n v="0"/>
    <s v="Tesla Inc."/>
    <s v="Consumer Discretionary"/>
  </r>
  <r>
    <x v="446"/>
    <n v="391.95001220703131"/>
    <n v="394.64999389648438"/>
    <n v="362.5"/>
    <n v="366.82998657226563"/>
    <n v="113810400"/>
    <x v="4"/>
    <n v="7.6194396128205888"/>
    <n v="155.83254037418374"/>
    <n v="391.40899963378905"/>
    <x v="2297"/>
    <n v="0"/>
    <s v="Tesla Inc."/>
    <s v="Consumer Discretionary"/>
  </r>
  <r>
    <x v="447"/>
    <n v="388.89999389648438"/>
    <n v="394.05999755859375"/>
    <n v="381.79998779296881"/>
    <n v="393.80999755859375"/>
    <n v="63515100"/>
    <x v="4"/>
    <n v="-0.77816512707132857"/>
    <n v="154.6199058883625"/>
    <n v="390.7477996826172"/>
    <x v="2298"/>
    <n v="0"/>
    <s v="Tesla Inc."/>
    <s v="Consumer Discretionary"/>
  </r>
  <r>
    <x v="448"/>
    <n v="400.6199951171875"/>
    <n v="409.27999877929688"/>
    <n v="391.64999389648438"/>
    <n v="395.92001342773438"/>
    <n v="90640000"/>
    <x v="4"/>
    <n v="3.0136285432348808"/>
    <n v="159.27957550573709"/>
    <n v="390.63999938964844"/>
    <x v="2299"/>
    <n v="0"/>
    <s v="Tesla Inc."/>
    <s v="Consumer Discretionary"/>
  </r>
  <r>
    <x v="449"/>
    <n v="392.5"/>
    <n v="406.79998779296881"/>
    <n v="388.32998657226563"/>
    <n v="402.57998657226563"/>
    <n v="64603900"/>
    <x v="4"/>
    <n v="-2.0268571754168851"/>
    <n v="156.05120600062548"/>
    <n v="390.54579956054687"/>
    <x v="2300"/>
    <n v="0"/>
    <s v="Tesla Inc."/>
    <s v="Consumer Discretionary"/>
  </r>
  <r>
    <x v="450"/>
    <n v="386.42001342773438"/>
    <n v="393.95001220703131"/>
    <n v="385.22000122070313"/>
    <n v="393"/>
    <n v="50530600"/>
    <x v="4"/>
    <n v="-1.5490411649084379"/>
    <n v="153.63390858133974"/>
    <n v="390.0520001220703"/>
    <x v="2301"/>
    <n v="0"/>
    <s v="Tesla Inc."/>
    <s v="Consumer Discretionary"/>
  </r>
  <r>
    <x v="451"/>
    <n v="387.510009765625"/>
    <n v="393.010009765625"/>
    <n v="385.29998779296881"/>
    <n v="387.57000732421881"/>
    <n v="62362800"/>
    <x v="4"/>
    <n v="0.28207553957204645"/>
    <n v="154.06727225793614"/>
    <n v="389.45580017089844"/>
    <x v="2302"/>
    <n v="0"/>
    <s v="Tesla Inc."/>
    <s v="Consumer Discretionary"/>
  </r>
  <r>
    <x v="452"/>
    <n v="373.72000122070313"/>
    <n v="386"/>
    <n v="368.3900146484375"/>
    <n v="375.27999877929688"/>
    <n v="93969500"/>
    <x v="4"/>
    <n v="-3.5586199575237787"/>
    <n v="148.58460355935276"/>
    <n v="388.42600036621093"/>
    <x v="2303"/>
    <n v="0"/>
    <s v="Tesla Inc."/>
    <s v="Consumer Discretionary"/>
  </r>
  <r>
    <x v="453"/>
    <n v="376.29998779296881"/>
    <n v="382.760009765625"/>
    <n v="370.73001098632813"/>
    <n v="373.5"/>
    <n v="62893300"/>
    <x v="4"/>
    <n v="0.69035282132037246"/>
    <n v="149.61036156207243"/>
    <n v="387.38660034179685"/>
    <x v="2304"/>
    <n v="0"/>
    <s v="Tesla Inc."/>
    <s v="Consumer Discretionary"/>
  </r>
  <r>
    <x v="454"/>
    <n v="378.67001342773438"/>
    <n v="380.77999877929688"/>
    <n v="364.01998901367188"/>
    <n v="372.08999633789063"/>
    <n v="66735800"/>
    <x v="4"/>
    <n v="0.62982346841571335"/>
    <n v="150.55264273037196"/>
    <n v="386.61860046386721"/>
    <x v="2305"/>
    <n v="0"/>
    <s v="Tesla Inc."/>
    <s v="Consumer Discretionary"/>
  </r>
  <r>
    <x v="455"/>
    <n v="376.01998901367188"/>
    <n v="382.29000854492188"/>
    <n v="372.54000854492188"/>
    <n v="374.67999267578131"/>
    <n v="50864400"/>
    <x v="4"/>
    <n v="-0.69982420579712823"/>
    <n v="149.49903889407756"/>
    <n v="385.79020019531248"/>
    <x v="2306"/>
    <n v="0"/>
    <s v="Tesla Inc."/>
    <s v="Consumer Discretionary"/>
  </r>
  <r>
    <x v="456"/>
    <n v="372.79998779296881"/>
    <n v="376.39999389648438"/>
    <n v="370.04000854492188"/>
    <n v="375.39999389648438"/>
    <n v="45384800"/>
    <x v="4"/>
    <n v="-0.85633777851793491"/>
    <n v="148.21882214550635"/>
    <n v="385.03359985351563"/>
    <x v="2307"/>
    <n v="0"/>
    <s v="Tesla Inc."/>
    <s v="Consumer Discretionary"/>
  </r>
  <r>
    <x v="457"/>
    <n v="381.6300048828125"/>
    <n v="384.75"/>
    <n v="368.17001342773438"/>
    <n v="372.75"/>
    <n v="51076000"/>
    <x v="4"/>
    <n v="2.3685668935019777"/>
    <n v="151.72948409678341"/>
    <n v="384.43979980468748"/>
    <x v="2308"/>
    <n v="0"/>
    <s v="Tesla Inc."/>
    <s v="Consumer Discretionary"/>
  </r>
  <r>
    <x v="458"/>
    <n v="390.82000732421881"/>
    <n v="397.82000732421881"/>
    <n v="378.79998779296881"/>
    <n v="382.489990234375"/>
    <n v="65338300"/>
    <x v="4"/>
    <n v="2.4080922159745555"/>
    <n v="155.38326999265638"/>
    <n v="384.02200012207032"/>
    <x v="2309"/>
    <n v="0"/>
    <s v="Tesla Inc."/>
    <s v="Consumer Discretionary"/>
  </r>
  <r>
    <x v="459"/>
    <n v="392.510009765625"/>
    <n v="394.6400146484375"/>
    <n v="384.79998779296881"/>
    <n v="390.23001098632813"/>
    <n v="48765100"/>
    <x v="4"/>
    <n v="0.43242475045659479"/>
    <n v="156.05518571017342"/>
    <n v="383.63580017089845"/>
    <x v="2310"/>
    <n v="0"/>
    <s v="Tesla Inc."/>
    <s v="Consumer Discretionary"/>
  </r>
  <r>
    <x v="460"/>
    <n v="389.3699951171875"/>
    <n v="402.1199951171875"/>
    <n v="389"/>
    <n v="395.19000244140631"/>
    <n v="47780600"/>
    <x v="4"/>
    <n v="-0.7999833304410453"/>
    <n v="154.80677023820323"/>
    <n v="383.42660034179687"/>
    <x v="2311"/>
    <n v="0"/>
    <s v="Tesla Inc."/>
    <s v="Consumer Discretionary"/>
  </r>
  <r>
    <x v="461"/>
    <n v="398.73001098632813"/>
    <n v="401.67999267578131"/>
    <n v="384.01998901367188"/>
    <n v="386.25"/>
    <n v="53465400"/>
    <x v="4"/>
    <n v="2.4038873016714035"/>
    <n v="158.52815053008703"/>
    <n v="383.21360046386718"/>
    <x v="2312"/>
    <n v="0"/>
    <s v="Tesla Inc."/>
    <s v="Consumer Discretionary"/>
  </r>
  <r>
    <x v="462"/>
    <n v="411.79000854492188"/>
    <n v="415.82998657226563"/>
    <n v="402.1199951171875"/>
    <n v="407.48001098632813"/>
    <n v="64294200"/>
    <x v="4"/>
    <n v="3.275398690529352"/>
    <n v="163.7205794966699"/>
    <n v="383.10140075683591"/>
    <x v="2313"/>
    <n v="0"/>
    <s v="Tesla Inc."/>
    <s v="Consumer Discretionary"/>
  </r>
  <r>
    <x v="463"/>
    <n v="428.35000610351563"/>
    <n v="431.20001220703131"/>
    <n v="416.3900146484375"/>
    <n v="416.48001098632813"/>
    <n v="65050000"/>
    <x v="4"/>
    <n v="4.0214665764012114"/>
    <n v="170.30454787981887"/>
    <n v="383.32040100097657"/>
    <x v="2314"/>
    <n v="0"/>
    <s v="Tesla Inc."/>
    <s v="Consumer Discretionary"/>
  </r>
  <r>
    <x v="464"/>
    <n v="445"/>
    <n v="449.16000366210938"/>
    <n v="416.79998779296881"/>
    <n v="422.16000366210938"/>
    <n v="78376100"/>
    <x v="4"/>
    <n v="3.8870068073398656"/>
    <n v="176.92429724911679"/>
    <n v="384.17020080566408"/>
    <x v="2315"/>
    <n v="0"/>
    <s v="Tesla Inc."/>
    <s v="Consumer Discretionary"/>
  </r>
  <r>
    <x v="465"/>
    <n v="433.45001220703131"/>
    <n v="447.79998779296881"/>
    <n v="422.260009765625"/>
    <n v="441.41000366210938"/>
    <n v="60569300"/>
    <x v="4"/>
    <n v="-2.5955028748244291"/>
    <n v="172.33222202775303"/>
    <n v="384.77280090332033"/>
    <x v="2316"/>
    <n v="0"/>
    <s v="Tesla Inc."/>
    <s v="Consumer Discretionary"/>
  </r>
  <r>
    <x v="466"/>
    <n v="445.26998901367188"/>
    <n v="453.39999389648438"/>
    <n v="430.20999145507813"/>
    <n v="436.67001342773438"/>
    <n v="68283200"/>
    <x v="4"/>
    <n v="2.7269526989873283"/>
    <n v="177.03164020756373"/>
    <n v="385.82960083007811"/>
    <x v="2317"/>
    <n v="0"/>
    <s v="Tesla Inc."/>
    <s v="Consumer Discretionary"/>
  </r>
  <r>
    <x v="467"/>
    <n v="443.29998779296881"/>
    <n v="451.98001098632813"/>
    <n v="441.16000366210938"/>
    <n v="446.489990234375"/>
    <n v="46070400"/>
    <x v="4"/>
    <n v="-0.44242847470292723"/>
    <n v="176.24840182205182"/>
    <n v="386.57680053710936"/>
    <x v="2318"/>
    <n v="0"/>
    <s v="Tesla Inc."/>
    <s v="Consumer Discretionary"/>
  </r>
  <r>
    <x v="468"/>
    <n v="422.239990234375"/>
    <n v="434.66000366210938"/>
    <n v="422"/>
    <n v="433.98001098632813"/>
    <n v="52688700"/>
    <x v="4"/>
    <n v="-4.7507327179150067"/>
    <n v="167.87531133188929"/>
    <n v="386.91060058593752"/>
    <x v="2319"/>
    <n v="0"/>
    <s v="Tesla Inc."/>
    <s v="Consumer Discretionary"/>
  </r>
  <r>
    <x v="469"/>
    <n v="409.989990234375"/>
    <n v="421.1300048828125"/>
    <n v="405.32998657226563"/>
    <n v="419.26998901367188"/>
    <n v="52474200"/>
    <x v="4"/>
    <n v="-2.9011937010514632"/>
    <n v="163.00492337390799"/>
    <n v="387.17580017089841"/>
    <x v="2320"/>
    <n v="0"/>
    <s v="Tesla Inc."/>
    <s v="Consumer Discretionary"/>
  </r>
  <r>
    <x v="470"/>
    <n v="404.1099853515625"/>
    <n v="405.6300048828125"/>
    <n v="393.6300048828125"/>
    <n v="403.16000366210938"/>
    <n v="46500600"/>
    <x v="4"/>
    <n v="-1.4341825466156255"/>
    <n v="160.66713521275523"/>
    <n v="387.28440002441408"/>
    <x v="2321"/>
    <n v="0"/>
    <s v="Tesla Inc."/>
    <s v="Consumer Discretionary"/>
  </r>
  <r>
    <x v="471"/>
    <n v="417.260009765625"/>
    <n v="417.45999145507813"/>
    <n v="406.3900146484375"/>
    <n v="407.60000610351563"/>
    <n v="45294700"/>
    <x v="4"/>
    <n v="3.2540706467875102"/>
    <n v="165.89535729874788"/>
    <n v="387.64480041503913"/>
    <x v="2322"/>
    <n v="0"/>
    <s v="Tesla Inc."/>
    <s v="Consumer Discretionary"/>
  </r>
  <r>
    <x v="472"/>
    <n v="417.85000610351563"/>
    <n v="426.95001220703131"/>
    <n v="412.89999389648438"/>
    <n v="422.17999267578131"/>
    <n v="42636900"/>
    <x v="4"/>
    <n v="0.14139776735901943"/>
    <n v="166.12992963012059"/>
    <n v="387.845400390625"/>
    <x v="2323"/>
    <n v="0"/>
    <s v="Tesla Inc."/>
    <s v="Consumer Discretionary"/>
  </r>
  <r>
    <x v="473"/>
    <n v="426.010009765625"/>
    <n v="431.510009765625"/>
    <n v="420.510009765625"/>
    <n v="422.67001342773438"/>
    <n v="46104700"/>
    <x v="4"/>
    <n v="1.9528547428303344"/>
    <n v="169.37420584016311"/>
    <n v="388.46540039062501"/>
    <x v="2324"/>
    <n v="0"/>
    <s v="Tesla Inc."/>
    <s v="Consumer Discretionary"/>
  </r>
  <r>
    <x v="474"/>
    <n v="433.58999633789063"/>
    <n v="435.20001220703131"/>
    <n v="426.1199951171875"/>
    <n v="430.260009765625"/>
    <n v="45658900"/>
    <x v="4"/>
    <n v="1.7792977626126305"/>
    <n v="172.38787729512006"/>
    <n v="389.31320007324223"/>
    <x v="2325"/>
    <n v="0"/>
    <s v="Tesla Inc."/>
    <s v="Consumer Discretionary"/>
  </r>
  <r>
    <x v="475"/>
    <n v="440.3599853515625"/>
    <n v="445.60000610351563"/>
    <n v="435.51998901367188"/>
    <n v="442.8900146484375"/>
    <n v="44656500"/>
    <x v="4"/>
    <n v="1.5613803526030035"/>
    <n v="175.07950774147542"/>
    <n v="390.20919982910158"/>
    <x v="2326"/>
    <n v="0"/>
    <s v="Tesla Inc."/>
    <s v="Consumer Discretionary"/>
  </r>
  <r>
    <x v="476"/>
    <n v="442.10000610351563"/>
    <n v="443.95999145507813"/>
    <n v="436.29998779296881"/>
    <n v="437.6199951171875"/>
    <n v="32435000"/>
    <x v="4"/>
    <n v="0.3951359818862743"/>
    <n v="175.77130987347132"/>
    <n v="391.06580017089846"/>
    <x v="2327"/>
    <n v="0"/>
    <s v="Tesla Inc."/>
    <s v="Consumer Discretionary"/>
  </r>
  <r>
    <x v="477"/>
    <n v="435.79000854492188"/>
    <n v="441.07000732421881"/>
    <n v="428.1400146484375"/>
    <n v="439.85000610351563"/>
    <n v="45176800"/>
    <x v="4"/>
    <n v="-1.4272783242432974"/>
    <n v="173.26256406740879"/>
    <n v="391.92600036621093"/>
    <x v="2328"/>
    <n v="0"/>
    <s v="Tesla Inc."/>
    <s v="Consumer Discretionary"/>
  </r>
  <r>
    <x v="478"/>
    <n v="415.8800048828125"/>
    <n v="429.60000610351563"/>
    <n v="415.42999267578131"/>
    <n v="427.489990234375"/>
    <n v="44937900"/>
    <x v="4"/>
    <n v="-4.568715039747639"/>
    <n v="165.34669124460868"/>
    <n v="392.63760070800782"/>
    <x v="2329"/>
    <n v="0"/>
    <s v="Tesla Inc."/>
    <s v="Consumer Discretionary"/>
  </r>
  <r>
    <x v="479"/>
    <n v="423.739990234375"/>
    <n v="424.42001342773438"/>
    <n v="413.64999389648438"/>
    <n v="418.22000122070313"/>
    <n v="37596000"/>
    <x v="4"/>
    <n v="1.8899647156100485"/>
    <n v="168.47168536756047"/>
    <n v="393.75320068359378"/>
    <x v="2330"/>
    <n v="0"/>
    <s v="Tesla Inc."/>
    <s v="Consumer Discretionary"/>
  </r>
  <r>
    <x v="480"/>
    <n v="423.70001220703131"/>
    <n v="433.60000610351563"/>
    <n v="416"/>
    <n v="418.70001220703131"/>
    <n v="44500700"/>
    <x v="4"/>
    <n v="-9.4345655980210275E-3"/>
    <n v="168.45579079589038"/>
    <n v="394.61020080566408"/>
    <x v="2331"/>
    <n v="0"/>
    <s v="Tesla Inc."/>
    <s v="Consumer Discretionary"/>
  </r>
  <r>
    <x v="481"/>
    <n v="418.45001220703131"/>
    <n v="426.35000610351563"/>
    <n v="417.16000366210938"/>
    <n v="419.83999633789063"/>
    <n v="35323300"/>
    <x v="4"/>
    <n v="-1.2390842220308285"/>
    <n v="166.36848167104125"/>
    <n v="395.3186010742188"/>
    <x v="2332"/>
    <n v="0"/>
    <s v="Tesla Inc."/>
    <s v="Consumer Discretionary"/>
  </r>
  <r>
    <x v="482"/>
    <n v="391"/>
    <n v="424.67999267578131"/>
    <n v="388.58999633789063"/>
    <n v="420.5"/>
    <n v="63420200"/>
    <x v="4"/>
    <n v="-6.5599262531387375"/>
    <n v="155.45483196495431"/>
    <n v="395.4196008300782"/>
    <x v="2333"/>
    <n v="0"/>
    <s v="Tesla Inc."/>
    <s v="Consumer Discretionary"/>
  </r>
  <r>
    <x v="483"/>
    <n v="408.95001220703131"/>
    <n v="412.94000244140631"/>
    <n v="394.72000122070313"/>
    <n v="396.32998657226563"/>
    <n v="50328800"/>
    <x v="4"/>
    <n v="4.5907959608775695"/>
    <n v="162.59144611179045"/>
    <n v="396.15640136718758"/>
    <x v="2334"/>
    <n v="0"/>
    <s v="Tesla Inc."/>
    <s v="Consumer Discretionary"/>
  </r>
  <r>
    <x v="484"/>
    <n v="396.67999267578131"/>
    <n v="418.5"/>
    <n v="384.239990234375"/>
    <n v="411.02999877929688"/>
    <n v="59940200"/>
    <x v="4"/>
    <n v="-3.0003714793969238"/>
    <n v="157.71309873471327"/>
    <n v="396.85340148925786"/>
    <x v="2335"/>
    <n v="0"/>
    <s v="Tesla Inc."/>
    <s v="Consumer Discretionary"/>
  </r>
  <r>
    <x v="485"/>
    <n v="381.58999633789063"/>
    <n v="397.08999633789063"/>
    <n v="380.14999389648438"/>
    <n v="391.54000854492188"/>
    <n v="49695600"/>
    <x v="4"/>
    <n v="-3.8040729596927725"/>
    <n v="151.71357739185248"/>
    <n v="397.24860168457036"/>
    <x v="2336"/>
    <n v="0"/>
    <s v="Tesla Inc."/>
    <s v="Consumer Discretionary"/>
  </r>
  <r>
    <x v="486"/>
    <n v="399.14999389648438"/>
    <n v="399.54000854492188"/>
    <n v="380.66000366210938"/>
    <n v="388.27999877929688"/>
    <n v="45324300"/>
    <x v="4"/>
    <n v="4.6017971453959916"/>
    <n v="158.69512846544887"/>
    <n v="397.79660156250009"/>
    <x v="2337"/>
    <n v="0"/>
    <s v="Tesla Inc."/>
    <s v="Consumer Discretionary"/>
  </r>
  <r>
    <x v="487"/>
    <n v="406.42999267578131"/>
    <n v="406.67999267578131"/>
    <n v="386.760009765625"/>
    <n v="399.489990234375"/>
    <n v="63514500"/>
    <x v="4"/>
    <n v="1.8238754580026217"/>
    <n v="161.58952996657595"/>
    <n v="398.30000122070322"/>
    <x v="2338"/>
    <n v="0"/>
    <s v="Tesla Inc."/>
    <s v="Consumer Discretionary"/>
  </r>
  <r>
    <x v="488"/>
    <n v="411.14999389648438"/>
    <n v="416"/>
    <n v="407.10000610351563"/>
    <n v="412.3699951171875"/>
    <n v="45620500"/>
    <x v="4"/>
    <n v="1.1613319158924273"/>
    <n v="163.46612075081833"/>
    <n v="399.3112011718751"/>
    <x v="2339"/>
    <n v="0"/>
    <s v="Tesla Inc."/>
    <s v="Consumer Discretionary"/>
  </r>
  <r>
    <x v="489"/>
    <n v="404.66000366210938"/>
    <n v="412.42001342773438"/>
    <n v="400.54000854492188"/>
    <n v="404.1099853515625"/>
    <n v="40255500"/>
    <x v="4"/>
    <n v="-1.5784969793794956"/>
    <n v="160.88581297245781"/>
    <n v="400.34800109863289"/>
    <x v="2340"/>
    <n v="0"/>
    <s v="Tesla Inc."/>
    <s v="Consumer Discretionary"/>
  </r>
  <r>
    <x v="490"/>
    <n v="396.3800048828125"/>
    <n v="405.94000244140631"/>
    <n v="393.760009765625"/>
    <n v="401.52999877929688"/>
    <n v="43534300"/>
    <x v="4"/>
    <n v="-2.0461618900717071"/>
    <n v="157.59382878088331"/>
    <n v="401.34260131835947"/>
    <x v="2341"/>
    <n v="0"/>
    <s v="Tesla Inc."/>
    <s v="Consumer Discretionary"/>
  </r>
  <r>
    <x v="491"/>
    <n v="400.489990234375"/>
    <n v="402.51998901367188"/>
    <n v="384.70001220703131"/>
    <n v="398.10000610351563"/>
    <n v="58384700"/>
    <x v="4"/>
    <n v="1.0368800900483421"/>
    <n v="159.22788781465718"/>
    <n v="402.48740112304694"/>
    <x v="2342"/>
    <n v="0"/>
    <s v="Tesla Inc."/>
    <s v="Consumer Discretionary"/>
  </r>
  <r>
    <x v="492"/>
    <n v="405.04998779296881"/>
    <n v="414.75"/>
    <n v="394.39999389648438"/>
    <n v="394.85000610351563"/>
    <n v="47819500"/>
    <x v="4"/>
    <n v="1.1386046267786165"/>
    <n v="161.04086391243672"/>
    <n v="403.67600097656259"/>
    <x v="2343"/>
    <n v="0"/>
    <s v="Tesla Inc."/>
    <s v="Consumer Discretionary"/>
  </r>
  <r>
    <x v="493"/>
    <n v="381.6099853515625"/>
    <n v="392.8699951171875"/>
    <n v="379.05999755859375"/>
    <n v="392.6099853515625"/>
    <n v="50420200"/>
    <x v="4"/>
    <n v="-5.7869406611084973"/>
    <n v="151.72152467768754"/>
    <n v="404.32920043945319"/>
    <x v="2344"/>
    <n v="0"/>
    <s v="Tesla Inc."/>
    <s v="Consumer Discretionary"/>
  </r>
  <r>
    <x v="494"/>
    <n v="375.52999877929688"/>
    <n v="384.57998657226563"/>
    <n v="373.04998779296881"/>
    <n v="380.07998657226563"/>
    <n v="37081400"/>
    <x v="4"/>
    <n v="-1.5932461952389398"/>
    <n v="149.30422725840177"/>
    <n v="404.79140014648442"/>
    <x v="2345"/>
    <n v="0"/>
    <s v="Tesla Inc."/>
    <s v="Consumer Discretionary"/>
  </r>
  <r>
    <x v="495"/>
    <n v="375.1199951171875"/>
    <n v="379.1199951171875"/>
    <n v="371.22000122070313"/>
    <n v="375.26998901367188"/>
    <n v="30138800"/>
    <x v="4"/>
    <n v="-0.109180002514353"/>
    <n v="149.14121689932702"/>
    <n v="405.00979980468759"/>
    <x v="2346"/>
    <n v="0"/>
    <s v="Tesla Inc."/>
    <s v="Consumer Discretionary"/>
  </r>
  <r>
    <x v="496"/>
    <n v="379.70999145507813"/>
    <n v="387.79998779296881"/>
    <n v="368.60000610351563"/>
    <n v="370.14999389648438"/>
    <n v="53434100"/>
    <x v="4"/>
    <n v="1.2236074849746981"/>
    <n v="150.96611999248952"/>
    <n v="404.76499938964849"/>
    <x v="2347"/>
    <n v="0"/>
    <s v="Tesla Inc."/>
    <s v="Consumer Discretionary"/>
  </r>
  <r>
    <x v="497"/>
    <n v="411.83999633789063"/>
    <n v="413.26998901367188"/>
    <n v="379.29998779296881"/>
    <n v="381.79000854492188"/>
    <n v="57645800"/>
    <x v="4"/>
    <n v="8.4617222632693547"/>
    <n v="163.74045377788792"/>
    <n v="405.22379943847665"/>
    <x v="2348"/>
    <n v="0"/>
    <s v="Tesla Inc."/>
    <s v="Consumer Discretionary"/>
  </r>
  <r>
    <x v="498"/>
    <n v="420.60000610351563"/>
    <n v="424.54000854492188"/>
    <n v="406"/>
    <n v="406"/>
    <n v="43385600"/>
    <x v="4"/>
    <n v="2.1270420171716209"/>
    <n v="167.22328202885109"/>
    <n v="405.6233996582032"/>
    <x v="2349"/>
    <n v="0"/>
    <s v="Tesla Inc."/>
    <s v="Consumer Discretionary"/>
  </r>
  <r>
    <x v="499"/>
    <n v="425.29998779296881"/>
    <n v="432.8599853515625"/>
    <n v="418.08999633789063"/>
    <n v="421.45999145507813"/>
    <n v="40127900"/>
    <x v="4"/>
    <n v="1.1174468904540324"/>
    <n v="169.09191339399766"/>
    <n v="406.2793994140626"/>
    <x v="2350"/>
    <n v="0"/>
    <s v="Tesla Inc."/>
    <s v="Consumer Discretionary"/>
  </r>
  <r>
    <x v="500"/>
    <n v="393.45001220703131"/>
    <n v="432.35000610351563"/>
    <n v="389.29998779296881"/>
    <n v="428.010009765625"/>
    <n v="73717700"/>
    <x v="4"/>
    <n v="-7.4888258876324549"/>
    <n v="156.42891440985491"/>
    <n v="406.41999938964852"/>
    <x v="2351"/>
    <n v="0"/>
    <s v="Tesla Inc."/>
    <s v="Consumer Discretion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BF1C1-62DE-41B4-8391-E04018DD515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7">
    <pivotField numFmtId="14" showAll="0">
      <items count="521">
        <item x="0"/>
        <item x="501"/>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502"/>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503"/>
        <item x="104"/>
        <item x="105"/>
        <item x="106"/>
        <item x="107"/>
        <item x="108"/>
        <item x="109"/>
        <item x="110"/>
        <item x="111"/>
        <item x="112"/>
        <item x="113"/>
        <item x="114"/>
        <item x="115"/>
        <item x="116"/>
        <item x="117"/>
        <item x="118"/>
        <item x="119"/>
        <item x="120"/>
        <item x="121"/>
        <item x="122"/>
        <item x="123"/>
        <item x="124"/>
        <item x="125"/>
        <item x="504"/>
        <item x="126"/>
        <item x="127"/>
        <item x="128"/>
        <item x="129"/>
        <item x="130"/>
        <item x="505"/>
        <item x="131"/>
        <item x="132"/>
        <item x="133"/>
        <item x="134"/>
        <item x="135"/>
        <item x="136"/>
        <item x="506"/>
        <item x="137"/>
        <item x="138"/>
        <item x="139"/>
        <item x="140"/>
        <item x="141"/>
        <item x="142"/>
        <item x="143"/>
        <item x="144"/>
        <item x="145"/>
        <item x="507"/>
        <item x="146"/>
        <item x="147"/>
        <item x="148"/>
        <item x="149"/>
        <item x="150"/>
        <item x="151"/>
        <item x="152"/>
        <item x="153"/>
        <item x="154"/>
        <item x="155"/>
        <item x="508"/>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509"/>
        <item x="224"/>
        <item x="225"/>
        <item x="226"/>
        <item x="227"/>
        <item x="228"/>
        <item x="229"/>
        <item x="230"/>
        <item x="231"/>
        <item x="232"/>
        <item x="233"/>
        <item x="234"/>
        <item x="235"/>
        <item x="236"/>
        <item x="237"/>
        <item x="238"/>
        <item x="239"/>
        <item x="240"/>
        <item x="510"/>
        <item x="241"/>
        <item x="242"/>
        <item x="243"/>
        <item x="244"/>
        <item x="245"/>
        <item x="246"/>
        <item x="247"/>
        <item x="248"/>
        <item x="249"/>
        <item x="250"/>
        <item x="511"/>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512"/>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513"/>
        <item x="353"/>
        <item x="354"/>
        <item x="355"/>
        <item x="356"/>
        <item x="357"/>
        <item x="358"/>
        <item x="359"/>
        <item x="360"/>
        <item x="361"/>
        <item x="362"/>
        <item x="363"/>
        <item x="364"/>
        <item x="365"/>
        <item x="366"/>
        <item x="367"/>
        <item x="368"/>
        <item x="369"/>
        <item x="370"/>
        <item x="371"/>
        <item x="372"/>
        <item x="373"/>
        <item x="374"/>
        <item x="375"/>
        <item x="514"/>
        <item x="376"/>
        <item x="377"/>
        <item x="378"/>
        <item x="379"/>
        <item x="380"/>
        <item x="381"/>
        <item x="382"/>
        <item x="383"/>
        <item x="384"/>
        <item x="385"/>
        <item x="386"/>
        <item x="515"/>
        <item x="387"/>
        <item x="388"/>
        <item x="389"/>
        <item x="390"/>
        <item x="391"/>
        <item x="392"/>
        <item x="393"/>
        <item x="394"/>
        <item x="395"/>
        <item x="396"/>
        <item x="397"/>
        <item x="398"/>
        <item x="399"/>
        <item x="400"/>
        <item x="401"/>
        <item x="402"/>
        <item x="403"/>
        <item x="404"/>
        <item x="405"/>
        <item x="516"/>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517"/>
        <item x="474"/>
        <item x="475"/>
        <item x="476"/>
        <item x="477"/>
        <item x="478"/>
        <item x="479"/>
        <item x="480"/>
        <item x="481"/>
        <item x="482"/>
        <item x="483"/>
        <item x="484"/>
        <item x="485"/>
        <item x="486"/>
        <item x="487"/>
        <item x="488"/>
        <item x="489"/>
        <item x="490"/>
        <item x="491"/>
        <item x="518"/>
        <item x="492"/>
        <item x="493"/>
        <item x="494"/>
        <item x="495"/>
        <item x="496"/>
        <item x="497"/>
        <item x="498"/>
        <item x="499"/>
        <item x="500"/>
        <item x="519"/>
        <item t="default"/>
      </items>
    </pivotField>
    <pivotField showAll="0"/>
    <pivotField showAll="0"/>
    <pivotField showAll="0"/>
    <pivotField showAll="0"/>
    <pivotField showAll="0"/>
    <pivotField axis="axisRow" showAll="0">
      <items count="6">
        <item x="0"/>
        <item x="1"/>
        <item x="2"/>
        <item x="3"/>
        <item x="4"/>
        <item t="default"/>
      </items>
    </pivotField>
    <pivotField dataField="1" showAll="0"/>
    <pivotField showAll="0"/>
    <pivotField showAll="0"/>
    <pivotField dataField="1" showAll="0">
      <items count="2353">
        <item x="1704"/>
        <item x="356"/>
        <item x="357"/>
        <item x="1703"/>
        <item x="1702"/>
        <item x="355"/>
        <item x="1168"/>
        <item x="1169"/>
        <item x="1170"/>
        <item x="1171"/>
        <item x="1181"/>
        <item x="1705"/>
        <item x="1706"/>
        <item x="1180"/>
        <item x="1167"/>
        <item x="1172"/>
        <item x="1174"/>
        <item x="1173"/>
        <item x="1179"/>
        <item x="1753"/>
        <item x="1752"/>
        <item x="1750"/>
        <item x="1749"/>
        <item x="1751"/>
        <item x="1176"/>
        <item x="1700"/>
        <item x="1175"/>
        <item x="1748"/>
        <item x="1701"/>
        <item x="1177"/>
        <item x="1754"/>
        <item x="1178"/>
        <item x="354"/>
        <item x="352"/>
        <item x="1755"/>
        <item x="353"/>
        <item x="351"/>
        <item x="1157"/>
        <item x="1158"/>
        <item x="1758"/>
        <item x="1160"/>
        <item x="1159"/>
        <item x="1698"/>
        <item x="1166"/>
        <item x="1745"/>
        <item x="1744"/>
        <item x="87"/>
        <item x="1696"/>
        <item x="1697"/>
        <item x="1747"/>
        <item x="1695"/>
        <item x="1759"/>
        <item x="86"/>
        <item x="1164"/>
        <item x="1153"/>
        <item x="1165"/>
        <item x="1162"/>
        <item x="1746"/>
        <item x="1699"/>
        <item x="1743"/>
        <item x="346"/>
        <item x="347"/>
        <item x="1161"/>
        <item x="1151"/>
        <item x="1441"/>
        <item x="1443"/>
        <item x="1442"/>
        <item x="1154"/>
        <item x="1152"/>
        <item x="350"/>
        <item x="1741"/>
        <item x="1742"/>
        <item x="1756"/>
        <item x="1757"/>
        <item x="1440"/>
        <item x="358"/>
        <item x="1163"/>
        <item x="93"/>
        <item x="85"/>
        <item x="92"/>
        <item x="1155"/>
        <item x="348"/>
        <item x="359"/>
        <item x="1156"/>
        <item x="360"/>
        <item x="361"/>
        <item x="1444"/>
        <item x="1242"/>
        <item x="344"/>
        <item x="345"/>
        <item x="343"/>
        <item x="1226"/>
        <item x="1227"/>
        <item x="342"/>
        <item x="1225"/>
        <item x="1439"/>
        <item x="1243"/>
        <item x="331"/>
        <item x="691"/>
        <item x="334"/>
        <item x="686"/>
        <item x="1150"/>
        <item x="91"/>
        <item x="1438"/>
        <item x="332"/>
        <item x="1436"/>
        <item x="1739"/>
        <item x="1740"/>
        <item x="333"/>
        <item x="1437"/>
        <item x="590"/>
        <item x="90"/>
        <item x="589"/>
        <item x="349"/>
        <item x="1636"/>
        <item x="1216"/>
        <item x="1221"/>
        <item x="1215"/>
        <item x="96"/>
        <item x="94"/>
        <item x="687"/>
        <item x="89"/>
        <item x="1239"/>
        <item x="1238"/>
        <item x="752"/>
        <item x="1237"/>
        <item x="1634"/>
        <item x="1244"/>
        <item x="688"/>
        <item x="1240"/>
        <item x="1241"/>
        <item x="1245"/>
        <item x="753"/>
        <item x="1222"/>
        <item x="88"/>
        <item x="690"/>
        <item x="1707"/>
        <item x="726"/>
        <item x="1628"/>
        <item x="689"/>
        <item x="591"/>
        <item x="1635"/>
        <item x="1708"/>
        <item x="1223"/>
        <item x="693"/>
        <item x="1224"/>
        <item x="996"/>
        <item x="735"/>
        <item x="1737"/>
        <item x="993"/>
        <item x="1738"/>
        <item x="336"/>
        <item x="992"/>
        <item x="1637"/>
        <item x="994"/>
        <item x="692"/>
        <item x="1638"/>
        <item x="84"/>
        <item x="1633"/>
        <item x="335"/>
        <item x="592"/>
        <item x="1214"/>
        <item x="1643"/>
        <item x="1644"/>
        <item x="1690"/>
        <item x="732"/>
        <item x="731"/>
        <item x="995"/>
        <item x="240"/>
        <item x="95"/>
        <item x="991"/>
        <item x="1220"/>
        <item x="1630"/>
        <item x="80"/>
        <item x="79"/>
        <item x="337"/>
        <item x="338"/>
        <item x="1691"/>
        <item x="733"/>
        <item x="734"/>
        <item x="1692"/>
        <item x="1629"/>
        <item x="1693"/>
        <item x="339"/>
        <item x="1694"/>
        <item x="1710"/>
        <item x="1709"/>
        <item x="751"/>
        <item x="1642"/>
        <item x="1231"/>
        <item x="238"/>
        <item x="757"/>
        <item x="758"/>
        <item x="1228"/>
        <item x="728"/>
        <item x="727"/>
        <item x="236"/>
        <item x="1217"/>
        <item x="237"/>
        <item x="596"/>
        <item x="1230"/>
        <item x="597"/>
        <item x="1631"/>
        <item x="1182"/>
        <item x="340"/>
        <item x="1689"/>
        <item x="341"/>
        <item x="599"/>
        <item x="760"/>
        <item x="759"/>
        <item x="750"/>
        <item x="1626"/>
        <item x="754"/>
        <item x="730"/>
        <item x="1218"/>
        <item x="1229"/>
        <item x="328"/>
        <item x="724"/>
        <item x="598"/>
        <item x="330"/>
        <item x="729"/>
        <item x="725"/>
        <item x="239"/>
        <item x="82"/>
        <item x="326"/>
        <item x="1632"/>
        <item x="1641"/>
        <item x="1686"/>
        <item x="1639"/>
        <item x="761"/>
        <item x="81"/>
        <item x="329"/>
        <item x="83"/>
        <item x="1219"/>
        <item x="749"/>
        <item x="684"/>
        <item x="1687"/>
        <item x="242"/>
        <item x="243"/>
        <item x="1627"/>
        <item x="1640"/>
        <item x="595"/>
        <item x="685"/>
        <item x="676"/>
        <item x="675"/>
        <item x="755"/>
        <item x="1427"/>
        <item x="678"/>
        <item x="677"/>
        <item x="327"/>
        <item x="756"/>
        <item x="593"/>
        <item x="747"/>
        <item x="748"/>
        <item x="674"/>
        <item x="683"/>
        <item x="682"/>
        <item x="746"/>
        <item x="745"/>
        <item x="744"/>
        <item x="1625"/>
        <item x="1426"/>
        <item x="673"/>
        <item x="680"/>
        <item x="1213"/>
        <item x="1688"/>
        <item x="990"/>
        <item x="989"/>
        <item x="681"/>
        <item x="1685"/>
        <item x="594"/>
        <item x="225"/>
        <item x="74"/>
        <item x="1712"/>
        <item x="743"/>
        <item x="76"/>
        <item x="988"/>
        <item x="1711"/>
        <item x="1429"/>
        <item x="1684"/>
        <item x="679"/>
        <item x="1683"/>
        <item x="1428"/>
        <item x="226"/>
        <item x="1882"/>
        <item x="1881"/>
        <item x="73"/>
        <item x="75"/>
        <item x="232"/>
        <item x="1713"/>
        <item x="572"/>
        <item x="1212"/>
        <item x="965"/>
        <item x="72"/>
        <item x="1236"/>
        <item x="1880"/>
        <item x="1234"/>
        <item x="1235"/>
        <item x="97"/>
        <item x="233"/>
        <item x="78"/>
        <item x="1233"/>
        <item x="235"/>
        <item x="1183"/>
        <item x="1232"/>
        <item x="234"/>
        <item x="77"/>
        <item x="98"/>
        <item x="1445"/>
        <item x="672"/>
        <item x="362"/>
        <item x="99"/>
        <item x="1249"/>
        <item x="770"/>
        <item x="1446"/>
        <item x="1681"/>
        <item x="1715"/>
        <item x="573"/>
        <item x="1029"/>
        <item x="1716"/>
        <item x="766"/>
        <item x="966"/>
        <item x="1727"/>
        <item x="71"/>
        <item x="228"/>
        <item x="1726"/>
        <item x="1729"/>
        <item x="229"/>
        <item x="231"/>
        <item x="230"/>
        <item x="227"/>
        <item x="1718"/>
        <item x="70"/>
        <item x="69"/>
        <item x="1478"/>
        <item x="1717"/>
        <item x="1682"/>
        <item x="742"/>
        <item x="1248"/>
        <item x="1431"/>
        <item x="1714"/>
        <item x="1724"/>
        <item x="1028"/>
        <item x="1664"/>
        <item x="1661"/>
        <item x="1027"/>
        <item x="1663"/>
        <item x="1725"/>
        <item x="1662"/>
        <item x="1432"/>
        <item x="241"/>
        <item x="1247"/>
        <item x="365"/>
        <item x="1721"/>
        <item x="985"/>
        <item x="974"/>
        <item x="710"/>
        <item x="101"/>
        <item x="1430"/>
        <item x="366"/>
        <item x="1730"/>
        <item x="762"/>
        <item x="1731"/>
        <item x="973"/>
        <item x="100"/>
        <item x="987"/>
        <item x="1480"/>
        <item x="986"/>
        <item x="1723"/>
        <item x="1477"/>
        <item x="1479"/>
        <item x="363"/>
        <item x="1250"/>
        <item x="364"/>
        <item x="1735"/>
        <item x="1246"/>
        <item x="972"/>
        <item x="978"/>
        <item x="1299"/>
        <item x="1722"/>
        <item x="971"/>
        <item x="1184"/>
        <item x="767"/>
        <item x="1720"/>
        <item x="967"/>
        <item x="1300"/>
        <item x="1719"/>
        <item x="737"/>
        <item x="1728"/>
        <item x="968"/>
        <item x="768"/>
        <item x="969"/>
        <item x="736"/>
        <item x="711"/>
        <item x="769"/>
        <item x="23"/>
        <item x="1296"/>
        <item x="1732"/>
        <item x="68"/>
        <item x="1659"/>
        <item x="1185"/>
        <item x="224"/>
        <item x="1734"/>
        <item x="704"/>
        <item x="1736"/>
        <item x="1435"/>
        <item x="1295"/>
        <item x="1186"/>
        <item x="1189"/>
        <item x="1733"/>
        <item x="709"/>
        <item x="574"/>
        <item x="1188"/>
        <item x="771"/>
        <item x="1645"/>
        <item x="1658"/>
        <item x="671"/>
        <item x="24"/>
        <item x="970"/>
        <item x="1252"/>
        <item x="1680"/>
        <item x="1434"/>
        <item x="1187"/>
        <item x="1679"/>
        <item x="697"/>
        <item x="979"/>
        <item x="774"/>
        <item x="703"/>
        <item x="698"/>
        <item x="984"/>
        <item x="1646"/>
        <item x="1433"/>
        <item x="695"/>
        <item x="694"/>
        <item x="696"/>
        <item x="1647"/>
        <item x="763"/>
        <item x="1190"/>
        <item x="1193"/>
        <item x="1678"/>
        <item x="772"/>
        <item x="983"/>
        <item x="1251"/>
        <item x="1877"/>
        <item x="773"/>
        <item x="1660"/>
        <item x="1194"/>
        <item x="738"/>
        <item x="707"/>
        <item x="982"/>
        <item x="723"/>
        <item x="1552"/>
        <item x="1046"/>
        <item x="575"/>
        <item x="699"/>
        <item x="980"/>
        <item x="1292"/>
        <item x="705"/>
        <item x="708"/>
        <item x="1550"/>
        <item x="706"/>
        <item x="700"/>
        <item x="702"/>
        <item x="1302"/>
        <item x="778"/>
        <item x="777"/>
        <item x="975"/>
        <item x="977"/>
        <item x="976"/>
        <item x="981"/>
        <item x="1762"/>
        <item x="1650"/>
        <item x="1301"/>
        <item x="1761"/>
        <item x="775"/>
        <item x="739"/>
        <item x="776"/>
        <item x="1760"/>
        <item x="781"/>
        <item x="67"/>
        <item x="764"/>
        <item x="1205"/>
        <item x="1763"/>
        <item x="1258"/>
        <item x="1879"/>
        <item x="63"/>
        <item x="588"/>
        <item x="102"/>
        <item x="64"/>
        <item x="1676"/>
        <item x="1206"/>
        <item x="779"/>
        <item x="1291"/>
        <item x="1197"/>
        <item x="586"/>
        <item x="1294"/>
        <item x="1764"/>
        <item x="1298"/>
        <item x="784"/>
        <item x="1649"/>
        <item x="741"/>
        <item x="103"/>
        <item x="1192"/>
        <item x="1675"/>
        <item x="1045"/>
        <item x="1196"/>
        <item x="1198"/>
        <item x="780"/>
        <item x="1202"/>
        <item x="1038"/>
        <item x="587"/>
        <item x="1191"/>
        <item x="782"/>
        <item x="1293"/>
        <item x="1648"/>
        <item x="718"/>
        <item x="1878"/>
        <item x="104"/>
        <item x="1654"/>
        <item x="1203"/>
        <item x="783"/>
        <item x="1200"/>
        <item x="701"/>
        <item x="1204"/>
        <item x="1199"/>
        <item x="1677"/>
        <item x="722"/>
        <item x="717"/>
        <item x="719"/>
        <item x="1297"/>
        <item x="670"/>
        <item x="1039"/>
        <item x="1517"/>
        <item x="1518"/>
        <item x="1553"/>
        <item x="1290"/>
        <item x="1254"/>
        <item x="561"/>
        <item x="562"/>
        <item x="585"/>
        <item x="669"/>
        <item x="1255"/>
        <item x="1253"/>
        <item x="577"/>
        <item x="959"/>
        <item x="1195"/>
        <item x="712"/>
        <item x="720"/>
        <item x="1201"/>
        <item x="65"/>
        <item x="567"/>
        <item x="568"/>
        <item x="740"/>
        <item x="1519"/>
        <item x="1050"/>
        <item x="1669"/>
        <item x="325"/>
        <item x="1040"/>
        <item x="1874"/>
        <item x="1875"/>
        <item x="1876"/>
        <item x="1657"/>
        <item x="584"/>
        <item x="1665"/>
        <item x="1655"/>
        <item x="1666"/>
        <item x="570"/>
        <item x="583"/>
        <item x="716"/>
        <item x="1667"/>
        <item x="582"/>
        <item x="1041"/>
        <item x="1289"/>
        <item x="721"/>
        <item x="1048"/>
        <item x="1767"/>
        <item x="1768"/>
        <item x="31"/>
        <item x="1035"/>
        <item x="1766"/>
        <item x="563"/>
        <item x="1256"/>
        <item x="416"/>
        <item x="564"/>
        <item x="415"/>
        <item x="576"/>
        <item x="569"/>
        <item x="216"/>
        <item x="324"/>
        <item x="217"/>
        <item x="1425"/>
        <item x="801"/>
        <item x="1516"/>
        <item x="715"/>
        <item x="571"/>
        <item x="1511"/>
        <item x="958"/>
        <item x="1668"/>
        <item x="565"/>
        <item x="320"/>
        <item x="1873"/>
        <item x="105"/>
        <item x="1551"/>
        <item x="66"/>
        <item x="765"/>
        <item x="1043"/>
        <item x="1475"/>
        <item x="713"/>
        <item x="1765"/>
        <item x="578"/>
        <item x="566"/>
        <item x="1034"/>
        <item x="1512"/>
        <item x="1656"/>
        <item x="1049"/>
        <item x="714"/>
        <item x="1042"/>
        <item x="29"/>
        <item x="1651"/>
        <item x="580"/>
        <item x="323"/>
        <item x="322"/>
        <item x="215"/>
        <item x="30"/>
        <item x="321"/>
        <item x="1652"/>
        <item x="1287"/>
        <item x="579"/>
        <item x="1569"/>
        <item x="1033"/>
        <item x="1671"/>
        <item x="668"/>
        <item x="1670"/>
        <item x="1866"/>
        <item x="1865"/>
        <item x="1257"/>
        <item x="1288"/>
        <item x="1476"/>
        <item x="581"/>
        <item x="964"/>
        <item x="1032"/>
        <item x="1044"/>
        <item x="1422"/>
        <item x="1418"/>
        <item x="1419"/>
        <item x="1421"/>
        <item x="1417"/>
        <item x="1207"/>
        <item x="1563"/>
        <item x="1564"/>
        <item x="1209"/>
        <item x="1208"/>
        <item x="1211"/>
        <item x="1210"/>
        <item x="666"/>
        <item x="1463"/>
        <item x="1047"/>
        <item x="1263"/>
        <item x="1304"/>
        <item x="1259"/>
        <item x="667"/>
        <item x="1464"/>
        <item x="1036"/>
        <item x="799"/>
        <item x="960"/>
        <item x="1262"/>
        <item x="1416"/>
        <item x="1420"/>
        <item x="311"/>
        <item x="1031"/>
        <item x="1653"/>
        <item x="1515"/>
        <item x="1424"/>
        <item x="957"/>
        <item x="800"/>
        <item x="798"/>
        <item x="55"/>
        <item x="310"/>
        <item x="28"/>
        <item x="1423"/>
        <item x="1264"/>
        <item x="309"/>
        <item x="523"/>
        <item x="1286"/>
        <item x="922"/>
        <item x="27"/>
        <item x="1260"/>
        <item x="1568"/>
        <item x="521"/>
        <item x="223"/>
        <item x="26"/>
        <item x="1868"/>
        <item x="1465"/>
        <item x="522"/>
        <item x="32"/>
        <item x="222"/>
        <item x="525"/>
        <item x="520"/>
        <item x="1466"/>
        <item x="1513"/>
        <item x="57"/>
        <item x="519"/>
        <item x="1037"/>
        <item x="1454"/>
        <item x="218"/>
        <item x="1453"/>
        <item x="1467"/>
        <item x="1673"/>
        <item x="59"/>
        <item x="1624"/>
        <item x="1468"/>
        <item x="58"/>
        <item x="1672"/>
        <item x="526"/>
        <item x="527"/>
        <item x="56"/>
        <item x="1572"/>
        <item x="921"/>
        <item x="62"/>
        <item x="1447"/>
        <item x="1514"/>
        <item x="1481"/>
        <item x="1570"/>
        <item x="1571"/>
        <item x="797"/>
        <item x="1622"/>
        <item x="1623"/>
        <item x="795"/>
        <item x="1510"/>
        <item x="1549"/>
        <item x="524"/>
        <item x="1521"/>
        <item x="452"/>
        <item x="1306"/>
        <item x="1261"/>
        <item x="1285"/>
        <item x="25"/>
        <item x="1520"/>
        <item x="308"/>
        <item x="1284"/>
        <item x="1674"/>
        <item x="1871"/>
        <item x="1870"/>
        <item x="528"/>
        <item x="1507"/>
        <item x="1565"/>
        <item x="1450"/>
        <item x="1545"/>
        <item x="1283"/>
        <item x="1508"/>
        <item x="1449"/>
        <item x="962"/>
        <item x="1567"/>
        <item x="1621"/>
        <item x="1546"/>
        <item x="219"/>
        <item x="1448"/>
        <item x="529"/>
        <item x="1566"/>
        <item x="1305"/>
        <item x="1617"/>
        <item x="1620"/>
        <item x="1554"/>
        <item x="1548"/>
        <item x="312"/>
        <item x="963"/>
        <item x="1030"/>
        <item x="1618"/>
        <item x="961"/>
        <item x="410"/>
        <item x="1619"/>
        <item x="1455"/>
        <item x="1414"/>
        <item x="221"/>
        <item x="307"/>
        <item x="919"/>
        <item x="1544"/>
        <item x="1458"/>
        <item x="1509"/>
        <item x="796"/>
        <item x="883"/>
        <item x="1774"/>
        <item x="882"/>
        <item x="1474"/>
        <item x="1769"/>
        <item x="1799"/>
        <item x="1872"/>
        <item x="1265"/>
        <item x="1462"/>
        <item x="1461"/>
        <item x="1460"/>
        <item x="793"/>
        <item x="1543"/>
        <item x="1547"/>
        <item x="1356"/>
        <item x="314"/>
        <item x="920"/>
        <item x="313"/>
        <item x="916"/>
        <item x="306"/>
        <item x="315"/>
        <item x="1355"/>
        <item x="1470"/>
        <item x="1506"/>
        <item x="1790"/>
        <item x="1452"/>
        <item x="1451"/>
        <item x="914"/>
        <item x="1457"/>
        <item x="409"/>
        <item x="1459"/>
        <item x="1869"/>
        <item x="792"/>
        <item x="918"/>
        <item x="448"/>
        <item x="785"/>
        <item x="453"/>
        <item x="1456"/>
        <item x="1469"/>
        <item x="1485"/>
        <item x="1415"/>
        <item x="1794"/>
        <item x="1770"/>
        <item x="1795"/>
        <item x="1792"/>
        <item x="417"/>
        <item x="367"/>
        <item x="368"/>
        <item x="794"/>
        <item x="1773"/>
        <item x="1772"/>
        <item x="1303"/>
        <item x="1796"/>
        <item x="605"/>
        <item x="1525"/>
        <item x="1531"/>
        <item x="1793"/>
        <item x="600"/>
        <item x="1482"/>
        <item x="1867"/>
        <item x="1771"/>
        <item x="60"/>
        <item x="61"/>
        <item x="407"/>
        <item x="1562"/>
        <item x="1797"/>
        <item x="1523"/>
        <item x="1776"/>
        <item x="449"/>
        <item x="915"/>
        <item x="606"/>
        <item x="1778"/>
        <item x="414"/>
        <item x="1777"/>
        <item x="1484"/>
        <item x="413"/>
        <item x="418"/>
        <item x="1532"/>
        <item x="1483"/>
        <item x="1775"/>
        <item x="1266"/>
        <item x="1522"/>
        <item x="1504"/>
        <item x="412"/>
        <item x="408"/>
        <item x="21"/>
        <item x="1281"/>
        <item x="1282"/>
        <item x="604"/>
        <item x="1505"/>
        <item x="601"/>
        <item x="1524"/>
        <item x="451"/>
        <item x="1499"/>
        <item x="1503"/>
        <item x="1267"/>
        <item x="1809"/>
        <item x="1864"/>
        <item x="1268"/>
        <item x="411"/>
        <item x="1810"/>
        <item x="875"/>
        <item x="464"/>
        <item x="447"/>
        <item x="465"/>
        <item x="1616"/>
        <item x="1560"/>
        <item x="1561"/>
        <item x="406"/>
        <item x="1277"/>
        <item x="1486"/>
        <item x="1346"/>
        <item x="1500"/>
        <item x="1501"/>
        <item x="319"/>
        <item x="786"/>
        <item x="244"/>
        <item x="1279"/>
        <item x="317"/>
        <item x="1278"/>
        <item x="316"/>
        <item x="318"/>
        <item x="1559"/>
        <item x="220"/>
        <item x="1471"/>
        <item x="872"/>
        <item x="607"/>
        <item x="560"/>
        <item x="602"/>
        <item x="1542"/>
        <item x="1556"/>
        <item x="1087"/>
        <item x="1088"/>
        <item x="788"/>
        <item x="1791"/>
        <item x="787"/>
        <item x="1528"/>
        <item x="1276"/>
        <item x="1557"/>
        <item x="1472"/>
        <item x="1502"/>
        <item x="603"/>
        <item x="1490"/>
        <item x="789"/>
        <item x="1089"/>
        <item x="877"/>
        <item x="52"/>
        <item x="1558"/>
        <item x="53"/>
        <item x="482"/>
        <item x="20"/>
        <item x="1491"/>
        <item x="503"/>
        <item x="1487"/>
        <item x="11"/>
        <item x="873"/>
        <item x="36"/>
        <item x="12"/>
        <item x="917"/>
        <item x="1280"/>
        <item x="1473"/>
        <item x="54"/>
        <item x="454"/>
        <item x="34"/>
        <item x="33"/>
        <item x="462"/>
        <item x="1345"/>
        <item x="15"/>
        <item x="1344"/>
        <item x="952"/>
        <item x="1530"/>
        <item x="926"/>
        <item x="463"/>
        <item x="35"/>
        <item x="1094"/>
        <item x="1863"/>
        <item x="17"/>
        <item x="483"/>
        <item x="16"/>
        <item x="1093"/>
        <item x="665"/>
        <item x="18"/>
        <item x="953"/>
        <item x="1091"/>
        <item x="107"/>
        <item x="874"/>
        <item x="370"/>
        <item x="791"/>
        <item x="1090"/>
        <item x="461"/>
        <item x="1813"/>
        <item x="1493"/>
        <item x="1814"/>
        <item x="948"/>
        <item x="1495"/>
        <item x="1529"/>
        <item x="1488"/>
        <item x="1492"/>
        <item x="371"/>
        <item x="420"/>
        <item x="1494"/>
        <item x="951"/>
        <item x="502"/>
        <item x="925"/>
        <item x="1497"/>
        <item x="1052"/>
        <item x="1051"/>
        <item x="1489"/>
        <item x="949"/>
        <item x="1053"/>
        <item x="501"/>
        <item x="950"/>
        <item x="1812"/>
        <item x="956"/>
        <item x="927"/>
        <item x="954"/>
        <item x="1096"/>
        <item x="1811"/>
        <item x="1496"/>
        <item x="1095"/>
        <item x="369"/>
        <item x="19"/>
        <item x="405"/>
        <item x="1092"/>
        <item x="1798"/>
        <item x="790"/>
        <item x="450"/>
        <item x="1541"/>
        <item x="419"/>
        <item x="106"/>
        <item x="1526"/>
        <item x="997"/>
        <item x="955"/>
        <item x="505"/>
        <item x="1527"/>
        <item x="504"/>
        <item x="10"/>
        <item x="923"/>
        <item x="924"/>
        <item x="1269"/>
        <item x="372"/>
        <item x="373"/>
        <item x="1270"/>
        <item x="500"/>
        <item x="1347"/>
        <item x="499"/>
        <item x="498"/>
        <item x="947"/>
        <item x="374"/>
        <item x="1273"/>
        <item x="506"/>
        <item x="1271"/>
        <item x="928"/>
        <item x="446"/>
        <item x="497"/>
        <item x="45"/>
        <item x="998"/>
        <item x="999"/>
        <item x="1000"/>
        <item x="43"/>
        <item x="1274"/>
        <item x="44"/>
        <item x="1348"/>
        <item x="46"/>
        <item x="1498"/>
        <item x="48"/>
        <item x="445"/>
        <item x="47"/>
        <item x="37"/>
        <item x="442"/>
        <item x="443"/>
        <item x="887"/>
        <item x="1800"/>
        <item x="22"/>
        <item x="444"/>
        <item x="495"/>
        <item x="1573"/>
        <item x="1354"/>
        <item x="1357"/>
        <item x="1801"/>
        <item x="944"/>
        <item x="876"/>
        <item x="460"/>
        <item x="886"/>
        <item x="1275"/>
        <item x="1555"/>
        <item x="484"/>
        <item x="428"/>
        <item x="1343"/>
        <item x="1054"/>
        <item x="1862"/>
        <item x="486"/>
        <item x="1533"/>
        <item x="1535"/>
        <item x="485"/>
        <item x="1272"/>
        <item x="1534"/>
        <item x="946"/>
        <item x="1353"/>
        <item x="496"/>
        <item x="1006"/>
        <item x="1007"/>
        <item x="945"/>
        <item x="909"/>
        <item x="441"/>
        <item x="908"/>
        <item x="1803"/>
        <item x="111"/>
        <item x="1536"/>
        <item x="1802"/>
        <item x="245"/>
        <item x="1861"/>
        <item x="1005"/>
        <item x="929"/>
        <item x="910"/>
        <item x="1805"/>
        <item x="930"/>
        <item x="459"/>
        <item x="1856"/>
        <item x="1855"/>
        <item x="911"/>
        <item x="1779"/>
        <item x="890"/>
        <item x="1806"/>
        <item x="1786"/>
        <item x="38"/>
        <item x="421"/>
        <item x="13"/>
        <item x="1001"/>
        <item x="1537"/>
        <item x="1860"/>
        <item x="1358"/>
        <item x="8"/>
        <item x="41"/>
        <item x="891"/>
        <item x="1804"/>
        <item x="1808"/>
        <item x="9"/>
        <item x="943"/>
        <item x="802"/>
        <item x="49"/>
        <item x="1807"/>
        <item x="51"/>
        <item x="50"/>
        <item x="14"/>
        <item x="885"/>
        <item x="895"/>
        <item x="1859"/>
        <item x="609"/>
        <item x="897"/>
        <item x="1858"/>
        <item x="1857"/>
        <item x="1540"/>
        <item x="896"/>
        <item x="884"/>
        <item x="1585"/>
        <item x="1780"/>
        <item x="425"/>
        <item x="456"/>
        <item x="426"/>
        <item x="427"/>
        <item x="1003"/>
        <item x="424"/>
        <item x="1342"/>
        <item x="1781"/>
        <item x="942"/>
        <item x="1002"/>
        <item x="912"/>
        <item x="1097"/>
        <item x="1539"/>
        <item x="108"/>
        <item x="898"/>
        <item x="40"/>
        <item x="1782"/>
        <item x="1098"/>
        <item x="1011"/>
        <item x="1787"/>
        <item x="1012"/>
        <item x="455"/>
        <item x="1010"/>
        <item x="893"/>
        <item x="1004"/>
        <item x="894"/>
        <item x="1784"/>
        <item x="39"/>
        <item x="109"/>
        <item x="110"/>
        <item x="457"/>
        <item x="1538"/>
        <item x="937"/>
        <item x="494"/>
        <item x="1788"/>
        <item x="892"/>
        <item x="888"/>
        <item x="1789"/>
        <item x="1783"/>
        <item x="42"/>
        <item x="1014"/>
        <item x="899"/>
        <item x="305"/>
        <item x="817"/>
        <item x="481"/>
        <item x="1785"/>
        <item x="608"/>
        <item x="900"/>
        <item x="1013"/>
        <item x="818"/>
        <item x="7"/>
        <item x="940"/>
        <item x="881"/>
        <item x="437"/>
        <item x="1009"/>
        <item x="1854"/>
        <item x="939"/>
        <item x="879"/>
        <item x="880"/>
        <item x="938"/>
        <item x="820"/>
        <item x="878"/>
        <item x="1100"/>
        <item x="439"/>
        <item x="6"/>
        <item x="889"/>
        <item x="438"/>
        <item x="936"/>
        <item x="610"/>
        <item x="487"/>
        <item x="611"/>
        <item x="816"/>
        <item x="1055"/>
        <item x="480"/>
        <item x="935"/>
        <item x="288"/>
        <item x="285"/>
        <item x="287"/>
        <item x="902"/>
        <item x="664"/>
        <item x="440"/>
        <item x="286"/>
        <item x="488"/>
        <item x="429"/>
        <item x="458"/>
        <item x="906"/>
        <item x="901"/>
        <item x="941"/>
        <item x="1350"/>
        <item x="1056"/>
        <item x="284"/>
        <item x="1099"/>
        <item x="293"/>
        <item x="913"/>
        <item x="423"/>
        <item x="422"/>
        <item x="1008"/>
        <item x="1574"/>
        <item x="509"/>
        <item x="289"/>
        <item x="294"/>
        <item x="1349"/>
        <item x="508"/>
        <item x="871"/>
        <item x="903"/>
        <item x="252"/>
        <item x="479"/>
        <item x="253"/>
        <item x="1101"/>
        <item x="1015"/>
        <item x="934"/>
        <item x="430"/>
        <item x="507"/>
        <item x="819"/>
        <item x="824"/>
        <item x="1352"/>
        <item x="1351"/>
        <item x="493"/>
        <item x="907"/>
        <item x="511"/>
        <item x="300"/>
        <item x="510"/>
        <item x="436"/>
        <item x="5"/>
        <item x="931"/>
        <item x="1017"/>
        <item x="1016"/>
        <item x="932"/>
        <item x="815"/>
        <item x="1575"/>
        <item x="1576"/>
        <item x="1146"/>
        <item x="299"/>
        <item x="823"/>
        <item x="1020"/>
        <item x="1145"/>
        <item x="1023"/>
        <item x="1147"/>
        <item x="1148"/>
        <item x="1022"/>
        <item x="1021"/>
        <item x="1024"/>
        <item x="1025"/>
        <item x="1026"/>
        <item x="1149"/>
        <item x="1853"/>
        <item x="295"/>
        <item x="298"/>
        <item x="274"/>
        <item x="250"/>
        <item x="275"/>
        <item x="112"/>
        <item x="304"/>
        <item x="435"/>
        <item x="803"/>
        <item x="277"/>
        <item x="821"/>
        <item x="870"/>
        <item x="822"/>
        <item x="835"/>
        <item x="251"/>
        <item x="276"/>
        <item x="1584"/>
        <item x="1816"/>
        <item x="834"/>
        <item x="301"/>
        <item x="302"/>
        <item x="303"/>
        <item x="257"/>
        <item x="1018"/>
        <item x="1019"/>
        <item x="278"/>
        <item x="1818"/>
        <item x="1852"/>
        <item x="283"/>
        <item x="431"/>
        <item x="258"/>
        <item x="259"/>
        <item x="869"/>
        <item x="260"/>
        <item x="1817"/>
        <item x="282"/>
        <item x="279"/>
        <item x="261"/>
        <item x="432"/>
        <item x="1815"/>
        <item x="281"/>
        <item x="4"/>
        <item x="433"/>
        <item x="3"/>
        <item x="280"/>
        <item x="254"/>
        <item x="478"/>
        <item x="248"/>
        <item x="2"/>
        <item x="255"/>
        <item x="837"/>
        <item x="1611"/>
        <item x="138"/>
        <item x="139"/>
        <item x="256"/>
        <item x="1851"/>
        <item x="933"/>
        <item x="518"/>
        <item x="249"/>
        <item x="1612"/>
        <item x="246"/>
        <item x="838"/>
        <item x="475"/>
        <item x="476"/>
        <item x="1104"/>
        <item x="262"/>
        <item x="1610"/>
        <item x="1615"/>
        <item x="806"/>
        <item x="473"/>
        <item x="805"/>
        <item x="477"/>
        <item x="1613"/>
        <item x="1614"/>
        <item x="400"/>
        <item x="399"/>
        <item x="474"/>
        <item x="836"/>
        <item x="434"/>
        <item x="247"/>
        <item x="1103"/>
        <item x="140"/>
        <item x="472"/>
        <item x="904"/>
        <item x="517"/>
        <item x="404"/>
        <item x="1102"/>
        <item x="905"/>
        <item x="804"/>
        <item x="402"/>
        <item x="1849"/>
        <item x="809"/>
        <item x="1577"/>
        <item x="807"/>
        <item x="403"/>
        <item x="808"/>
        <item x="401"/>
        <item x="1085"/>
        <item x="866"/>
        <item x="840"/>
        <item x="1086"/>
        <item x="1144"/>
        <item x="1"/>
        <item x="833"/>
        <item x="868"/>
        <item x="810"/>
        <item x="1583"/>
        <item x="1578"/>
        <item x="1579"/>
        <item x="210"/>
        <item x="839"/>
        <item x="614"/>
        <item x="841"/>
        <item x="867"/>
        <item x="211"/>
        <item x="615"/>
        <item x="1582"/>
        <item x="1820"/>
        <item x="1143"/>
        <item x="859"/>
        <item x="612"/>
        <item x="863"/>
        <item x="613"/>
        <item x="864"/>
        <item x="1609"/>
        <item x="292"/>
        <item x="1608"/>
        <item x="1581"/>
        <item x="297"/>
        <item x="814"/>
        <item x="1359"/>
        <item x="1142"/>
        <item x="375"/>
        <item x="862"/>
        <item x="290"/>
        <item x="811"/>
        <item x="812"/>
        <item x="397"/>
        <item x="291"/>
        <item x="1607"/>
        <item x="1081"/>
        <item x="1082"/>
        <item x="1832"/>
        <item x="1819"/>
        <item x="214"/>
        <item x="865"/>
        <item x="813"/>
        <item x="212"/>
        <item x="213"/>
        <item x="516"/>
        <item x="1830"/>
        <item x="154"/>
        <item x="1341"/>
        <item x="1831"/>
        <item x="1605"/>
        <item x="860"/>
        <item x="515"/>
        <item x="514"/>
        <item x="1340"/>
        <item x="1361"/>
        <item x="296"/>
        <item x="1604"/>
        <item x="398"/>
        <item x="155"/>
        <item x="1850"/>
        <item x="861"/>
        <item x="492"/>
        <item x="116"/>
        <item x="136"/>
        <item x="1362"/>
        <item x="1360"/>
        <item x="137"/>
        <item x="376"/>
        <item x="1606"/>
        <item x="153"/>
        <item x="1389"/>
        <item x="1580"/>
        <item x="114"/>
        <item x="113"/>
        <item x="115"/>
        <item x="1586"/>
        <item x="855"/>
        <item x="265"/>
        <item x="264"/>
        <item x="156"/>
        <item x="209"/>
        <item x="143"/>
        <item x="263"/>
        <item x="1363"/>
        <item x="466"/>
        <item x="148"/>
        <item x="1077"/>
        <item x="149"/>
        <item x="1071"/>
        <item x="157"/>
        <item x="158"/>
        <item x="832"/>
        <item x="1590"/>
        <item x="1848"/>
        <item x="266"/>
        <item x="513"/>
        <item x="1084"/>
        <item x="1069"/>
        <item x="1068"/>
        <item x="1070"/>
        <item x="151"/>
        <item x="1339"/>
        <item x="1821"/>
        <item x="1067"/>
        <item x="1337"/>
        <item x="491"/>
        <item x="1591"/>
        <item x="1589"/>
        <item x="1822"/>
        <item x="512"/>
        <item x="1079"/>
        <item x="1072"/>
        <item x="856"/>
        <item x="1593"/>
        <item x="858"/>
        <item x="1847"/>
        <item x="857"/>
        <item x="1846"/>
        <item x="1073"/>
        <item x="1364"/>
        <item x="1066"/>
        <item x="1845"/>
        <item x="490"/>
        <item x="1588"/>
        <item x="1587"/>
        <item x="1074"/>
        <item x="1060"/>
        <item x="120"/>
        <item x="152"/>
        <item x="1338"/>
        <item x="1061"/>
        <item x="1075"/>
        <item x="1833"/>
        <item x="1083"/>
        <item x="393"/>
        <item x="147"/>
        <item x="621"/>
        <item x="1078"/>
        <item x="1062"/>
        <item x="1141"/>
        <item x="1592"/>
        <item x="267"/>
        <item x="1823"/>
        <item x="132"/>
        <item x="392"/>
        <item x="150"/>
        <item x="1834"/>
        <item x="1065"/>
        <item x="1064"/>
        <item x="122"/>
        <item x="273"/>
        <item x="616"/>
        <item x="1063"/>
        <item x="271"/>
        <item x="272"/>
        <item x="1076"/>
        <item x="117"/>
        <item x="617"/>
        <item x="379"/>
        <item x="843"/>
        <item x="489"/>
        <item x="394"/>
        <item x="1829"/>
        <item x="1140"/>
        <item x="618"/>
        <item x="121"/>
        <item x="1828"/>
        <item x="119"/>
        <item x="842"/>
        <item x="844"/>
        <item x="1388"/>
        <item x="378"/>
        <item x="204"/>
        <item x="851"/>
        <item x="203"/>
        <item x="381"/>
        <item x="205"/>
        <item x="380"/>
        <item x="1594"/>
        <item x="118"/>
        <item x="469"/>
        <item x="144"/>
        <item x="467"/>
        <item x="468"/>
        <item x="620"/>
        <item x="388"/>
        <item x="377"/>
        <item x="1837"/>
        <item x="1842"/>
        <item x="1824"/>
        <item x="1841"/>
        <item x="828"/>
        <item x="207"/>
        <item x="624"/>
        <item x="1836"/>
        <item x="389"/>
        <item x="130"/>
        <item x="1387"/>
        <item x="206"/>
        <item x="131"/>
        <item x="850"/>
        <item x="625"/>
        <item x="395"/>
        <item x="826"/>
        <item x="619"/>
        <item x="827"/>
        <item x="123"/>
        <item x="133"/>
        <item x="208"/>
        <item x="845"/>
        <item x="1835"/>
        <item x="846"/>
        <item x="202"/>
        <item x="1603"/>
        <item x="1826"/>
        <item x="849"/>
        <item x="1379"/>
        <item x="825"/>
        <item x="1380"/>
        <item x="396"/>
        <item x="129"/>
        <item x="1825"/>
        <item x="390"/>
        <item x="128"/>
        <item x="382"/>
        <item x="127"/>
        <item x="135"/>
        <item x="142"/>
        <item x="391"/>
        <item x="134"/>
        <item x="383"/>
        <item x="628"/>
        <item x="145"/>
        <item x="384"/>
        <item x="622"/>
        <item x="146"/>
        <item x="623"/>
        <item x="269"/>
        <item x="626"/>
        <item x="1827"/>
        <item x="1839"/>
        <item x="268"/>
        <item x="1080"/>
        <item x="270"/>
        <item x="1838"/>
        <item x="141"/>
        <item x="1840"/>
        <item x="629"/>
        <item x="124"/>
        <item x="1059"/>
        <item x="627"/>
        <item x="1377"/>
        <item x="1058"/>
        <item x="201"/>
        <item x="1057"/>
        <item x="847"/>
        <item x="125"/>
        <item x="830"/>
        <item x="829"/>
        <item x="1382"/>
        <item x="1378"/>
        <item x="831"/>
        <item x="1381"/>
        <item x="848"/>
        <item x="126"/>
        <item x="1368"/>
        <item x="1367"/>
        <item x="1365"/>
        <item x="1597"/>
        <item x="1386"/>
        <item x="1843"/>
        <item x="1369"/>
        <item x="1595"/>
        <item x="1383"/>
        <item x="1385"/>
        <item x="1384"/>
        <item x="1596"/>
        <item x="387"/>
        <item x="1390"/>
        <item x="1600"/>
        <item x="852"/>
        <item x="853"/>
        <item x="1374"/>
        <item x="1366"/>
        <item x="1376"/>
        <item x="1375"/>
        <item x="386"/>
        <item x="1844"/>
        <item x="385"/>
        <item x="1602"/>
        <item x="1136"/>
        <item x="1601"/>
        <item x="1599"/>
        <item x="1598"/>
        <item x="1139"/>
        <item x="1137"/>
        <item x="1391"/>
        <item x="200"/>
        <item x="1138"/>
        <item x="854"/>
        <item x="2283"/>
        <item x="1400"/>
        <item x="470"/>
        <item x="2279"/>
        <item x="1135"/>
        <item x="1372"/>
        <item x="2277"/>
        <item x="199"/>
        <item x="1401"/>
        <item x="1373"/>
        <item x="2282"/>
        <item x="662"/>
        <item x="198"/>
        <item x="2276"/>
        <item x="661"/>
        <item x="2278"/>
        <item x="1402"/>
        <item x="1370"/>
        <item x="2280"/>
        <item x="2281"/>
        <item x="1371"/>
        <item x="663"/>
        <item x="1396"/>
        <item x="2284"/>
        <item x="2286"/>
        <item x="2285"/>
        <item x="2272"/>
        <item x="1395"/>
        <item x="2149"/>
        <item x="1397"/>
        <item x="630"/>
        <item x="1398"/>
        <item x="1399"/>
        <item x="2148"/>
        <item x="2275"/>
        <item x="1392"/>
        <item x="2273"/>
        <item x="1404"/>
        <item x="1403"/>
        <item x="2287"/>
        <item x="2270"/>
        <item x="2271"/>
        <item x="196"/>
        <item x="197"/>
        <item x="2260"/>
        <item x="2259"/>
        <item x="1394"/>
        <item x="1405"/>
        <item x="2248"/>
        <item x="2147"/>
        <item x="471"/>
        <item x="195"/>
        <item x="1393"/>
        <item x="1406"/>
        <item x="2274"/>
        <item x="2288"/>
        <item x="2261"/>
        <item x="2262"/>
        <item x="1308"/>
        <item x="1307"/>
        <item x="1407"/>
        <item x="2146"/>
        <item x="2237"/>
        <item x="1309"/>
        <item x="2250"/>
        <item x="1310"/>
        <item x="2264"/>
        <item x="1311"/>
        <item x="2295"/>
        <item x="2263"/>
        <item x="2249"/>
        <item x="194"/>
        <item x="2269"/>
        <item x="2258"/>
        <item x="2247"/>
        <item x="2293"/>
        <item x="2327"/>
        <item x="1408"/>
        <item x="2328"/>
        <item x="2294"/>
        <item x="2265"/>
        <item x="2266"/>
        <item x="2231"/>
        <item x="2292"/>
        <item x="2234"/>
        <item x="2233"/>
        <item x="2150"/>
        <item x="193"/>
        <item x="2268"/>
        <item x="2232"/>
        <item x="2296"/>
        <item x="2236"/>
        <item x="2235"/>
        <item x="2238"/>
        <item x="2254"/>
        <item x="1108"/>
        <item x="1105"/>
        <item x="2267"/>
        <item x="2257"/>
        <item x="1109"/>
        <item x="2251"/>
        <item x="1113"/>
        <item x="1110"/>
        <item x="1111"/>
        <item x="1106"/>
        <item x="159"/>
        <item x="2331"/>
        <item x="2291"/>
        <item x="2256"/>
        <item x="2245"/>
        <item x="2255"/>
        <item x="1107"/>
        <item x="1312"/>
        <item x="2239"/>
        <item x="2252"/>
        <item x="2289"/>
        <item x="2332"/>
        <item x="2246"/>
        <item x="1114"/>
        <item x="1112"/>
        <item x="2330"/>
        <item x="2253"/>
        <item x="2290"/>
        <item x="2329"/>
        <item x="2244"/>
        <item x="1119"/>
        <item x="2241"/>
        <item x="530"/>
        <item x="2224"/>
        <item x="1313"/>
        <item x="543"/>
        <item x="2136"/>
        <item x="1117"/>
        <item x="544"/>
        <item x="545"/>
        <item x="542"/>
        <item x="2240"/>
        <item x="546"/>
        <item x="1118"/>
        <item x="558"/>
        <item x="554"/>
        <item x="556"/>
        <item x="557"/>
        <item x="2225"/>
        <item x="555"/>
        <item x="548"/>
        <item x="2226"/>
        <item x="631"/>
        <item x="549"/>
        <item x="553"/>
        <item x="550"/>
        <item x="547"/>
        <item x="551"/>
        <item x="552"/>
        <item x="1116"/>
        <item x="538"/>
        <item x="537"/>
        <item x="2243"/>
        <item x="2242"/>
        <item x="1115"/>
        <item x="2227"/>
        <item x="1336"/>
        <item x="1411"/>
        <item x="539"/>
        <item x="1335"/>
        <item x="1322"/>
        <item x="541"/>
        <item x="540"/>
        <item x="632"/>
        <item x="1321"/>
        <item x="2133"/>
        <item x="660"/>
        <item x="633"/>
        <item x="1319"/>
        <item x="1315"/>
        <item x="1314"/>
        <item x="1133"/>
        <item x="559"/>
        <item x="1320"/>
        <item x="1132"/>
        <item x="2151"/>
        <item x="2228"/>
        <item x="1317"/>
        <item x="1323"/>
        <item x="1318"/>
        <item x="536"/>
        <item x="1316"/>
        <item x="1334"/>
        <item x="2134"/>
        <item x="2311"/>
        <item x="1410"/>
        <item x="1333"/>
        <item x="1134"/>
        <item x="1324"/>
        <item x="535"/>
        <item x="534"/>
        <item x="1409"/>
        <item x="1412"/>
        <item x="2135"/>
        <item x="1413"/>
        <item x="2312"/>
        <item x="531"/>
        <item x="532"/>
        <item x="533"/>
        <item x="2140"/>
        <item x="2141"/>
        <item x="2310"/>
        <item x="2319"/>
        <item x="2315"/>
        <item x="2230"/>
        <item x="2314"/>
        <item x="2333"/>
        <item x="2229"/>
        <item x="1327"/>
        <item x="2142"/>
        <item x="2321"/>
        <item x="2313"/>
        <item x="1326"/>
        <item x="1332"/>
        <item x="1325"/>
        <item x="2326"/>
        <item x="2320"/>
        <item x="2298"/>
        <item x="2143"/>
        <item x="2144"/>
        <item x="1328"/>
        <item x="1131"/>
        <item x="2139"/>
        <item x="1331"/>
        <item x="2145"/>
        <item x="2318"/>
        <item x="2322"/>
        <item x="2323"/>
        <item x="1330"/>
        <item x="1329"/>
        <item x="2137"/>
        <item x="160"/>
        <item x="2222"/>
        <item x="2223"/>
        <item x="2324"/>
        <item x="2317"/>
        <item x="2316"/>
        <item x="2325"/>
        <item x="2138"/>
        <item x="2309"/>
        <item x="2221"/>
        <item x="2307"/>
        <item x="2306"/>
        <item x="2300"/>
        <item x="2305"/>
        <item x="2304"/>
        <item x="2299"/>
        <item x="161"/>
        <item x="2301"/>
        <item x="1130"/>
        <item x="2302"/>
        <item x="2308"/>
        <item x="1129"/>
        <item x="2297"/>
        <item x="2153"/>
        <item x="1128"/>
        <item x="2152"/>
        <item x="1127"/>
        <item x="2154"/>
        <item x="2334"/>
        <item x="2156"/>
        <item x="2155"/>
        <item x="2220"/>
        <item x="2303"/>
        <item x="2157"/>
        <item x="1120"/>
        <item x="1125"/>
        <item x="1126"/>
        <item x="162"/>
        <item x="1122"/>
        <item x="1121"/>
        <item x="2335"/>
        <item x="1123"/>
        <item x="1124"/>
        <item x="2131"/>
        <item x="2158"/>
        <item x="2132"/>
        <item x="2347"/>
        <item x="2219"/>
        <item x="1930"/>
        <item x="653"/>
        <item x="655"/>
        <item x="652"/>
        <item x="659"/>
        <item x="658"/>
        <item x="656"/>
        <item x="1931"/>
        <item x="649"/>
        <item x="657"/>
        <item x="654"/>
        <item x="2346"/>
        <item x="648"/>
        <item x="647"/>
        <item x="646"/>
        <item x="2336"/>
        <item x="651"/>
        <item x="650"/>
        <item x="2345"/>
        <item x="2218"/>
        <item x="2343"/>
        <item x="642"/>
        <item x="2130"/>
        <item x="645"/>
        <item x="643"/>
        <item x="2217"/>
        <item x="644"/>
        <item x="634"/>
        <item x="2215"/>
        <item x="2163"/>
        <item x="2339"/>
        <item x="2214"/>
        <item x="2216"/>
        <item x="641"/>
        <item x="2161"/>
        <item x="2159"/>
        <item x="1929"/>
        <item x="2162"/>
        <item x="2342"/>
        <item x="2340"/>
        <item x="640"/>
        <item x="638"/>
        <item x="2338"/>
        <item x="639"/>
        <item x="2337"/>
        <item x="635"/>
        <item x="2341"/>
        <item x="2344"/>
        <item x="1928"/>
        <item x="2160"/>
        <item x="2183"/>
        <item x="2182"/>
        <item x="2200"/>
        <item x="2212"/>
        <item x="2213"/>
        <item x="2211"/>
        <item x="637"/>
        <item x="2126"/>
        <item x="636"/>
        <item x="2206"/>
        <item x="2124"/>
        <item x="2205"/>
        <item x="2127"/>
        <item x="2166"/>
        <item x="2010"/>
        <item x="2129"/>
        <item x="2019"/>
        <item x="2011"/>
        <item x="2204"/>
        <item x="2202"/>
        <item x="2184"/>
        <item x="2128"/>
        <item x="2164"/>
        <item x="2350"/>
        <item x="2203"/>
        <item x="2012"/>
        <item x="2165"/>
        <item x="2125"/>
        <item x="2201"/>
        <item x="2180"/>
        <item x="2210"/>
        <item x="2209"/>
        <item x="2198"/>
        <item x="2013"/>
        <item x="2208"/>
        <item x="2197"/>
        <item x="2207"/>
        <item x="2018"/>
        <item x="2199"/>
        <item x="2017"/>
        <item x="2185"/>
        <item x="2349"/>
        <item x="2186"/>
        <item x="2020"/>
        <item x="2181"/>
        <item x="2116"/>
        <item x="2196"/>
        <item x="1922"/>
        <item x="2168"/>
        <item x="2167"/>
        <item x="1975"/>
        <item x="2169"/>
        <item x="1921"/>
        <item x="2348"/>
        <item x="1920"/>
        <item x="2190"/>
        <item x="2189"/>
        <item x="2021"/>
        <item x="2022"/>
        <item x="1977"/>
        <item x="2179"/>
        <item x="2193"/>
        <item x="2187"/>
        <item x="1915"/>
        <item x="2188"/>
        <item x="2115"/>
        <item x="1913"/>
        <item x="1914"/>
        <item x="1918"/>
        <item x="1919"/>
        <item x="2191"/>
        <item x="2192"/>
        <item x="1978"/>
        <item x="2114"/>
        <item x="2082"/>
        <item x="1916"/>
        <item x="1927"/>
        <item x="2195"/>
        <item x="2194"/>
        <item x="1974"/>
        <item x="2170"/>
        <item x="2176"/>
        <item x="2117"/>
        <item x="2171"/>
        <item x="2351"/>
        <item x="2173"/>
        <item x="2177"/>
        <item x="2172"/>
        <item x="2175"/>
        <item x="1976"/>
        <item x="2083"/>
        <item x="2178"/>
        <item x="2174"/>
        <item x="1905"/>
        <item x="2015"/>
        <item x="2123"/>
        <item x="1906"/>
        <item x="2014"/>
        <item x="2009"/>
        <item x="1917"/>
        <item x="1979"/>
        <item x="1912"/>
        <item x="2122"/>
        <item x="2016"/>
        <item x="2118"/>
        <item x="1998"/>
        <item x="2076"/>
        <item x="2121"/>
        <item x="2120"/>
        <item x="2006"/>
        <item x="2119"/>
        <item x="1926"/>
        <item x="2005"/>
        <item x="1911"/>
        <item x="2000"/>
        <item x="2002"/>
        <item x="2003"/>
        <item x="1907"/>
        <item x="1908"/>
        <item x="1904"/>
        <item x="2004"/>
        <item x="2001"/>
        <item x="1925"/>
        <item x="1999"/>
        <item x="2080"/>
        <item x="1924"/>
        <item x="2081"/>
        <item x="1910"/>
        <item x="2008"/>
        <item x="192"/>
        <item x="1909"/>
        <item x="2077"/>
        <item x="1903"/>
        <item x="2007"/>
        <item x="1923"/>
        <item x="1984"/>
        <item x="2078"/>
        <item x="1997"/>
        <item x="1985"/>
        <item x="2079"/>
        <item x="1897"/>
        <item x="1986"/>
        <item x="1973"/>
        <item x="1981"/>
        <item x="1995"/>
        <item x="1996"/>
        <item x="1980"/>
        <item x="191"/>
        <item x="1983"/>
        <item x="190"/>
        <item x="2075"/>
        <item x="1982"/>
        <item x="1971"/>
        <item x="1902"/>
        <item x="1992"/>
        <item x="1994"/>
        <item x="1993"/>
        <item x="1901"/>
        <item x="1972"/>
        <item x="1987"/>
        <item x="1988"/>
        <item x="1989"/>
        <item x="1991"/>
        <item x="1990"/>
        <item x="1900"/>
        <item x="1898"/>
        <item x="189"/>
        <item x="1899"/>
        <item x="2086"/>
        <item x="2099"/>
        <item x="163"/>
        <item x="2100"/>
        <item x="2091"/>
        <item x="164"/>
        <item x="2089"/>
        <item x="2090"/>
        <item x="2098"/>
        <item x="2093"/>
        <item x="2023"/>
        <item x="2094"/>
        <item x="2101"/>
        <item x="2088"/>
        <item x="2092"/>
        <item x="1895"/>
        <item x="2087"/>
        <item x="165"/>
        <item x="178"/>
        <item x="175"/>
        <item x="177"/>
        <item x="176"/>
        <item x="174"/>
        <item x="167"/>
        <item x="166"/>
        <item x="2097"/>
        <item x="1888"/>
        <item x="1896"/>
        <item x="179"/>
        <item x="183"/>
        <item x="171"/>
        <item x="172"/>
        <item x="182"/>
        <item x="184"/>
        <item x="2103"/>
        <item x="173"/>
        <item x="2102"/>
        <item x="181"/>
        <item x="168"/>
        <item x="2110"/>
        <item x="170"/>
        <item x="180"/>
        <item x="1893"/>
        <item x="1892"/>
        <item x="2024"/>
        <item x="169"/>
        <item x="2107"/>
        <item x="2108"/>
        <item x="1894"/>
        <item x="1889"/>
        <item x="2109"/>
        <item x="1891"/>
        <item x="1890"/>
        <item x="2113"/>
        <item x="1969"/>
        <item x="2112"/>
        <item x="2111"/>
        <item x="2096"/>
        <item x="1967"/>
        <item x="1963"/>
        <item x="1962"/>
        <item x="2084"/>
        <item x="1964"/>
        <item x="2085"/>
        <item x="2095"/>
        <item x="1886"/>
        <item x="188"/>
        <item x="187"/>
        <item x="1968"/>
        <item x="186"/>
        <item x="1887"/>
        <item x="1965"/>
        <item x="2105"/>
        <item x="2106"/>
        <item x="185"/>
        <item x="1883"/>
        <item x="2104"/>
        <item x="1884"/>
        <item x="1966"/>
        <item x="1885"/>
        <item x="1970"/>
        <item x="2025"/>
        <item x="2026"/>
        <item x="2027"/>
        <item x="2028"/>
        <item x="2029"/>
        <item x="1939"/>
        <item x="2031"/>
        <item x="2030"/>
        <item x="1940"/>
        <item x="1938"/>
        <item x="1937"/>
        <item x="2032"/>
        <item x="1934"/>
        <item x="1935"/>
        <item x="1936"/>
        <item x="1932"/>
        <item x="1933"/>
        <item x="2038"/>
        <item x="2037"/>
        <item x="2039"/>
        <item x="2036"/>
        <item x="2033"/>
        <item x="2035"/>
        <item x="1941"/>
        <item x="2040"/>
        <item x="2034"/>
        <item x="1942"/>
        <item x="2074"/>
        <item x="2041"/>
        <item x="2073"/>
        <item x="2072"/>
        <item x="1943"/>
        <item x="2044"/>
        <item x="1953"/>
        <item x="1961"/>
        <item x="1960"/>
        <item x="1958"/>
        <item x="1957"/>
        <item x="1954"/>
        <item x="1955"/>
        <item x="1956"/>
        <item x="1959"/>
        <item x="2042"/>
        <item x="2043"/>
        <item x="1944"/>
        <item x="1946"/>
        <item x="1952"/>
        <item x="1951"/>
        <item x="1949"/>
        <item x="1950"/>
        <item x="1945"/>
        <item x="1948"/>
        <item x="1947"/>
        <item x="2071"/>
        <item x="2065"/>
        <item x="2066"/>
        <item x="2064"/>
        <item x="2063"/>
        <item x="2070"/>
        <item x="2067"/>
        <item x="2068"/>
        <item x="2069"/>
        <item x="2062"/>
        <item x="2055"/>
        <item x="2060"/>
        <item x="2061"/>
        <item x="2059"/>
        <item x="2053"/>
        <item x="2058"/>
        <item x="2054"/>
        <item x="2057"/>
        <item x="2056"/>
        <item x="2051"/>
        <item x="2045"/>
        <item x="2049"/>
        <item x="2050"/>
        <item x="2052"/>
        <item x="2048"/>
        <item x="2047"/>
        <item x="2046"/>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Fields count="1">
    <field x="-2"/>
  </colFields>
  <colItems count="3">
    <i>
      <x/>
    </i>
    <i i="1">
      <x v="1"/>
    </i>
    <i i="2">
      <x v="2"/>
    </i>
  </colItems>
  <dataFields count="3">
    <dataField name="Average of DailyReturnPct" fld="7" subtotal="average" baseField="6" baseItem="0" numFmtId="2"/>
    <dataField name="Average of Volatility30" fld="10" subtotal="average" baseField="6" baseItem="0" numFmtId="2"/>
    <dataField name="Sum of VolumeSpike" fld="11" baseField="0" baseItem="0"/>
  </dataFields>
  <conditionalFormats count="1">
    <conditionalFormat priority="2">
      <pivotAreas count="1">
        <pivotArea type="data" collapsedLevelsAreSubtotals="1" fieldPosition="0">
          <references count="2">
            <reference field="4294967294" count="1" selected="0">
              <x v="0"/>
            </reference>
            <reference field="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9EB3FE-DADF-4A01-B804-0AB36BABDD3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33" firstHeaderRow="1" firstDataRow="2" firstDataCol="1"/>
  <pivotFields count="17">
    <pivotField numFmtId="14" showAll="0">
      <items count="521">
        <item x="0"/>
        <item x="501"/>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502"/>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503"/>
        <item x="104"/>
        <item x="105"/>
        <item x="106"/>
        <item x="107"/>
        <item x="108"/>
        <item x="109"/>
        <item x="110"/>
        <item x="111"/>
        <item x="112"/>
        <item x="113"/>
        <item x="114"/>
        <item x="115"/>
        <item x="116"/>
        <item x="117"/>
        <item x="118"/>
        <item x="119"/>
        <item x="120"/>
        <item x="121"/>
        <item x="122"/>
        <item x="123"/>
        <item x="124"/>
        <item x="125"/>
        <item x="504"/>
        <item x="126"/>
        <item x="127"/>
        <item x="128"/>
        <item x="129"/>
        <item x="130"/>
        <item x="505"/>
        <item x="131"/>
        <item x="132"/>
        <item x="133"/>
        <item x="134"/>
        <item x="135"/>
        <item x="136"/>
        <item x="506"/>
        <item x="137"/>
        <item x="138"/>
        <item x="139"/>
        <item x="140"/>
        <item x="141"/>
        <item x="142"/>
        <item x="143"/>
        <item x="144"/>
        <item x="145"/>
        <item x="507"/>
        <item x="146"/>
        <item x="147"/>
        <item x="148"/>
        <item x="149"/>
        <item x="150"/>
        <item x="151"/>
        <item x="152"/>
        <item x="153"/>
        <item x="154"/>
        <item x="155"/>
        <item x="508"/>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509"/>
        <item x="224"/>
        <item x="225"/>
        <item x="226"/>
        <item x="227"/>
        <item x="228"/>
        <item x="229"/>
        <item x="230"/>
        <item x="231"/>
        <item x="232"/>
        <item x="233"/>
        <item x="234"/>
        <item x="235"/>
        <item x="236"/>
        <item x="237"/>
        <item x="238"/>
        <item x="239"/>
        <item x="240"/>
        <item x="510"/>
        <item x="241"/>
        <item x="242"/>
        <item x="243"/>
        <item x="244"/>
        <item x="245"/>
        <item x="246"/>
        <item x="247"/>
        <item x="248"/>
        <item x="249"/>
        <item x="250"/>
        <item x="511"/>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512"/>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513"/>
        <item x="353"/>
        <item x="354"/>
        <item x="355"/>
        <item x="356"/>
        <item x="357"/>
        <item x="358"/>
        <item x="359"/>
        <item x="360"/>
        <item x="361"/>
        <item x="362"/>
        <item x="363"/>
        <item x="364"/>
        <item x="365"/>
        <item x="366"/>
        <item x="367"/>
        <item x="368"/>
        <item x="369"/>
        <item x="370"/>
        <item x="371"/>
        <item x="372"/>
        <item x="373"/>
        <item x="374"/>
        <item x="375"/>
        <item x="514"/>
        <item x="376"/>
        <item x="377"/>
        <item x="378"/>
        <item x="379"/>
        <item x="380"/>
        <item x="381"/>
        <item x="382"/>
        <item x="383"/>
        <item x="384"/>
        <item x="385"/>
        <item x="386"/>
        <item x="515"/>
        <item x="387"/>
        <item x="388"/>
        <item x="389"/>
        <item x="390"/>
        <item x="391"/>
        <item x="392"/>
        <item x="393"/>
        <item x="394"/>
        <item x="395"/>
        <item x="396"/>
        <item x="397"/>
        <item x="398"/>
        <item x="399"/>
        <item x="400"/>
        <item x="401"/>
        <item x="402"/>
        <item x="403"/>
        <item x="404"/>
        <item x="405"/>
        <item x="516"/>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517"/>
        <item x="474"/>
        <item x="475"/>
        <item x="476"/>
        <item x="477"/>
        <item x="478"/>
        <item x="479"/>
        <item x="480"/>
        <item x="481"/>
        <item x="482"/>
        <item x="483"/>
        <item x="484"/>
        <item x="485"/>
        <item x="486"/>
        <item x="487"/>
        <item x="488"/>
        <item x="489"/>
        <item x="490"/>
        <item x="491"/>
        <item x="518"/>
        <item x="492"/>
        <item x="493"/>
        <item x="494"/>
        <item x="495"/>
        <item x="496"/>
        <item x="497"/>
        <item x="498"/>
        <item x="499"/>
        <item x="500"/>
        <item x="519"/>
        <item t="default"/>
      </items>
    </pivotField>
    <pivotField showAll="0"/>
    <pivotField showAll="0"/>
    <pivotField showAll="0"/>
    <pivotField showAll="0"/>
    <pivotField showAll="0"/>
    <pivotField axis="axisCol" showAll="0">
      <items count="6">
        <item x="0"/>
        <item h="1" x="1"/>
        <item h="1" x="2"/>
        <item h="1" x="3"/>
        <item h="1" x="4"/>
        <item t="default"/>
      </items>
    </pivotField>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16"/>
    <field x="14"/>
  </rowFields>
  <rowItems count="29">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t="grand">
      <x/>
    </i>
  </rowItems>
  <colFields count="1">
    <field x="6"/>
  </colFields>
  <colItems count="2">
    <i>
      <x/>
    </i>
    <i t="grand">
      <x/>
    </i>
  </colItems>
  <dataFields count="1">
    <dataField name="Average of GrowthOf100" fld="8" subtotal="average" baseField="16" baseItem="1" numFmtId="2"/>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9A5D0DF-35DD-4063-A8D8-F9C36F7220D7}" autoFormatId="16" applyNumberFormats="0" applyBorderFormats="0" applyFontFormats="0" applyPatternFormats="0" applyAlignmentFormats="0" applyWidthHeightFormats="0">
  <queryTableRefresh nextId="16" unboundColumnsRight="2">
    <queryTableFields count="14">
      <queryTableField id="1" name="Date" tableColumnId="1"/>
      <queryTableField id="2" name="Close" tableColumnId="2"/>
      <queryTableField id="3" name="High" tableColumnId="3"/>
      <queryTableField id="4" name="Low" tableColumnId="4"/>
      <queryTableField id="5" name="Open" tableColumnId="5"/>
      <queryTableField id="6" name="Volume" tableColumnId="6"/>
      <queryTableField id="7" name="Ticker" tableColumnId="7"/>
      <queryTableField id="8" name="DailyReturnPct" tableColumnId="8"/>
      <queryTableField id="9" name="GrowthOf100" tableColumnId="9"/>
      <queryTableField id="10" name="MA50" tableColumnId="10"/>
      <queryTableField id="11" name="Volatility30" tableColumnId="11"/>
      <queryTableField id="12" name="VolumeSpike" tableColumnId="12"/>
      <queryTableField id="13" dataBound="0" tableColumnId="13"/>
      <queryTableField id="15"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262E7F6-F1FA-425F-89F5-00E4B9070535}" autoFormatId="16" applyNumberFormats="0" applyBorderFormats="0" applyFontFormats="0" applyPatternFormats="0" applyAlignmentFormats="0" applyWidthHeightFormats="0">
  <queryTableRefresh nextId="8">
    <queryTableFields count="7">
      <queryTableField id="1" name="Date" tableColumnId="1"/>
      <queryTableField id="2" name="Year" tableColumnId="2"/>
      <queryTableField id="3" name="Quarter" tableColumnId="3"/>
      <queryTableField id="4" name="MonthNum" tableColumnId="4"/>
      <queryTableField id="5" name="Month" tableColumnId="5"/>
      <queryTableField id="6" name="YearMonth" tableColumnId="6"/>
      <queryTableField id="7" name="Weekda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B496864-FE0F-4A10-8670-C9353005F77E}" autoFormatId="16" applyNumberFormats="0" applyBorderFormats="0" applyFontFormats="0" applyPatternFormats="0" applyAlignmentFormats="0" applyWidthHeightFormats="0">
  <queryTableRefresh nextId="11">
    <queryTableFields count="5">
      <queryTableField id="6" name="Ticker" tableColumnId="6"/>
      <queryTableField id="7" name="Company" tableColumnId="7"/>
      <queryTableField id="8" name="Sector" tableColumnId="8"/>
      <queryTableField id="9" name="Country" tableColumnId="9"/>
      <queryTableField id="10" name="Currenc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257AE839-9A52-4CD2-91EA-B883C2665B58}" sourceName="Ticker">
  <pivotTables>
    <pivotTable tabId="6" name="PivotTable2"/>
  </pivotTables>
  <data>
    <tabular pivotCacheId="1269482885">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54C473BA-A85F-4C42-9169-E4EE687064A3}" cache="Slicer_Ticker" caption="Tick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52A76-05E7-40B1-8A7C-4A7F959FBCE7}" name="fact_daily_prices" displayName="fact_daily_prices" ref="A1:N2504" tableType="queryTable" totalsRowShown="0">
  <autoFilter ref="A1:N2504" xr:uid="{81C52A76-05E7-40B1-8A7C-4A7F959FBCE7}"/>
  <tableColumns count="14">
    <tableColumn id="1" xr3:uid="{243AB89C-D969-4766-84A6-800175DDB403}" uniqueName="1" name="Date" queryTableFieldId="1" dataDxfId="3"/>
    <tableColumn id="2" xr3:uid="{16ED2216-ABEC-444F-A6AA-854ACAEF3F43}" uniqueName="2" name="Close" queryTableFieldId="2"/>
    <tableColumn id="3" xr3:uid="{9DDF6382-22C3-48C7-8FB9-6B9136937D45}" uniqueName="3" name="High" queryTableFieldId="3"/>
    <tableColumn id="4" xr3:uid="{ED058C7E-AB93-42AD-90D1-14BE6E07B1F4}" uniqueName="4" name="Low" queryTableFieldId="4"/>
    <tableColumn id="5" xr3:uid="{C0631C93-980A-40F2-B13D-32E56E01FD38}" uniqueName="5" name="Open" queryTableFieldId="5"/>
    <tableColumn id="6" xr3:uid="{7B405BC8-B856-4938-AEEC-8F0D5DA698D9}" uniqueName="6" name="Volume" queryTableFieldId="6"/>
    <tableColumn id="7" xr3:uid="{13D6EFC9-C5CA-4033-880A-C03F0AB831BB}" uniqueName="7" name="Ticker" queryTableFieldId="7" dataDxfId="2"/>
    <tableColumn id="8" xr3:uid="{4EA04242-3F05-4588-9433-0F4684485217}" uniqueName="8" name="DailyReturnPct" queryTableFieldId="8"/>
    <tableColumn id="9" xr3:uid="{9257C394-576D-4D73-B694-B38581E6F049}" uniqueName="9" name="GrowthOf100" queryTableFieldId="9"/>
    <tableColumn id="10" xr3:uid="{9B3C60DB-F951-4006-892D-6C472F121963}" uniqueName="10" name="MA50" queryTableFieldId="10"/>
    <tableColumn id="11" xr3:uid="{46CEDC7C-CDB8-46E0-ACA2-A0105DFA4170}" uniqueName="11" name="Volatility30" queryTableFieldId="11"/>
    <tableColumn id="12" xr3:uid="{5713544D-EF62-482E-851C-5CEA554D05D9}" uniqueName="12" name="VolumeSpike" queryTableFieldId="12"/>
    <tableColumn id="13" xr3:uid="{FE77A97C-EA20-41AA-A699-5A79DFA3DEDC}" uniqueName="13" name="Company" queryTableFieldId="13" dataDxfId="0">
      <calculatedColumnFormula>VLOOKUP(fact_daily_prices[[#This Row],[Ticker]], dim_company[], 2, FALSE)</calculatedColumnFormula>
    </tableColumn>
    <tableColumn id="15" xr3:uid="{EAE148D5-6079-4FC8-8C56-4AE58AB1EE54}" uniqueName="15" name="Sector" queryTableFieldId="15" dataDxfId="1">
      <calculatedColumnFormula>VLOOKUP(fact_daily_prices[[#This Row],[Ticker]], dim_company[], 3, 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F0BCBE-C09E-4F47-A6E4-7C46C9F2935A}" name="dim_date" displayName="dim_date" ref="A1:G732" tableType="queryTable" totalsRowShown="0">
  <autoFilter ref="A1:G732" xr:uid="{3AF0BCBE-C09E-4F47-A6E4-7C46C9F2935A}"/>
  <tableColumns count="7">
    <tableColumn id="1" xr3:uid="{CD35FAFF-8EFF-4B15-9F41-4B6029BAE202}" uniqueName="1" name="Date" queryTableFieldId="1" dataDxfId="13"/>
    <tableColumn id="2" xr3:uid="{91C19E0E-ED88-4995-84FF-E42CC385562F}" uniqueName="2" name="Year" queryTableFieldId="2"/>
    <tableColumn id="3" xr3:uid="{F0CAAEA1-5E47-40F6-87D7-054297303B7E}" uniqueName="3" name="Quarter" queryTableFieldId="3" dataDxfId="12"/>
    <tableColumn id="4" xr3:uid="{9FC7962D-D214-422B-8800-D5CC5E04EB91}" uniqueName="4" name="MonthNum" queryTableFieldId="4"/>
    <tableColumn id="5" xr3:uid="{B3E10223-DC6F-42C2-8E99-1DEB93A23482}" uniqueName="5" name="Month" queryTableFieldId="5" dataDxfId="11"/>
    <tableColumn id="6" xr3:uid="{BA7711DD-581A-44C0-85EA-ADBB2A683D5F}" uniqueName="6" name="YearMonth" queryTableFieldId="6" dataDxfId="10"/>
    <tableColumn id="7" xr3:uid="{1699BF04-7579-4DAA-BA5F-F81F95E8AEC9}" uniqueName="7" name="Weekday" queryTableFieldId="7"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6C8540-2B4F-4C20-AACF-4A786C343855}" name="dim_company" displayName="dim_company" ref="A1:E6" tableType="queryTable" totalsRowShown="0">
  <autoFilter ref="A1:E6" xr:uid="{476C8540-2B4F-4C20-AACF-4A786C343855}"/>
  <tableColumns count="5">
    <tableColumn id="6" xr3:uid="{7315CC44-F126-4F41-8227-F8EF6C3A7F97}" uniqueName="6" name="Ticker" queryTableFieldId="6" dataDxfId="8"/>
    <tableColumn id="7" xr3:uid="{AF745D67-31CB-40AE-8DA4-BF96A4BF4652}" uniqueName="7" name="Company" queryTableFieldId="7" dataDxfId="7"/>
    <tableColumn id="8" xr3:uid="{45F20834-0F1C-46D0-ADC1-B79424144A3B}" uniqueName="8" name="Sector" queryTableFieldId="8" dataDxfId="6"/>
    <tableColumn id="9" xr3:uid="{011D402F-B967-40D1-86A1-01A4CF8CF7BD}" uniqueName="9" name="Country" queryTableFieldId="9" dataDxfId="5"/>
    <tableColumn id="10" xr3:uid="{A59AD108-9D7F-4165-8A92-E376F46E9250}" uniqueName="10" name="Currency" queryTableFieldId="10"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3B18-90A6-4144-BBED-8D5E52BCF895}">
  <dimension ref="A1:A9"/>
  <sheetViews>
    <sheetView workbookViewId="0">
      <selection activeCell="A13" sqref="A13"/>
    </sheetView>
  </sheetViews>
  <sheetFormatPr defaultRowHeight="14.4" x14ac:dyDescent="0.3"/>
  <cols>
    <col min="1" max="1" width="86.109375" customWidth="1"/>
  </cols>
  <sheetData>
    <row r="1" spans="1:1" ht="21" x14ac:dyDescent="0.4">
      <c r="A1" s="9" t="s">
        <v>73</v>
      </c>
    </row>
    <row r="2" spans="1:1" x14ac:dyDescent="0.3">
      <c r="A2" t="s">
        <v>80</v>
      </c>
    </row>
    <row r="3" spans="1:1" x14ac:dyDescent="0.3">
      <c r="A3" t="s">
        <v>81</v>
      </c>
    </row>
    <row r="4" spans="1:1" x14ac:dyDescent="0.3">
      <c r="A4" s="10" t="s">
        <v>74</v>
      </c>
    </row>
    <row r="5" spans="1:1" ht="43.2" x14ac:dyDescent="0.3">
      <c r="A5" s="8" t="s">
        <v>75</v>
      </c>
    </row>
    <row r="6" spans="1:1" ht="43.2" x14ac:dyDescent="0.3">
      <c r="A6" s="8" t="s">
        <v>76</v>
      </c>
    </row>
    <row r="7" spans="1:1" ht="28.8" x14ac:dyDescent="0.3">
      <c r="A7" s="8" t="s">
        <v>77</v>
      </c>
    </row>
    <row r="8" spans="1:1" ht="28.8" x14ac:dyDescent="0.3">
      <c r="A8" s="8" t="s">
        <v>78</v>
      </c>
    </row>
    <row r="9" spans="1:1" ht="57.6" x14ac:dyDescent="0.3">
      <c r="A9" s="8"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7580-84F3-4617-8CDE-54B49837B790}">
  <dimension ref="A3:D9"/>
  <sheetViews>
    <sheetView workbookViewId="0">
      <selection activeCell="C17" sqref="C17"/>
    </sheetView>
  </sheetViews>
  <sheetFormatPr defaultRowHeight="14.4" x14ac:dyDescent="0.3"/>
  <cols>
    <col min="1" max="1" width="12.77734375" bestFit="1" customWidth="1"/>
    <col min="2" max="2" width="23.88671875" bestFit="1" customWidth="1"/>
    <col min="3" max="3" width="21" bestFit="1" customWidth="1"/>
    <col min="4" max="4" width="19.109375" bestFit="1" customWidth="1"/>
  </cols>
  <sheetData>
    <row r="3" spans="1:4" x14ac:dyDescent="0.3">
      <c r="A3" s="4" t="s">
        <v>63</v>
      </c>
      <c r="B3" t="s">
        <v>66</v>
      </c>
      <c r="C3" t="s">
        <v>67</v>
      </c>
      <c r="D3" t="s">
        <v>65</v>
      </c>
    </row>
    <row r="4" spans="1:4" x14ac:dyDescent="0.3">
      <c r="A4" s="5" t="s">
        <v>12</v>
      </c>
      <c r="B4" s="6">
        <v>8.4031927845336848E-2</v>
      </c>
      <c r="C4" s="6">
        <v>1.6119069171801559</v>
      </c>
      <c r="D4" s="2">
        <v>12</v>
      </c>
    </row>
    <row r="5" spans="1:4" x14ac:dyDescent="0.3">
      <c r="A5" s="5" t="s">
        <v>13</v>
      </c>
      <c r="B5" s="6">
        <v>0.1157293479317239</v>
      </c>
      <c r="C5" s="6">
        <v>1.5398063866871372</v>
      </c>
      <c r="D5" s="2">
        <v>15</v>
      </c>
    </row>
    <row r="6" spans="1:4" x14ac:dyDescent="0.3">
      <c r="A6" s="5" t="s">
        <v>14</v>
      </c>
      <c r="B6" s="6">
        <v>-1.6406155190704284E-2</v>
      </c>
      <c r="C6" s="6">
        <v>1.5223032786968373</v>
      </c>
      <c r="D6" s="2">
        <v>15</v>
      </c>
    </row>
    <row r="7" spans="1:4" x14ac:dyDescent="0.3">
      <c r="A7" s="5" t="s">
        <v>15</v>
      </c>
      <c r="B7" s="6">
        <v>-2.4132142995969941E-2</v>
      </c>
      <c r="C7" s="6">
        <v>1.2837571777552264</v>
      </c>
      <c r="D7" s="2">
        <v>18</v>
      </c>
    </row>
    <row r="8" spans="1:4" x14ac:dyDescent="0.3">
      <c r="A8" s="5" t="s">
        <v>16</v>
      </c>
      <c r="B8" s="6">
        <v>0.16122367102808322</v>
      </c>
      <c r="C8" s="6">
        <v>3.6048666307108728</v>
      </c>
      <c r="D8" s="2">
        <v>7</v>
      </c>
    </row>
    <row r="9" spans="1:4" x14ac:dyDescent="0.3">
      <c r="A9" s="5" t="s">
        <v>64</v>
      </c>
      <c r="B9" s="6">
        <v>6.4159963408817813E-2</v>
      </c>
      <c r="C9" s="6">
        <v>1.9130625201103839</v>
      </c>
      <c r="D9" s="2">
        <v>67</v>
      </c>
    </row>
  </sheetData>
  <conditionalFormatting sqref="B3">
    <cfRule type="colorScale" priority="4">
      <colorScale>
        <cfvo type="min"/>
        <cfvo type="percentile" val="50"/>
        <cfvo type="max"/>
        <color rgb="FF63BE7B"/>
        <color rgb="FFFCFCFF"/>
        <color rgb="FFF8696B"/>
      </colorScale>
    </cfRule>
  </conditionalFormatting>
  <conditionalFormatting pivot="1" sqref="B4:B8">
    <cfRule type="colorScale" priority="2">
      <colorScale>
        <cfvo type="min"/>
        <cfvo type="percentile" val="50"/>
        <cfvo type="max"/>
        <color rgb="FFF8696B"/>
        <color rgb="FFFCFCFF"/>
        <color rgb="FF63BE7B"/>
      </colorScale>
    </cfRule>
  </conditionalFormatting>
  <conditionalFormatting sqref="B3:B9">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9B5A-FCCA-4C43-8C28-0A1F8E3F9906}">
  <dimension ref="A3:C33"/>
  <sheetViews>
    <sheetView workbookViewId="0">
      <selection activeCell="N9" sqref="N9"/>
    </sheetView>
  </sheetViews>
  <sheetFormatPr defaultRowHeight="14.4" x14ac:dyDescent="0.3"/>
  <cols>
    <col min="1" max="1" width="22.6640625" bestFit="1" customWidth="1"/>
    <col min="2" max="2" width="15.77734375" bestFit="1" customWidth="1"/>
    <col min="3" max="3" width="11" bestFit="1" customWidth="1"/>
    <col min="4" max="4" width="27.44140625" bestFit="1" customWidth="1"/>
    <col min="5" max="5" width="19.109375" bestFit="1" customWidth="1"/>
    <col min="6" max="6" width="6.5546875" bestFit="1" customWidth="1"/>
    <col min="7" max="7" width="11" bestFit="1" customWidth="1"/>
  </cols>
  <sheetData>
    <row r="3" spans="1:3" x14ac:dyDescent="0.3">
      <c r="A3" s="4" t="s">
        <v>72</v>
      </c>
      <c r="B3" s="4" t="s">
        <v>71</v>
      </c>
    </row>
    <row r="4" spans="1:3" x14ac:dyDescent="0.3">
      <c r="A4" s="4" t="s">
        <v>63</v>
      </c>
      <c r="B4" t="s">
        <v>12</v>
      </c>
      <c r="C4" t="s">
        <v>64</v>
      </c>
    </row>
    <row r="5" spans="1:3" x14ac:dyDescent="0.3">
      <c r="A5" s="5" t="s">
        <v>68</v>
      </c>
      <c r="B5" s="6">
        <v>103.79518652835779</v>
      </c>
      <c r="C5" s="6">
        <v>103.79518652835783</v>
      </c>
    </row>
    <row r="6" spans="1:3" x14ac:dyDescent="0.3">
      <c r="A6" s="7" t="s">
        <v>24</v>
      </c>
      <c r="B6" s="6">
        <v>101.65087219654093</v>
      </c>
      <c r="C6" s="6">
        <v>101.65087219654093</v>
      </c>
    </row>
    <row r="7" spans="1:3" x14ac:dyDescent="0.3">
      <c r="A7" s="7" t="s">
        <v>32</v>
      </c>
      <c r="B7" s="6">
        <v>100.12011908386202</v>
      </c>
      <c r="C7" s="6">
        <v>100.12011908386202</v>
      </c>
    </row>
    <row r="8" spans="1:3" x14ac:dyDescent="0.3">
      <c r="A8" s="7" t="s">
        <v>33</v>
      </c>
      <c r="B8" s="6">
        <v>101.1135203906187</v>
      </c>
      <c r="C8" s="6">
        <v>101.1135203906187</v>
      </c>
    </row>
    <row r="9" spans="1:3" x14ac:dyDescent="0.3">
      <c r="A9" s="7" t="s">
        <v>35</v>
      </c>
      <c r="B9" s="6">
        <v>103.95954896025938</v>
      </c>
      <c r="C9" s="6">
        <v>103.95954896025938</v>
      </c>
    </row>
    <row r="10" spans="1:3" x14ac:dyDescent="0.3">
      <c r="A10" s="7" t="s">
        <v>36</v>
      </c>
      <c r="B10" s="6">
        <v>103.03024854937264</v>
      </c>
      <c r="C10" s="6">
        <v>103.03024854937264</v>
      </c>
    </row>
    <row r="11" spans="1:3" x14ac:dyDescent="0.3">
      <c r="A11" s="7" t="s">
        <v>37</v>
      </c>
      <c r="B11" s="6">
        <v>112.78992542435765</v>
      </c>
      <c r="C11" s="6">
        <v>112.78992542435765</v>
      </c>
    </row>
    <row r="12" spans="1:3" x14ac:dyDescent="0.3">
      <c r="A12" s="5" t="s">
        <v>69</v>
      </c>
      <c r="B12" s="6">
        <v>105.31897194029573</v>
      </c>
      <c r="C12" s="6">
        <v>105.31897194029573</v>
      </c>
    </row>
    <row r="13" spans="1:3" x14ac:dyDescent="0.3">
      <c r="A13" s="7" t="s">
        <v>39</v>
      </c>
      <c r="B13" s="6">
        <v>106.12364209701755</v>
      </c>
      <c r="C13" s="6">
        <v>106.12364209701755</v>
      </c>
    </row>
    <row r="14" spans="1:3" x14ac:dyDescent="0.3">
      <c r="A14" s="7" t="s">
        <v>40</v>
      </c>
      <c r="B14" s="6">
        <v>107.995111862607</v>
      </c>
      <c r="C14" s="6">
        <v>107.995111862607</v>
      </c>
    </row>
    <row r="15" spans="1:3" x14ac:dyDescent="0.3">
      <c r="A15" s="7" t="s">
        <v>41</v>
      </c>
      <c r="B15" s="6">
        <v>100.85820472163303</v>
      </c>
      <c r="C15" s="6">
        <v>100.85820472163303</v>
      </c>
    </row>
    <row r="16" spans="1:3" x14ac:dyDescent="0.3">
      <c r="A16" s="7" t="s">
        <v>43</v>
      </c>
      <c r="B16" s="6">
        <v>91.112606866671257</v>
      </c>
      <c r="C16" s="6">
        <v>91.112606866671257</v>
      </c>
    </row>
    <row r="17" spans="1:3" x14ac:dyDescent="0.3">
      <c r="A17" s="7" t="s">
        <v>44</v>
      </c>
      <c r="B17" s="6">
        <v>92.472178605850743</v>
      </c>
      <c r="C17" s="6">
        <v>92.472178605850743</v>
      </c>
    </row>
    <row r="18" spans="1:3" x14ac:dyDescent="0.3">
      <c r="A18" s="7" t="s">
        <v>45</v>
      </c>
      <c r="B18" s="6">
        <v>90.882998006364275</v>
      </c>
      <c r="C18" s="6">
        <v>90.882998006364275</v>
      </c>
    </row>
    <row r="19" spans="1:3" x14ac:dyDescent="0.3">
      <c r="A19" s="7" t="s">
        <v>24</v>
      </c>
      <c r="B19" s="6">
        <v>95.810882000834866</v>
      </c>
      <c r="C19" s="6">
        <v>95.810882000834866</v>
      </c>
    </row>
    <row r="20" spans="1:3" x14ac:dyDescent="0.3">
      <c r="A20" s="7" t="s">
        <v>32</v>
      </c>
      <c r="B20" s="6">
        <v>101.95661248528516</v>
      </c>
      <c r="C20" s="6">
        <v>101.95661248528516</v>
      </c>
    </row>
    <row r="21" spans="1:3" x14ac:dyDescent="0.3">
      <c r="A21" s="7" t="s">
        <v>33</v>
      </c>
      <c r="B21" s="6">
        <v>110.08653432091445</v>
      </c>
      <c r="C21" s="6">
        <v>110.08653432091445</v>
      </c>
    </row>
    <row r="22" spans="1:3" x14ac:dyDescent="0.3">
      <c r="A22" s="7" t="s">
        <v>35</v>
      </c>
      <c r="B22" s="6">
        <v>117.23250189958314</v>
      </c>
      <c r="C22" s="6">
        <v>117.23250189958314</v>
      </c>
    </row>
    <row r="23" spans="1:3" x14ac:dyDescent="0.3">
      <c r="A23" s="7" t="s">
        <v>36</v>
      </c>
      <c r="B23" s="6">
        <v>123.41785019723896</v>
      </c>
      <c r="C23" s="6">
        <v>123.41785019723896</v>
      </c>
    </row>
    <row r="24" spans="1:3" x14ac:dyDescent="0.3">
      <c r="A24" s="7" t="s">
        <v>37</v>
      </c>
      <c r="B24" s="6">
        <v>125.56218541604522</v>
      </c>
      <c r="C24" s="6">
        <v>125.56218541604522</v>
      </c>
    </row>
    <row r="25" spans="1:3" x14ac:dyDescent="0.3">
      <c r="A25" s="5" t="s">
        <v>70</v>
      </c>
      <c r="B25" s="6">
        <v>124.49016646698821</v>
      </c>
      <c r="C25" s="6">
        <v>124.49016646698821</v>
      </c>
    </row>
    <row r="26" spans="1:3" x14ac:dyDescent="0.3">
      <c r="A26" s="7" t="s">
        <v>39</v>
      </c>
      <c r="B26" s="6">
        <v>117.08392805015924</v>
      </c>
      <c r="C26" s="6">
        <v>117.08392805015924</v>
      </c>
    </row>
    <row r="27" spans="1:3" x14ac:dyDescent="0.3">
      <c r="A27" s="7" t="s">
        <v>40</v>
      </c>
      <c r="B27" s="6">
        <v>122.40682909479557</v>
      </c>
      <c r="C27" s="6">
        <v>122.40682909479557</v>
      </c>
    </row>
    <row r="28" spans="1:3" x14ac:dyDescent="0.3">
      <c r="A28" s="7" t="s">
        <v>41</v>
      </c>
      <c r="B28" s="6">
        <v>115.94575343861725</v>
      </c>
      <c r="C28" s="6">
        <v>115.94575343861725</v>
      </c>
    </row>
    <row r="29" spans="1:3" x14ac:dyDescent="0.3">
      <c r="A29" s="7" t="s">
        <v>43</v>
      </c>
      <c r="B29" s="6">
        <v>120.44940177926485</v>
      </c>
      <c r="C29" s="6">
        <v>120.44940177926485</v>
      </c>
    </row>
    <row r="30" spans="1:3" x14ac:dyDescent="0.3">
      <c r="A30" s="7" t="s">
        <v>44</v>
      </c>
      <c r="B30" s="6">
        <v>135.42748474692891</v>
      </c>
      <c r="C30" s="6">
        <v>135.42748474692891</v>
      </c>
    </row>
    <row r="31" spans="1:3" x14ac:dyDescent="0.3">
      <c r="A31" s="7" t="s">
        <v>45</v>
      </c>
      <c r="B31" s="6">
        <v>134.78729560013329</v>
      </c>
      <c r="C31" s="6">
        <v>134.78729560013329</v>
      </c>
    </row>
    <row r="32" spans="1:3" x14ac:dyDescent="0.3">
      <c r="A32" s="7" t="s">
        <v>24</v>
      </c>
      <c r="B32" s="6">
        <v>137.26778950685411</v>
      </c>
      <c r="C32" s="6">
        <v>137.26778950685411</v>
      </c>
    </row>
    <row r="33" spans="1:3" x14ac:dyDescent="0.3">
      <c r="A33" s="5" t="s">
        <v>64</v>
      </c>
      <c r="B33" s="6">
        <v>109.71897663876373</v>
      </c>
      <c r="C33" s="6">
        <v>109.71897663876358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B06B-2ECD-4D5F-891A-191D0D947715}">
  <dimension ref="A1:N2504"/>
  <sheetViews>
    <sheetView topLeftCell="A2" workbookViewId="0">
      <selection activeCell="A2" sqref="A2"/>
    </sheetView>
  </sheetViews>
  <sheetFormatPr defaultRowHeight="14.4" x14ac:dyDescent="0.3"/>
  <cols>
    <col min="1" max="1" width="10.33203125" bestFit="1" customWidth="1"/>
    <col min="2" max="5" width="12" bestFit="1" customWidth="1"/>
    <col min="6" max="6" width="10" bestFit="1" customWidth="1"/>
    <col min="7" max="7" width="12.109375" bestFit="1" customWidth="1"/>
    <col min="8" max="8" width="16.109375" bestFit="1" customWidth="1"/>
    <col min="9" max="9" width="14.6640625" bestFit="1" customWidth="1"/>
    <col min="10" max="10" width="12" bestFit="1" customWidth="1"/>
    <col min="11" max="11" width="13" bestFit="1" customWidth="1"/>
    <col min="12" max="12" width="14.6640625" bestFit="1" customWidth="1"/>
    <col min="13" max="13" width="12.77734375" customWidth="1"/>
    <col min="14" max="14" width="19.44140625" customWidth="1"/>
    <col min="16" max="16" width="11" bestFit="1" customWidth="1"/>
  </cols>
  <sheetData>
    <row r="1" spans="1:14" x14ac:dyDescent="0.3">
      <c r="A1" t="s">
        <v>0</v>
      </c>
      <c r="B1" t="s">
        <v>1</v>
      </c>
      <c r="C1" t="s">
        <v>2</v>
      </c>
      <c r="D1" t="s">
        <v>3</v>
      </c>
      <c r="E1" t="s">
        <v>4</v>
      </c>
      <c r="F1" t="s">
        <v>5</v>
      </c>
      <c r="G1" t="s">
        <v>6</v>
      </c>
      <c r="H1" t="s">
        <v>7</v>
      </c>
      <c r="I1" t="s">
        <v>8</v>
      </c>
      <c r="J1" t="s">
        <v>9</v>
      </c>
      <c r="K1" t="s">
        <v>10</v>
      </c>
      <c r="L1" t="s">
        <v>11</v>
      </c>
      <c r="M1" t="s">
        <v>46</v>
      </c>
      <c r="N1" t="s">
        <v>47</v>
      </c>
    </row>
    <row r="2" spans="1:14" x14ac:dyDescent="0.3">
      <c r="A2" s="1">
        <v>45476</v>
      </c>
      <c r="B2">
        <v>219.64730834960929</v>
      </c>
      <c r="C2">
        <v>219.64730834960929</v>
      </c>
      <c r="D2">
        <v>217.14894613859079</v>
      </c>
      <c r="E2">
        <v>218.11061688690268</v>
      </c>
      <c r="F2">
        <v>37369800</v>
      </c>
      <c r="G2" s="2" t="s">
        <v>12</v>
      </c>
      <c r="I2">
        <v>100</v>
      </c>
      <c r="L2">
        <v>0</v>
      </c>
      <c r="M2" s="3" t="str">
        <f>VLOOKUP(fact_daily_prices[[#This Row],[Ticker]], dim_company[], 2, FALSE)</f>
        <v>Apple Inc.</v>
      </c>
      <c r="N2" t="str">
        <f>VLOOKUP(fact_daily_prices[[#This Row],[Ticker]], dim_company[], 3, FALSE)</f>
        <v>Technology</v>
      </c>
    </row>
    <row r="3" spans="1:14" x14ac:dyDescent="0.3">
      <c r="A3" s="1">
        <v>45478</v>
      </c>
      <c r="B3">
        <v>224.39614868164065</v>
      </c>
      <c r="C3">
        <v>224.50520458742349</v>
      </c>
      <c r="D3">
        <v>219.74642480522968</v>
      </c>
      <c r="E3">
        <v>219.74642480522968</v>
      </c>
      <c r="F3">
        <v>60412400</v>
      </c>
      <c r="G3" s="2" t="s">
        <v>12</v>
      </c>
      <c r="H3">
        <v>2.1620298321492371</v>
      </c>
      <c r="I3">
        <v>102.16202983214924</v>
      </c>
      <c r="L3">
        <v>0</v>
      </c>
      <c r="M3" t="str">
        <f>VLOOKUP(fact_daily_prices[[#This Row],[Ticker]], dim_company[], 2, FALSE)</f>
        <v>Apple Inc.</v>
      </c>
      <c r="N3" t="str">
        <f>VLOOKUP(fact_daily_prices[[#This Row],[Ticker]], dim_company[], 3, FALSE)</f>
        <v>Technology</v>
      </c>
    </row>
    <row r="4" spans="1:14" x14ac:dyDescent="0.3">
      <c r="A4" s="1">
        <v>45481</v>
      </c>
      <c r="B4">
        <v>225.86347961425781</v>
      </c>
      <c r="C4">
        <v>225.89322076278884</v>
      </c>
      <c r="D4">
        <v>221.33271970324731</v>
      </c>
      <c r="E4">
        <v>225.13973799267995</v>
      </c>
      <c r="F4">
        <v>59085900</v>
      </c>
      <c r="G4" s="2" t="s">
        <v>12</v>
      </c>
      <c r="H4">
        <v>0.65390201268513692</v>
      </c>
      <c r="I4">
        <v>102.83006940142162</v>
      </c>
      <c r="L4">
        <v>0</v>
      </c>
      <c r="M4" t="str">
        <f>VLOOKUP(fact_daily_prices[[#This Row],[Ticker]], dim_company[], 2, FALSE)</f>
        <v>Apple Inc.</v>
      </c>
      <c r="N4" t="str">
        <f>VLOOKUP(fact_daily_prices[[#This Row],[Ticker]], dim_company[], 3, FALSE)</f>
        <v>Technology</v>
      </c>
    </row>
    <row r="5" spans="1:14" x14ac:dyDescent="0.3">
      <c r="A5" s="1">
        <v>45482</v>
      </c>
      <c r="B5">
        <v>226.71609497070313</v>
      </c>
      <c r="C5">
        <v>227.42991284004063</v>
      </c>
      <c r="D5">
        <v>224.4259356098064</v>
      </c>
      <c r="E5">
        <v>225.9725359507888</v>
      </c>
      <c r="F5">
        <v>48076100</v>
      </c>
      <c r="G5" s="2" t="s">
        <v>12</v>
      </c>
      <c r="H5">
        <v>0.37749146426924174</v>
      </c>
      <c r="I5">
        <v>103.21824413611414</v>
      </c>
      <c r="L5">
        <v>0</v>
      </c>
      <c r="M5" t="str">
        <f>VLOOKUP(fact_daily_prices[[#This Row],[Ticker]], dim_company[], 2, FALSE)</f>
        <v>Apple Inc.</v>
      </c>
      <c r="N5" t="str">
        <f>VLOOKUP(fact_daily_prices[[#This Row],[Ticker]], dim_company[], 3, FALSE)</f>
        <v>Technology</v>
      </c>
    </row>
    <row r="6" spans="1:14" x14ac:dyDescent="0.3">
      <c r="A6" s="1">
        <v>45483</v>
      </c>
      <c r="B6">
        <v>230.97914123535159</v>
      </c>
      <c r="C6">
        <v>231.07828847688279</v>
      </c>
      <c r="D6">
        <v>227.28117906796425</v>
      </c>
      <c r="E6">
        <v>227.3307526887298</v>
      </c>
      <c r="F6">
        <v>62627700</v>
      </c>
      <c r="G6" s="2" t="s">
        <v>12</v>
      </c>
      <c r="H6">
        <v>1.8803456654453043</v>
      </c>
      <c r="I6">
        <v>105.15910391567631</v>
      </c>
      <c r="L6">
        <v>0</v>
      </c>
      <c r="M6" t="str">
        <f>VLOOKUP(fact_daily_prices[[#This Row],[Ticker]], dim_company[], 2, FALSE)</f>
        <v>Apple Inc.</v>
      </c>
      <c r="N6" t="str">
        <f>VLOOKUP(fact_daily_prices[[#This Row],[Ticker]], dim_company[], 3, FALSE)</f>
        <v>Technology</v>
      </c>
    </row>
    <row r="7" spans="1:14" x14ac:dyDescent="0.3">
      <c r="A7" s="1">
        <v>45484</v>
      </c>
      <c r="B7">
        <v>225.6156311035156</v>
      </c>
      <c r="C7">
        <v>230.39422897123265</v>
      </c>
      <c r="D7">
        <v>223.83108651749723</v>
      </c>
      <c r="E7">
        <v>229.40281699319425</v>
      </c>
      <c r="F7">
        <v>64710600</v>
      </c>
      <c r="G7" s="2" t="s">
        <v>12</v>
      </c>
      <c r="H7">
        <v>-2.3220755359770529</v>
      </c>
      <c r="I7">
        <v>102.7172300897977</v>
      </c>
      <c r="L7">
        <v>0</v>
      </c>
      <c r="M7" t="str">
        <f>VLOOKUP(fact_daily_prices[[#This Row],[Ticker]], dim_company[], 2, FALSE)</f>
        <v>Apple Inc.</v>
      </c>
      <c r="N7" t="str">
        <f>VLOOKUP(fact_daily_prices[[#This Row],[Ticker]], dim_company[], 3, FALSE)</f>
        <v>Technology</v>
      </c>
    </row>
    <row r="8" spans="1:14" x14ac:dyDescent="0.3">
      <c r="A8" s="1">
        <v>45485</v>
      </c>
      <c r="B8">
        <v>228.56010437011719</v>
      </c>
      <c r="C8">
        <v>230.64207551688347</v>
      </c>
      <c r="D8">
        <v>226.71607753741577</v>
      </c>
      <c r="E8">
        <v>226.9540218514806</v>
      </c>
      <c r="F8">
        <v>53046500</v>
      </c>
      <c r="G8" s="2" t="s">
        <v>12</v>
      </c>
      <c r="H8">
        <v>1.3050838952069821</v>
      </c>
      <c r="I8">
        <v>104.05777611730235</v>
      </c>
      <c r="L8">
        <v>0</v>
      </c>
      <c r="M8" t="str">
        <f>VLOOKUP(fact_daily_prices[[#This Row],[Ticker]], dim_company[], 2, FALSE)</f>
        <v>Apple Inc.</v>
      </c>
      <c r="N8" t="str">
        <f>VLOOKUP(fact_daily_prices[[#This Row],[Ticker]], dim_company[], 3, FALSE)</f>
        <v>Technology</v>
      </c>
    </row>
    <row r="9" spans="1:14" x14ac:dyDescent="0.3">
      <c r="A9" s="1">
        <v>45488</v>
      </c>
      <c r="B9">
        <v>232.38694763183599</v>
      </c>
      <c r="C9">
        <v>235.19264517635779</v>
      </c>
      <c r="D9">
        <v>231.08820043911544</v>
      </c>
      <c r="E9">
        <v>234.44908623752588</v>
      </c>
      <c r="F9">
        <v>62631300</v>
      </c>
      <c r="G9" s="2" t="s">
        <v>12</v>
      </c>
      <c r="H9">
        <v>1.6743268788160126</v>
      </c>
      <c r="I9">
        <v>105.80004343233253</v>
      </c>
      <c r="L9">
        <v>0</v>
      </c>
      <c r="M9" t="str">
        <f>VLOOKUP(fact_daily_prices[[#This Row],[Ticker]], dim_company[], 2, FALSE)</f>
        <v>Apple Inc.</v>
      </c>
      <c r="N9" t="str">
        <f>VLOOKUP(fact_daily_prices[[#This Row],[Ticker]], dim_company[], 3, FALSE)</f>
        <v>Technology</v>
      </c>
    </row>
    <row r="10" spans="1:14" x14ac:dyDescent="0.3">
      <c r="A10" s="1">
        <v>45489</v>
      </c>
      <c r="B10">
        <v>232.80332946777344</v>
      </c>
      <c r="C10">
        <v>234.24087357279009</v>
      </c>
      <c r="D10">
        <v>230.33470860446999</v>
      </c>
      <c r="E10">
        <v>232.98177633300929</v>
      </c>
      <c r="F10">
        <v>43234300</v>
      </c>
      <c r="G10" s="2" t="s">
        <v>12</v>
      </c>
      <c r="H10">
        <v>0.17917608548183583</v>
      </c>
      <c r="I10">
        <v>105.98961180859267</v>
      </c>
      <c r="L10">
        <v>0</v>
      </c>
      <c r="M10" t="str">
        <f>VLOOKUP(fact_daily_prices[[#This Row],[Ticker]], dim_company[], 2, FALSE)</f>
        <v>Apple Inc.</v>
      </c>
      <c r="N10" t="str">
        <f>VLOOKUP(fact_daily_prices[[#This Row],[Ticker]], dim_company[], 3, FALSE)</f>
        <v>Technology</v>
      </c>
    </row>
    <row r="11" spans="1:14" x14ac:dyDescent="0.3">
      <c r="A11" s="1">
        <v>45490</v>
      </c>
      <c r="B11">
        <v>226.91436767578125</v>
      </c>
      <c r="C11">
        <v>229.47221227385296</v>
      </c>
      <c r="D11">
        <v>224.69359950369105</v>
      </c>
      <c r="E11">
        <v>227.479464610192</v>
      </c>
      <c r="F11">
        <v>57345900</v>
      </c>
      <c r="G11" s="2" t="s">
        <v>12</v>
      </c>
      <c r="H11">
        <v>-2.5295865851469257</v>
      </c>
      <c r="I11">
        <v>103.3085128066332</v>
      </c>
      <c r="L11">
        <v>0</v>
      </c>
      <c r="M11" t="str">
        <f>VLOOKUP(fact_daily_prices[[#This Row],[Ticker]], dim_company[], 2, FALSE)</f>
        <v>Apple Inc.</v>
      </c>
      <c r="N11" t="str">
        <f>VLOOKUP(fact_daily_prices[[#This Row],[Ticker]], dim_company[], 3, FALSE)</f>
        <v>Technology</v>
      </c>
    </row>
    <row r="12" spans="1:14" x14ac:dyDescent="0.3">
      <c r="A12" s="1">
        <v>45491</v>
      </c>
      <c r="B12">
        <v>222.25473022460929</v>
      </c>
      <c r="C12">
        <v>228.46097889584823</v>
      </c>
      <c r="D12">
        <v>220.36114484151929</v>
      </c>
      <c r="E12">
        <v>228.3023493485251</v>
      </c>
      <c r="F12">
        <v>66034600</v>
      </c>
      <c r="G12" s="2" t="s">
        <v>12</v>
      </c>
      <c r="H12">
        <v>-2.0534783667069179</v>
      </c>
      <c r="I12">
        <v>101.18709484518236</v>
      </c>
      <c r="L12">
        <v>0</v>
      </c>
      <c r="M12" t="str">
        <f>VLOOKUP(fact_daily_prices[[#This Row],[Ticker]], dim_company[], 2, FALSE)</f>
        <v>Apple Inc.</v>
      </c>
      <c r="N12" t="str">
        <f>VLOOKUP(fact_daily_prices[[#This Row],[Ticker]], dim_company[], 3, FALSE)</f>
        <v>Technology</v>
      </c>
    </row>
    <row r="13" spans="1:14" x14ac:dyDescent="0.3">
      <c r="A13" s="1">
        <v>45492</v>
      </c>
      <c r="B13">
        <v>222.38360595703125</v>
      </c>
      <c r="C13">
        <v>224.85222709050521</v>
      </c>
      <c r="D13">
        <v>221.36245288688531</v>
      </c>
      <c r="E13">
        <v>222.88923571935769</v>
      </c>
      <c r="F13">
        <v>49151500</v>
      </c>
      <c r="G13" s="2" t="s">
        <v>12</v>
      </c>
      <c r="H13">
        <v>5.7985597108189957E-2</v>
      </c>
      <c r="I13">
        <v>101.24576878632476</v>
      </c>
      <c r="L13">
        <v>0</v>
      </c>
      <c r="M13" t="str">
        <f>VLOOKUP(fact_daily_prices[[#This Row],[Ticker]], dim_company[], 2, FALSE)</f>
        <v>Apple Inc.</v>
      </c>
      <c r="N13" t="str">
        <f>VLOOKUP(fact_daily_prices[[#This Row],[Ticker]], dim_company[], 3, FALSE)</f>
        <v>Technology</v>
      </c>
    </row>
    <row r="14" spans="1:14" x14ac:dyDescent="0.3">
      <c r="A14" s="1">
        <v>45495</v>
      </c>
      <c r="B14">
        <v>222.03663635253903</v>
      </c>
      <c r="C14">
        <v>225.82382229500527</v>
      </c>
      <c r="D14">
        <v>221.17409763275569</v>
      </c>
      <c r="E14">
        <v>225.06043082550624</v>
      </c>
      <c r="F14">
        <v>48201800</v>
      </c>
      <c r="G14" s="2" t="s">
        <v>12</v>
      </c>
      <c r="H14">
        <v>-0.15602301392633189</v>
      </c>
      <c r="I14">
        <v>101.08780208639145</v>
      </c>
      <c r="L14">
        <v>0</v>
      </c>
      <c r="M14" t="str">
        <f>VLOOKUP(fact_daily_prices[[#This Row],[Ticker]], dim_company[], 2, FALSE)</f>
        <v>Apple Inc.</v>
      </c>
      <c r="N14" t="str">
        <f>VLOOKUP(fact_daily_prices[[#This Row],[Ticker]], dim_company[], 3, FALSE)</f>
        <v>Technology</v>
      </c>
    </row>
    <row r="15" spans="1:14" x14ac:dyDescent="0.3">
      <c r="A15" s="1">
        <v>45496</v>
      </c>
      <c r="B15">
        <v>223.07759094238281</v>
      </c>
      <c r="C15">
        <v>224.99102381671921</v>
      </c>
      <c r="D15">
        <v>220.76759935066607</v>
      </c>
      <c r="E15">
        <v>222.44308791792704</v>
      </c>
      <c r="F15">
        <v>39960300</v>
      </c>
      <c r="G15" s="2" t="s">
        <v>12</v>
      </c>
      <c r="H15">
        <v>0.46882109499757352</v>
      </c>
      <c r="I15">
        <v>101.56172302704188</v>
      </c>
      <c r="L15">
        <v>0</v>
      </c>
      <c r="M15" t="str">
        <f>VLOOKUP(fact_daily_prices[[#This Row],[Ticker]], dim_company[], 2, FALSE)</f>
        <v>Apple Inc.</v>
      </c>
      <c r="N15" t="str">
        <f>VLOOKUP(fact_daily_prices[[#This Row],[Ticker]], dim_company[], 3, FALSE)</f>
        <v>Technology</v>
      </c>
    </row>
    <row r="16" spans="1:14" x14ac:dyDescent="0.3">
      <c r="A16" s="1">
        <v>45497</v>
      </c>
      <c r="B16">
        <v>216.66314697265625</v>
      </c>
      <c r="C16">
        <v>222.86939506256107</v>
      </c>
      <c r="D16">
        <v>215.2652677100796</v>
      </c>
      <c r="E16">
        <v>222.0762625279836</v>
      </c>
      <c r="F16">
        <v>61777600</v>
      </c>
      <c r="G16" s="2" t="s">
        <v>12</v>
      </c>
      <c r="H16">
        <v>-2.8754317915255401</v>
      </c>
      <c r="I16">
        <v>98.641384955101202</v>
      </c>
      <c r="L16">
        <v>0</v>
      </c>
      <c r="M16" t="str">
        <f>VLOOKUP(fact_daily_prices[[#This Row],[Ticker]], dim_company[], 2, FALSE)</f>
        <v>Apple Inc.</v>
      </c>
      <c r="N16" t="str">
        <f>VLOOKUP(fact_daily_prices[[#This Row],[Ticker]], dim_company[], 3, FALSE)</f>
        <v>Technology</v>
      </c>
    </row>
    <row r="17" spans="1:14" x14ac:dyDescent="0.3">
      <c r="A17" s="1">
        <v>45498</v>
      </c>
      <c r="B17">
        <v>215.6221923828125</v>
      </c>
      <c r="C17">
        <v>218.95333716975929</v>
      </c>
      <c r="D17">
        <v>212.77682977395943</v>
      </c>
      <c r="E17">
        <v>217.04981289629319</v>
      </c>
      <c r="F17">
        <v>51391200</v>
      </c>
      <c r="G17" s="2" t="s">
        <v>12</v>
      </c>
      <c r="H17">
        <v>-0.48044838468773721</v>
      </c>
      <c r="I17">
        <v>98.167464014450815</v>
      </c>
      <c r="L17">
        <v>0</v>
      </c>
      <c r="M17" t="str">
        <f>VLOOKUP(fact_daily_prices[[#This Row],[Ticker]], dim_company[], 2, FALSE)</f>
        <v>Apple Inc.</v>
      </c>
      <c r="N17" t="str">
        <f>VLOOKUP(fact_daily_prices[[#This Row],[Ticker]], dim_company[], 3, FALSE)</f>
        <v>Technology</v>
      </c>
    </row>
    <row r="18" spans="1:14" x14ac:dyDescent="0.3">
      <c r="A18" s="1">
        <v>45499</v>
      </c>
      <c r="B18">
        <v>216.08816528320313</v>
      </c>
      <c r="C18">
        <v>217.60502442671483</v>
      </c>
      <c r="D18">
        <v>214.15489978899527</v>
      </c>
      <c r="E18">
        <v>216.82180047841348</v>
      </c>
      <c r="F18">
        <v>41601300</v>
      </c>
      <c r="G18" s="2" t="s">
        <v>12</v>
      </c>
      <c r="H18">
        <v>0.21610618797684999</v>
      </c>
      <c r="I18">
        <v>98.379609978765998</v>
      </c>
      <c r="L18">
        <v>0</v>
      </c>
      <c r="M18" t="str">
        <f>VLOOKUP(fact_daily_prices[[#This Row],[Ticker]], dim_company[], 2, FALSE)</f>
        <v>Apple Inc.</v>
      </c>
      <c r="N18" t="str">
        <f>VLOOKUP(fact_daily_prices[[#This Row],[Ticker]], dim_company[], 3, FALSE)</f>
        <v>Technology</v>
      </c>
    </row>
    <row r="19" spans="1:14" x14ac:dyDescent="0.3">
      <c r="A19" s="1">
        <v>45502</v>
      </c>
      <c r="B19">
        <v>216.36575317382807</v>
      </c>
      <c r="C19">
        <v>217.41664743865044</v>
      </c>
      <c r="D19">
        <v>213.8971319294418</v>
      </c>
      <c r="E19">
        <v>215.096747065996</v>
      </c>
      <c r="F19">
        <v>36311800</v>
      </c>
      <c r="G19" s="2" t="s">
        <v>12</v>
      </c>
      <c r="H19">
        <v>0.1284604782779919</v>
      </c>
      <c r="I19">
        <v>98.50598889627274</v>
      </c>
      <c r="L19">
        <v>0</v>
      </c>
      <c r="M19" t="str">
        <f>VLOOKUP(fact_daily_prices[[#This Row],[Ticker]], dim_company[], 2, FALSE)</f>
        <v>Apple Inc.</v>
      </c>
      <c r="N19" t="str">
        <f>VLOOKUP(fact_daily_prices[[#This Row],[Ticker]], dim_company[], 3, FALSE)</f>
        <v>Technology</v>
      </c>
    </row>
    <row r="20" spans="1:14" x14ac:dyDescent="0.3">
      <c r="A20" s="1">
        <v>45503</v>
      </c>
      <c r="B20">
        <v>216.92094421386719</v>
      </c>
      <c r="C20">
        <v>218.43780333279801</v>
      </c>
      <c r="D20">
        <v>214.26395224147609</v>
      </c>
      <c r="E20">
        <v>217.30759428089371</v>
      </c>
      <c r="F20">
        <v>46108400</v>
      </c>
      <c r="G20" s="2" t="s">
        <v>12</v>
      </c>
      <c r="H20">
        <v>0.25659839040843568</v>
      </c>
      <c r="I20">
        <v>98.758753678236474</v>
      </c>
      <c r="L20">
        <v>0</v>
      </c>
      <c r="M20" t="str">
        <f>VLOOKUP(fact_daily_prices[[#This Row],[Ticker]], dim_company[], 2, FALSE)</f>
        <v>Apple Inc.</v>
      </c>
      <c r="N20" t="str">
        <f>VLOOKUP(fact_daily_prices[[#This Row],[Ticker]], dim_company[], 3, FALSE)</f>
        <v>Technology</v>
      </c>
    </row>
    <row r="21" spans="1:14" x14ac:dyDescent="0.3">
      <c r="A21" s="1">
        <v>45504</v>
      </c>
      <c r="B21">
        <v>220.17277526855469</v>
      </c>
      <c r="C21">
        <v>221.89783756706771</v>
      </c>
      <c r="D21">
        <v>218.73523091700039</v>
      </c>
      <c r="E21">
        <v>219.53827220377053</v>
      </c>
      <c r="F21">
        <v>50036300</v>
      </c>
      <c r="G21" s="2" t="s">
        <v>12</v>
      </c>
      <c r="H21">
        <v>1.4990857920484935</v>
      </c>
      <c r="I21">
        <v>100.23923212303107</v>
      </c>
      <c r="L21">
        <v>0</v>
      </c>
      <c r="M21" t="str">
        <f>VLOOKUP(fact_daily_prices[[#This Row],[Ticker]], dim_company[], 2, FALSE)</f>
        <v>Apple Inc.</v>
      </c>
      <c r="N21" t="str">
        <f>VLOOKUP(fact_daily_prices[[#This Row],[Ticker]], dim_company[], 3, FALSE)</f>
        <v>Technology</v>
      </c>
    </row>
    <row r="22" spans="1:14" x14ac:dyDescent="0.3">
      <c r="A22" s="1">
        <v>45505</v>
      </c>
      <c r="B22">
        <v>216.48471069335929</v>
      </c>
      <c r="C22">
        <v>222.55214689360599</v>
      </c>
      <c r="D22">
        <v>215.15622233135369</v>
      </c>
      <c r="E22">
        <v>222.44309097566543</v>
      </c>
      <c r="F22">
        <v>62501000</v>
      </c>
      <c r="G22" s="2" t="s">
        <v>12</v>
      </c>
      <c r="H22">
        <v>-1.6750774798096169</v>
      </c>
      <c r="I22">
        <v>98.560147319804102</v>
      </c>
      <c r="L22">
        <v>0</v>
      </c>
      <c r="M22" t="str">
        <f>VLOOKUP(fact_daily_prices[[#This Row],[Ticker]], dim_company[], 2, FALSE)</f>
        <v>Apple Inc.</v>
      </c>
      <c r="N22" t="str">
        <f>VLOOKUP(fact_daily_prices[[#This Row],[Ticker]], dim_company[], 3, FALSE)</f>
        <v>Technology</v>
      </c>
    </row>
    <row r="23" spans="1:14" x14ac:dyDescent="0.3">
      <c r="A23" s="1">
        <v>45506</v>
      </c>
      <c r="B23">
        <v>217.97183227539065</v>
      </c>
      <c r="C23">
        <v>223.66254232334131</v>
      </c>
      <c r="D23">
        <v>215.84030263063204</v>
      </c>
      <c r="E23">
        <v>217.2679231335739</v>
      </c>
      <c r="F23">
        <v>105568600</v>
      </c>
      <c r="G23" s="2" t="s">
        <v>12</v>
      </c>
      <c r="H23">
        <v>0.68694069769101862</v>
      </c>
      <c r="I23">
        <v>99.237197083448066</v>
      </c>
      <c r="L23">
        <v>0</v>
      </c>
      <c r="M23" t="str">
        <f>VLOOKUP(fact_daily_prices[[#This Row],[Ticker]], dim_company[], 2, FALSE)</f>
        <v>Apple Inc.</v>
      </c>
      <c r="N23" t="str">
        <f>VLOOKUP(fact_daily_prices[[#This Row],[Ticker]], dim_company[], 3, FALSE)</f>
        <v>Technology</v>
      </c>
    </row>
    <row r="24" spans="1:14" x14ac:dyDescent="0.3">
      <c r="A24" s="1">
        <v>45509</v>
      </c>
      <c r="B24">
        <v>207.4727783203125</v>
      </c>
      <c r="C24">
        <v>211.66644653820467</v>
      </c>
      <c r="D24">
        <v>194.31673780556491</v>
      </c>
      <c r="E24">
        <v>197.38019703112641</v>
      </c>
      <c r="F24">
        <v>119548600</v>
      </c>
      <c r="G24" s="2" t="s">
        <v>12</v>
      </c>
      <c r="H24">
        <v>-4.816702160769748</v>
      </c>
      <c r="I24">
        <v>94.457236867242287</v>
      </c>
      <c r="L24">
        <v>0</v>
      </c>
      <c r="M24" t="str">
        <f>VLOOKUP(fact_daily_prices[[#This Row],[Ticker]], dim_company[], 2, FALSE)</f>
        <v>Apple Inc.</v>
      </c>
      <c r="N24" t="str">
        <f>VLOOKUP(fact_daily_prices[[#This Row],[Ticker]], dim_company[], 3, FALSE)</f>
        <v>Technology</v>
      </c>
    </row>
    <row r="25" spans="1:14" x14ac:dyDescent="0.3">
      <c r="A25" s="1">
        <v>45510</v>
      </c>
      <c r="B25">
        <v>205.45030212402344</v>
      </c>
      <c r="C25">
        <v>208.18660889381388</v>
      </c>
      <c r="D25">
        <v>199.34321577245791</v>
      </c>
      <c r="E25">
        <v>203.53688424769564</v>
      </c>
      <c r="F25">
        <v>69660500</v>
      </c>
      <c r="G25" s="2" t="s">
        <v>12</v>
      </c>
      <c r="H25">
        <v>-0.97481520836752988</v>
      </c>
      <c r="I25">
        <v>93.536453356856669</v>
      </c>
      <c r="L25">
        <v>0</v>
      </c>
      <c r="M25" t="str">
        <f>VLOOKUP(fact_daily_prices[[#This Row],[Ticker]], dim_company[], 2, FALSE)</f>
        <v>Apple Inc.</v>
      </c>
      <c r="N25" t="str">
        <f>VLOOKUP(fact_daily_prices[[#This Row],[Ticker]], dim_company[], 3, FALSE)</f>
        <v>Technology</v>
      </c>
    </row>
    <row r="26" spans="1:14" x14ac:dyDescent="0.3">
      <c r="A26" s="1">
        <v>45511</v>
      </c>
      <c r="B26">
        <v>208.01806640625</v>
      </c>
      <c r="C26">
        <v>211.80525225793107</v>
      </c>
      <c r="D26">
        <v>204.61751548926864</v>
      </c>
      <c r="E26">
        <v>205.12313014700663</v>
      </c>
      <c r="F26">
        <v>63516400</v>
      </c>
      <c r="G26" s="2" t="s">
        <v>12</v>
      </c>
      <c r="H26">
        <v>1.2498225875941849</v>
      </c>
      <c r="I26">
        <v>94.705493078545175</v>
      </c>
      <c r="L26">
        <v>0</v>
      </c>
      <c r="M26" t="str">
        <f>VLOOKUP(fact_daily_prices[[#This Row],[Ticker]], dim_company[], 2, FALSE)</f>
        <v>Apple Inc.</v>
      </c>
      <c r="N26" t="str">
        <f>VLOOKUP(fact_daily_prices[[#This Row],[Ticker]], dim_company[], 3, FALSE)</f>
        <v>Technology</v>
      </c>
    </row>
    <row r="27" spans="1:14" x14ac:dyDescent="0.3">
      <c r="A27" s="1">
        <v>45512</v>
      </c>
      <c r="B27">
        <v>211.47810363769531</v>
      </c>
      <c r="C27">
        <v>212.36045976406425</v>
      </c>
      <c r="D27">
        <v>207.03658185433545</v>
      </c>
      <c r="E27">
        <v>211.27982425167653</v>
      </c>
      <c r="F27">
        <v>47161100</v>
      </c>
      <c r="G27" s="2" t="s">
        <v>12</v>
      </c>
      <c r="H27">
        <v>1.6633349647083184</v>
      </c>
      <c r="I27">
        <v>96.280762658420031</v>
      </c>
      <c r="L27">
        <v>0</v>
      </c>
      <c r="M27" t="str">
        <f>VLOOKUP(fact_daily_prices[[#This Row],[Ticker]], dim_company[], 2, FALSE)</f>
        <v>Apple Inc.</v>
      </c>
      <c r="N27" t="str">
        <f>VLOOKUP(fact_daily_prices[[#This Row],[Ticker]], dim_company[], 3, FALSE)</f>
        <v>Technology</v>
      </c>
    </row>
    <row r="28" spans="1:14" x14ac:dyDescent="0.3">
      <c r="A28" s="1">
        <v>45513</v>
      </c>
      <c r="B28">
        <v>214.38291931152344</v>
      </c>
      <c r="C28">
        <v>214.91827509282649</v>
      </c>
      <c r="D28">
        <v>210.14958617173221</v>
      </c>
      <c r="E28">
        <v>210.27847456238189</v>
      </c>
      <c r="F28">
        <v>42201600</v>
      </c>
      <c r="G28" s="2" t="s">
        <v>12</v>
      </c>
      <c r="H28">
        <v>1.3735775117430959</v>
      </c>
      <c r="I28">
        <v>97.603253562430822</v>
      </c>
      <c r="L28">
        <v>0</v>
      </c>
      <c r="M28" t="str">
        <f>VLOOKUP(fact_daily_prices[[#This Row],[Ticker]], dim_company[], 2, FALSE)</f>
        <v>Apple Inc.</v>
      </c>
      <c r="N28" t="str">
        <f>VLOOKUP(fact_daily_prices[[#This Row],[Ticker]], dim_company[], 3, FALSE)</f>
        <v>Technology</v>
      </c>
    </row>
    <row r="29" spans="1:14" x14ac:dyDescent="0.3">
      <c r="A29" s="1">
        <v>45516</v>
      </c>
      <c r="B29">
        <v>215.91146850585929</v>
      </c>
      <c r="C29">
        <v>217.87673209050189</v>
      </c>
      <c r="D29">
        <v>213.9958359256548</v>
      </c>
      <c r="E29">
        <v>214.4623401059105</v>
      </c>
      <c r="F29">
        <v>38028100</v>
      </c>
      <c r="G29" s="2" t="s">
        <v>12</v>
      </c>
      <c r="H29">
        <v>0.71299952405008415</v>
      </c>
      <c r="I29">
        <v>98.299164295788358</v>
      </c>
      <c r="L29">
        <v>0</v>
      </c>
      <c r="M29" t="str">
        <f>VLOOKUP(fact_daily_prices[[#This Row],[Ticker]], dim_company[], 2, FALSE)</f>
        <v>Apple Inc.</v>
      </c>
      <c r="N29" t="str">
        <f>VLOOKUP(fact_daily_prices[[#This Row],[Ticker]], dim_company[], 3, FALSE)</f>
        <v>Technology</v>
      </c>
    </row>
    <row r="30" spans="1:14" x14ac:dyDescent="0.3">
      <c r="A30" s="1">
        <v>45517</v>
      </c>
      <c r="B30">
        <v>219.62364196777344</v>
      </c>
      <c r="C30">
        <v>220.23902400333969</v>
      </c>
      <c r="D30">
        <v>217.38044783379533</v>
      </c>
      <c r="E30">
        <v>217.38044783379533</v>
      </c>
      <c r="F30">
        <v>44155300</v>
      </c>
      <c r="G30" s="2" t="s">
        <v>12</v>
      </c>
      <c r="H30">
        <v>1.7193035125012024</v>
      </c>
      <c r="I30">
        <v>99.989225280285169</v>
      </c>
      <c r="L30">
        <v>0</v>
      </c>
      <c r="M30" t="str">
        <f>VLOOKUP(fact_daily_prices[[#This Row],[Ticker]], dim_company[], 2, FALSE)</f>
        <v>Apple Inc.</v>
      </c>
      <c r="N30" t="str">
        <f>VLOOKUP(fact_daily_prices[[#This Row],[Ticker]], dim_company[], 3, FALSE)</f>
        <v>Technology</v>
      </c>
    </row>
    <row r="31" spans="1:14" x14ac:dyDescent="0.3">
      <c r="A31" s="1">
        <v>45518</v>
      </c>
      <c r="B31">
        <v>220.07029724121091</v>
      </c>
      <c r="C31">
        <v>221.37054778476929</v>
      </c>
      <c r="D31">
        <v>218.06532277692483</v>
      </c>
      <c r="E31">
        <v>218.92885985517657</v>
      </c>
      <c r="F31">
        <v>41960600</v>
      </c>
      <c r="G31" s="2" t="s">
        <v>12</v>
      </c>
      <c r="H31">
        <v>0.20337303827382414</v>
      </c>
      <c r="I31">
        <v>100.19257640568414</v>
      </c>
      <c r="L31">
        <v>0</v>
      </c>
      <c r="M31" t="str">
        <f>VLOOKUP(fact_daily_prices[[#This Row],[Ticker]], dim_company[], 2, FALSE)</f>
        <v>Apple Inc.</v>
      </c>
      <c r="N31" t="str">
        <f>VLOOKUP(fact_daily_prices[[#This Row],[Ticker]], dim_company[], 3, FALSE)</f>
        <v>Technology</v>
      </c>
    </row>
    <row r="32" spans="1:14" x14ac:dyDescent="0.3">
      <c r="A32" s="1">
        <v>45519</v>
      </c>
      <c r="B32">
        <v>223.0479736328125</v>
      </c>
      <c r="C32">
        <v>223.67329096872729</v>
      </c>
      <c r="D32">
        <v>221.10255033510867</v>
      </c>
      <c r="E32">
        <v>222.92887133845011</v>
      </c>
      <c r="F32">
        <v>46414000</v>
      </c>
      <c r="G32" s="2" t="s">
        <v>12</v>
      </c>
      <c r="H32">
        <v>1.3530569226877009</v>
      </c>
      <c r="I32">
        <v>101.5482389967604</v>
      </c>
      <c r="K32">
        <v>1.6536753960412409</v>
      </c>
      <c r="L32">
        <v>0</v>
      </c>
      <c r="M32" t="str">
        <f>VLOOKUP(fact_daily_prices[[#This Row],[Ticker]], dim_company[], 2, FALSE)</f>
        <v>Apple Inc.</v>
      </c>
      <c r="N32" t="str">
        <f>VLOOKUP(fact_daily_prices[[#This Row],[Ticker]], dim_company[], 3, FALSE)</f>
        <v>Technology</v>
      </c>
    </row>
    <row r="33" spans="1:14" x14ac:dyDescent="0.3">
      <c r="A33" s="1">
        <v>45520</v>
      </c>
      <c r="B33">
        <v>224.3680725097656</v>
      </c>
      <c r="C33">
        <v>225.14226768918681</v>
      </c>
      <c r="D33">
        <v>221.98592068094567</v>
      </c>
      <c r="E33">
        <v>222.25391598005481</v>
      </c>
      <c r="F33">
        <v>44340200</v>
      </c>
      <c r="G33" s="2" t="s">
        <v>12</v>
      </c>
      <c r="H33">
        <v>0.59184526783744307</v>
      </c>
      <c r="I33">
        <v>102.14924744383498</v>
      </c>
      <c r="K33">
        <v>1.6092538363881876</v>
      </c>
      <c r="L33">
        <v>0</v>
      </c>
      <c r="M33" t="str">
        <f>VLOOKUP(fact_daily_prices[[#This Row],[Ticker]], dim_company[], 2, FALSE)</f>
        <v>Apple Inc.</v>
      </c>
      <c r="N33" t="str">
        <f>VLOOKUP(fact_daily_prices[[#This Row],[Ticker]], dim_company[], 3, FALSE)</f>
        <v>Technology</v>
      </c>
    </row>
    <row r="34" spans="1:14" x14ac:dyDescent="0.3">
      <c r="A34" s="1">
        <v>45523</v>
      </c>
      <c r="B34">
        <v>224.20924377441409</v>
      </c>
      <c r="C34">
        <v>224.30850577318623</v>
      </c>
      <c r="D34">
        <v>221.38044340720759</v>
      </c>
      <c r="E34">
        <v>224.04051049270504</v>
      </c>
      <c r="F34">
        <v>40687800</v>
      </c>
      <c r="G34" s="2" t="s">
        <v>12</v>
      </c>
      <c r="H34">
        <v>-7.0789365694889916E-2</v>
      </c>
      <c r="I34">
        <v>102.07693663950738</v>
      </c>
      <c r="K34">
        <v>1.6047229410581059</v>
      </c>
      <c r="L34">
        <v>0</v>
      </c>
      <c r="M34" t="str">
        <f>VLOOKUP(fact_daily_prices[[#This Row],[Ticker]], dim_company[], 2, FALSE)</f>
        <v>Apple Inc.</v>
      </c>
      <c r="N34" t="str">
        <f>VLOOKUP(fact_daily_prices[[#This Row],[Ticker]], dim_company[], 3, FALSE)</f>
        <v>Technology</v>
      </c>
    </row>
    <row r="35" spans="1:14" x14ac:dyDescent="0.3">
      <c r="A35" s="1">
        <v>45524</v>
      </c>
      <c r="B35">
        <v>224.82463073730469</v>
      </c>
      <c r="C35">
        <v>225.47972359509259</v>
      </c>
      <c r="D35">
        <v>223.77252016614801</v>
      </c>
      <c r="E35">
        <v>224.09014645304697</v>
      </c>
      <c r="F35">
        <v>30299000</v>
      </c>
      <c r="G35" s="2" t="s">
        <v>12</v>
      </c>
      <c r="H35">
        <v>0.27446993376853968</v>
      </c>
      <c r="I35">
        <v>102.35710713989481</v>
      </c>
      <c r="K35">
        <v>1.6039710007653276</v>
      </c>
      <c r="L35">
        <v>0</v>
      </c>
      <c r="M35" t="str">
        <f>VLOOKUP(fact_daily_prices[[#This Row],[Ticker]], dim_company[], 2, FALSE)</f>
        <v>Apple Inc.</v>
      </c>
      <c r="N35" t="str">
        <f>VLOOKUP(fact_daily_prices[[#This Row],[Ticker]], dim_company[], 3, FALSE)</f>
        <v>Technology</v>
      </c>
    </row>
    <row r="36" spans="1:14" x14ac:dyDescent="0.3">
      <c r="A36" s="1">
        <v>45525</v>
      </c>
      <c r="B36">
        <v>224.71546936035159</v>
      </c>
      <c r="C36">
        <v>226.28371522001359</v>
      </c>
      <c r="D36">
        <v>223.37552309496601</v>
      </c>
      <c r="E36">
        <v>224.83458680157381</v>
      </c>
      <c r="F36">
        <v>34765500</v>
      </c>
      <c r="G36" s="2" t="s">
        <v>12</v>
      </c>
      <c r="H36">
        <v>-4.8554011451107382E-2</v>
      </c>
      <c r="I36">
        <v>102.30740865837309</v>
      </c>
      <c r="K36">
        <v>1.5635115860401039</v>
      </c>
      <c r="L36">
        <v>0</v>
      </c>
      <c r="M36" t="str">
        <f>VLOOKUP(fact_daily_prices[[#This Row],[Ticker]], dim_company[], 2, FALSE)</f>
        <v>Apple Inc.</v>
      </c>
      <c r="N36" t="str">
        <f>VLOOKUP(fact_daily_prices[[#This Row],[Ticker]], dim_company[], 3, FALSE)</f>
        <v>Technology</v>
      </c>
    </row>
    <row r="37" spans="1:14" x14ac:dyDescent="0.3">
      <c r="A37" s="1">
        <v>45526</v>
      </c>
      <c r="B37">
        <v>222.85939025878903</v>
      </c>
      <c r="C37">
        <v>226.64103964823343</v>
      </c>
      <c r="D37">
        <v>222.23407290784721</v>
      </c>
      <c r="E37">
        <v>226.09512887719345</v>
      </c>
      <c r="F37">
        <v>43695300</v>
      </c>
      <c r="G37" s="2" t="s">
        <v>12</v>
      </c>
      <c r="H37">
        <v>-0.82596854895919947</v>
      </c>
      <c r="I37">
        <v>101.46238163959976</v>
      </c>
      <c r="K37">
        <v>1.5125487211685962</v>
      </c>
      <c r="L37">
        <v>0</v>
      </c>
      <c r="M37" t="str">
        <f>VLOOKUP(fact_daily_prices[[#This Row],[Ticker]], dim_company[], 2, FALSE)</f>
        <v>Apple Inc.</v>
      </c>
      <c r="N37" t="str">
        <f>VLOOKUP(fact_daily_prices[[#This Row],[Ticker]], dim_company[], 3, FALSE)</f>
        <v>Technology</v>
      </c>
    </row>
    <row r="38" spans="1:14" x14ac:dyDescent="0.3">
      <c r="A38" s="1">
        <v>45527</v>
      </c>
      <c r="B38">
        <v>225.15219116210929</v>
      </c>
      <c r="C38">
        <v>226.52192810531065</v>
      </c>
      <c r="D38">
        <v>222.66087229355688</v>
      </c>
      <c r="E38">
        <v>223.98097823318813</v>
      </c>
      <c r="F38">
        <v>38677300</v>
      </c>
      <c r="G38" s="2" t="s">
        <v>12</v>
      </c>
      <c r="H38">
        <v>1.0288105431221828</v>
      </c>
      <c r="I38">
        <v>102.50623731921083</v>
      </c>
      <c r="K38">
        <v>1.5049633965774383</v>
      </c>
      <c r="L38">
        <v>0</v>
      </c>
      <c r="M38" t="str">
        <f>VLOOKUP(fact_daily_prices[[#This Row],[Ticker]], dim_company[], 2, FALSE)</f>
        <v>Apple Inc.</v>
      </c>
      <c r="N38" t="str">
        <f>VLOOKUP(fact_daily_prices[[#This Row],[Ticker]], dim_company[], 3, FALSE)</f>
        <v>Technology</v>
      </c>
    </row>
    <row r="39" spans="1:14" x14ac:dyDescent="0.3">
      <c r="A39" s="1">
        <v>45530</v>
      </c>
      <c r="B39">
        <v>225.4896545410156</v>
      </c>
      <c r="C39">
        <v>225.58891654674125</v>
      </c>
      <c r="D39">
        <v>222.22414052811973</v>
      </c>
      <c r="E39">
        <v>225.0727813784282</v>
      </c>
      <c r="F39">
        <v>30602200</v>
      </c>
      <c r="G39" s="2" t="s">
        <v>12</v>
      </c>
      <c r="H39">
        <v>0.14988234276758217</v>
      </c>
      <c r="I39">
        <v>102.65987606918776</v>
      </c>
      <c r="K39">
        <v>1.4704606022216513</v>
      </c>
      <c r="L39">
        <v>0</v>
      </c>
      <c r="M39" t="str">
        <f>VLOOKUP(fact_daily_prices[[#This Row],[Ticker]], dim_company[], 2, FALSE)</f>
        <v>Apple Inc.</v>
      </c>
      <c r="N39" t="str">
        <f>VLOOKUP(fact_daily_prices[[#This Row],[Ticker]], dim_company[], 3, FALSE)</f>
        <v>Technology</v>
      </c>
    </row>
    <row r="40" spans="1:14" x14ac:dyDescent="0.3">
      <c r="A40" s="1">
        <v>45531</v>
      </c>
      <c r="B40">
        <v>226.33331298828125</v>
      </c>
      <c r="C40">
        <v>227.14721894521071</v>
      </c>
      <c r="D40">
        <v>223.21667715771159</v>
      </c>
      <c r="E40">
        <v>224.31841866937577</v>
      </c>
      <c r="F40">
        <v>35934600</v>
      </c>
      <c r="G40" s="2" t="s">
        <v>12</v>
      </c>
      <c r="H40">
        <v>0.37414507950837006</v>
      </c>
      <c r="I40">
        <v>103.04397294413003</v>
      </c>
      <c r="K40">
        <v>1.4721201790164513</v>
      </c>
      <c r="L40">
        <v>0</v>
      </c>
      <c r="M40" t="str">
        <f>VLOOKUP(fact_daily_prices[[#This Row],[Ticker]], dim_company[], 2, FALSE)</f>
        <v>Apple Inc.</v>
      </c>
      <c r="N40" t="str">
        <f>VLOOKUP(fact_daily_prices[[#This Row],[Ticker]], dim_company[], 3, FALSE)</f>
        <v>Technology</v>
      </c>
    </row>
    <row r="41" spans="1:14" x14ac:dyDescent="0.3">
      <c r="A41" s="1">
        <v>45532</v>
      </c>
      <c r="B41">
        <v>224.80479431152344</v>
      </c>
      <c r="C41">
        <v>228.14971479709001</v>
      </c>
      <c r="D41">
        <v>224.00080843848261</v>
      </c>
      <c r="E41">
        <v>226.22414704916849</v>
      </c>
      <c r="F41">
        <v>38052200</v>
      </c>
      <c r="G41" s="2" t="s">
        <v>12</v>
      </c>
      <c r="H41">
        <v>-0.67533968224861018</v>
      </c>
      <c r="I41">
        <v>102.3480761046728</v>
      </c>
      <c r="K41">
        <v>1.403179763268902</v>
      </c>
      <c r="L41">
        <v>0</v>
      </c>
      <c r="M41" t="str">
        <f>VLOOKUP(fact_daily_prices[[#This Row],[Ticker]], dim_company[], 2, FALSE)</f>
        <v>Apple Inc.</v>
      </c>
      <c r="N41" t="str">
        <f>VLOOKUP(fact_daily_prices[[#This Row],[Ticker]], dim_company[], 3, FALSE)</f>
        <v>Technology</v>
      </c>
    </row>
    <row r="42" spans="1:14" x14ac:dyDescent="0.3">
      <c r="A42" s="1">
        <v>45533</v>
      </c>
      <c r="B42">
        <v>228.08024597167969</v>
      </c>
      <c r="C42">
        <v>231.18696212304619</v>
      </c>
      <c r="D42">
        <v>227.17702831675669</v>
      </c>
      <c r="E42">
        <v>228.38795214561651</v>
      </c>
      <c r="F42">
        <v>51906300</v>
      </c>
      <c r="G42" s="2" t="s">
        <v>12</v>
      </c>
      <c r="H42">
        <v>1.4570203763614176</v>
      </c>
      <c r="I42">
        <v>103.83930842833176</v>
      </c>
      <c r="K42">
        <v>1.373951734167139</v>
      </c>
      <c r="L42">
        <v>0</v>
      </c>
      <c r="M42" t="str">
        <f>VLOOKUP(fact_daily_prices[[#This Row],[Ticker]], dim_company[], 2, FALSE)</f>
        <v>Apple Inc.</v>
      </c>
      <c r="N42" t="str">
        <f>VLOOKUP(fact_daily_prices[[#This Row],[Ticker]], dim_company[], 3, FALSE)</f>
        <v>Technology</v>
      </c>
    </row>
    <row r="43" spans="1:14" x14ac:dyDescent="0.3">
      <c r="A43" s="1">
        <v>45534</v>
      </c>
      <c r="B43">
        <v>227.29612731933599</v>
      </c>
      <c r="C43">
        <v>228.68570457235603</v>
      </c>
      <c r="D43">
        <v>225.78743262658827</v>
      </c>
      <c r="E43">
        <v>228.47727555703111</v>
      </c>
      <c r="F43">
        <v>52990800</v>
      </c>
      <c r="G43" s="2" t="s">
        <v>12</v>
      </c>
      <c r="H43">
        <v>-0.34379069042264065</v>
      </c>
      <c r="I43">
        <v>103.48231855295592</v>
      </c>
      <c r="K43">
        <v>1.3762866801892859</v>
      </c>
      <c r="L43">
        <v>0</v>
      </c>
      <c r="M43" t="str">
        <f>VLOOKUP(fact_daily_prices[[#This Row],[Ticker]], dim_company[], 2, FALSE)</f>
        <v>Apple Inc.</v>
      </c>
      <c r="N43" t="str">
        <f>VLOOKUP(fact_daily_prices[[#This Row],[Ticker]], dim_company[], 3, FALSE)</f>
        <v>Technology</v>
      </c>
    </row>
    <row r="44" spans="1:14" x14ac:dyDescent="0.3">
      <c r="A44" s="1">
        <v>45538</v>
      </c>
      <c r="B44">
        <v>221.11247253417969</v>
      </c>
      <c r="C44">
        <v>227.29611365629745</v>
      </c>
      <c r="D44">
        <v>219.52437135882835</v>
      </c>
      <c r="E44">
        <v>226.84946493362216</v>
      </c>
      <c r="F44">
        <v>50190600</v>
      </c>
      <c r="G44" s="2" t="s">
        <v>12</v>
      </c>
      <c r="H44">
        <v>-2.7205279993480436</v>
      </c>
      <c r="I44">
        <v>100.66705310234821</v>
      </c>
      <c r="K44">
        <v>1.4681665442736245</v>
      </c>
      <c r="L44">
        <v>0</v>
      </c>
      <c r="M44" t="str">
        <f>VLOOKUP(fact_daily_prices[[#This Row],[Ticker]], dim_company[], 2, FALSE)</f>
        <v>Apple Inc.</v>
      </c>
      <c r="N44" t="str">
        <f>VLOOKUP(fact_daily_prices[[#This Row],[Ticker]], dim_company[], 3, FALSE)</f>
        <v>Technology</v>
      </c>
    </row>
    <row r="45" spans="1:14" x14ac:dyDescent="0.3">
      <c r="A45" s="1">
        <v>45539</v>
      </c>
      <c r="B45">
        <v>219.20677185058599</v>
      </c>
      <c r="C45">
        <v>220.12984491677884</v>
      </c>
      <c r="D45">
        <v>215.8618360334932</v>
      </c>
      <c r="E45">
        <v>220.01074262314265</v>
      </c>
      <c r="F45">
        <v>43840200</v>
      </c>
      <c r="G45" s="2" t="s">
        <v>12</v>
      </c>
      <c r="H45">
        <v>-0.86186937432899402</v>
      </c>
      <c r="I45">
        <v>99.799434601619566</v>
      </c>
      <c r="K45">
        <v>1.4735018732397478</v>
      </c>
      <c r="L45">
        <v>0</v>
      </c>
      <c r="M45" t="str">
        <f>VLOOKUP(fact_daily_prices[[#This Row],[Ticker]], dim_company[], 2, FALSE)</f>
        <v>Apple Inc.</v>
      </c>
      <c r="N45" t="str">
        <f>VLOOKUP(fact_daily_prices[[#This Row],[Ticker]], dim_company[], 3, FALSE)</f>
        <v>Technology</v>
      </c>
    </row>
    <row r="46" spans="1:14" x14ac:dyDescent="0.3">
      <c r="A46" s="1">
        <v>45540</v>
      </c>
      <c r="B46">
        <v>220.72537231445313</v>
      </c>
      <c r="C46">
        <v>223.80229748015881</v>
      </c>
      <c r="D46">
        <v>219.87177059333371</v>
      </c>
      <c r="E46">
        <v>219.98095273714861</v>
      </c>
      <c r="F46">
        <v>36615400</v>
      </c>
      <c r="G46" s="2" t="s">
        <v>12</v>
      </c>
      <c r="H46">
        <v>0.69277078032161654</v>
      </c>
      <c r="I46">
        <v>100.49081592346576</v>
      </c>
      <c r="K46">
        <v>1.378313932320645</v>
      </c>
      <c r="L46">
        <v>0</v>
      </c>
      <c r="M46" t="str">
        <f>VLOOKUP(fact_daily_prices[[#This Row],[Ticker]], dim_company[], 2, FALSE)</f>
        <v>Apple Inc.</v>
      </c>
      <c r="N46" t="str">
        <f>VLOOKUP(fact_daily_prices[[#This Row],[Ticker]], dim_company[], 3, FALSE)</f>
        <v>Technology</v>
      </c>
    </row>
    <row r="47" spans="1:14" x14ac:dyDescent="0.3">
      <c r="A47" s="1">
        <v>45541</v>
      </c>
      <c r="B47">
        <v>219.17698669433599</v>
      </c>
      <c r="C47">
        <v>223.56409767944487</v>
      </c>
      <c r="D47">
        <v>218.13479623481729</v>
      </c>
      <c r="E47">
        <v>222.28368749781319</v>
      </c>
      <c r="F47">
        <v>48423000</v>
      </c>
      <c r="G47" s="2" t="s">
        <v>12</v>
      </c>
      <c r="H47">
        <v>-0.70149870125091329</v>
      </c>
      <c r="I47">
        <v>99.785874154886216</v>
      </c>
      <c r="K47">
        <v>1.3819510634943397</v>
      </c>
      <c r="L47">
        <v>0</v>
      </c>
      <c r="M47" t="str">
        <f>VLOOKUP(fact_daily_prices[[#This Row],[Ticker]], dim_company[], 2, FALSE)</f>
        <v>Apple Inc.</v>
      </c>
      <c r="N47" t="str">
        <f>VLOOKUP(fact_daily_prices[[#This Row],[Ticker]], dim_company[], 3, FALSE)</f>
        <v>Technology</v>
      </c>
    </row>
    <row r="48" spans="1:14" x14ac:dyDescent="0.3">
      <c r="A48" s="1">
        <v>45544</v>
      </c>
      <c r="B48">
        <v>219.26632690429688</v>
      </c>
      <c r="C48">
        <v>219.6236489368284</v>
      </c>
      <c r="D48">
        <v>215.09757995493325</v>
      </c>
      <c r="E48">
        <v>219.17700018247805</v>
      </c>
      <c r="F48">
        <v>67180000</v>
      </c>
      <c r="G48" s="2" t="s">
        <v>12</v>
      </c>
      <c r="H48">
        <v>4.0761674529932179E-2</v>
      </c>
      <c r="I48">
        <v>99.826548548136088</v>
      </c>
      <c r="K48">
        <v>1.381655846507265</v>
      </c>
      <c r="L48">
        <v>0</v>
      </c>
      <c r="M48" t="str">
        <f>VLOOKUP(fact_daily_prices[[#This Row],[Ticker]], dim_company[], 2, FALSE)</f>
        <v>Apple Inc.</v>
      </c>
      <c r="N48" t="str">
        <f>VLOOKUP(fact_daily_prices[[#This Row],[Ticker]], dim_company[], 3, FALSE)</f>
        <v>Technology</v>
      </c>
    </row>
    <row r="49" spans="1:14" x14ac:dyDescent="0.3">
      <c r="A49" s="1">
        <v>45545</v>
      </c>
      <c r="B49">
        <v>218.47227478027344</v>
      </c>
      <c r="C49">
        <v>219.83207646515768</v>
      </c>
      <c r="D49">
        <v>215.11741878341351</v>
      </c>
      <c r="E49">
        <v>217.29112653781647</v>
      </c>
      <c r="F49">
        <v>51591000</v>
      </c>
      <c r="G49" s="2" t="s">
        <v>12</v>
      </c>
      <c r="H49">
        <v>-0.36214047785367853</v>
      </c>
      <c r="I49">
        <v>99.465036208199024</v>
      </c>
      <c r="K49">
        <v>1.3836955416625851</v>
      </c>
      <c r="L49">
        <v>0</v>
      </c>
      <c r="M49" t="str">
        <f>VLOOKUP(fact_daily_prices[[#This Row],[Ticker]], dim_company[], 2, FALSE)</f>
        <v>Apple Inc.</v>
      </c>
      <c r="N49" t="str">
        <f>VLOOKUP(fact_daily_prices[[#This Row],[Ticker]], dim_company[], 3, FALSE)</f>
        <v>Technology</v>
      </c>
    </row>
    <row r="50" spans="1:14" x14ac:dyDescent="0.3">
      <c r="A50" s="1">
        <v>45546</v>
      </c>
      <c r="B50">
        <v>221.00331115722656</v>
      </c>
      <c r="C50">
        <v>221.43010449037149</v>
      </c>
      <c r="D50">
        <v>216.2687979033432</v>
      </c>
      <c r="E50">
        <v>219.81224273641337</v>
      </c>
      <c r="F50">
        <v>44587100</v>
      </c>
      <c r="G50" s="2" t="s">
        <v>12</v>
      </c>
      <c r="H50">
        <v>1.1585160540387607</v>
      </c>
      <c r="I50">
        <v>100.61735462082646</v>
      </c>
      <c r="K50">
        <v>1.3982474908848999</v>
      </c>
      <c r="L50">
        <v>0</v>
      </c>
      <c r="M50" t="str">
        <f>VLOOKUP(fact_daily_prices[[#This Row],[Ticker]], dim_company[], 2, FALSE)</f>
        <v>Apple Inc.</v>
      </c>
      <c r="N50" t="str">
        <f>VLOOKUP(fact_daily_prices[[#This Row],[Ticker]], dim_company[], 3, FALSE)</f>
        <v>Technology</v>
      </c>
    </row>
    <row r="51" spans="1:14" x14ac:dyDescent="0.3">
      <c r="A51" s="1">
        <v>45547</v>
      </c>
      <c r="B51">
        <v>221.11247253417969</v>
      </c>
      <c r="C51">
        <v>221.88666769221828</v>
      </c>
      <c r="D51">
        <v>218.18442519080247</v>
      </c>
      <c r="E51">
        <v>220.84447724247241</v>
      </c>
      <c r="F51">
        <v>37455600</v>
      </c>
      <c r="G51" s="2" t="s">
        <v>12</v>
      </c>
      <c r="H51">
        <v>4.9393548169729407E-2</v>
      </c>
      <c r="I51">
        <v>100.66705310234821</v>
      </c>
      <c r="J51">
        <v>221.27178619384765</v>
      </c>
      <c r="K51">
        <v>1.3720228948927267</v>
      </c>
      <c r="L51">
        <v>0</v>
      </c>
      <c r="M51" t="str">
        <f>VLOOKUP(fact_daily_prices[[#This Row],[Ticker]], dim_company[], 2, FALSE)</f>
        <v>Apple Inc.</v>
      </c>
      <c r="N51" t="str">
        <f>VLOOKUP(fact_daily_prices[[#This Row],[Ticker]], dim_company[], 3, FALSE)</f>
        <v>Technology</v>
      </c>
    </row>
    <row r="52" spans="1:14" x14ac:dyDescent="0.3">
      <c r="A52" s="1">
        <v>45548</v>
      </c>
      <c r="B52">
        <v>220.84446716308599</v>
      </c>
      <c r="C52">
        <v>222.37300197976339</v>
      </c>
      <c r="D52">
        <v>220.2588607501888</v>
      </c>
      <c r="E52">
        <v>221.91643313573508</v>
      </c>
      <c r="F52">
        <v>36766600</v>
      </c>
      <c r="G52" s="2" t="s">
        <v>12</v>
      </c>
      <c r="H52">
        <v>-0.12120771298971267</v>
      </c>
      <c r="I52">
        <v>100.5450368695487</v>
      </c>
      <c r="J52">
        <v>221.29572937011719</v>
      </c>
      <c r="K52">
        <v>1.3345083215975</v>
      </c>
      <c r="L52">
        <v>0</v>
      </c>
      <c r="M52" t="str">
        <f>VLOOKUP(fact_daily_prices[[#This Row],[Ticker]], dim_company[], 2, FALSE)</f>
        <v>Apple Inc.</v>
      </c>
      <c r="N52" t="str">
        <f>VLOOKUP(fact_daily_prices[[#This Row],[Ticker]], dim_company[], 3, FALSE)</f>
        <v>Technology</v>
      </c>
    </row>
    <row r="53" spans="1:14" x14ac:dyDescent="0.3">
      <c r="A53" s="1">
        <v>45551</v>
      </c>
      <c r="B53">
        <v>214.71047973632807</v>
      </c>
      <c r="C53">
        <v>215.60377723416104</v>
      </c>
      <c r="D53">
        <v>212.32832783334672</v>
      </c>
      <c r="E53">
        <v>214.92882889414329</v>
      </c>
      <c r="F53">
        <v>59357400</v>
      </c>
      <c r="G53" s="2" t="s">
        <v>12</v>
      </c>
      <c r="H53">
        <v>-2.7775146489081748</v>
      </c>
      <c r="I53">
        <v>97.752383741746868</v>
      </c>
      <c r="J53">
        <v>221.10201599121095</v>
      </c>
      <c r="K53">
        <v>1.4264777375073827</v>
      </c>
      <c r="L53">
        <v>0</v>
      </c>
      <c r="M53" t="str">
        <f>VLOOKUP(fact_daily_prices[[#This Row],[Ticker]], dim_company[], 2, FALSE)</f>
        <v>Apple Inc.</v>
      </c>
      <c r="N53" t="str">
        <f>VLOOKUP(fact_daily_prices[[#This Row],[Ticker]], dim_company[], 3, FALSE)</f>
        <v>Technology</v>
      </c>
    </row>
    <row r="54" spans="1:14" x14ac:dyDescent="0.3">
      <c r="A54" s="1">
        <v>45552</v>
      </c>
      <c r="B54">
        <v>215.17697143554688</v>
      </c>
      <c r="C54">
        <v>215.28615358843467</v>
      </c>
      <c r="D54">
        <v>212.904016801209</v>
      </c>
      <c r="E54">
        <v>214.14471619981745</v>
      </c>
      <c r="F54">
        <v>45519300</v>
      </c>
      <c r="G54" s="2" t="s">
        <v>12</v>
      </c>
      <c r="H54">
        <v>0.2172654542953234</v>
      </c>
      <c r="I54">
        <v>97.964765902367873</v>
      </c>
      <c r="J54">
        <v>220.88828582763671</v>
      </c>
      <c r="K54">
        <v>1.1051212017320744</v>
      </c>
      <c r="L54">
        <v>0</v>
      </c>
      <c r="M54" t="str">
        <f>VLOOKUP(fact_daily_prices[[#This Row],[Ticker]], dim_company[], 2, FALSE)</f>
        <v>Apple Inc.</v>
      </c>
      <c r="N54" t="str">
        <f>VLOOKUP(fact_daily_prices[[#This Row],[Ticker]], dim_company[], 3, FALSE)</f>
        <v>Technology</v>
      </c>
    </row>
    <row r="55" spans="1:14" x14ac:dyDescent="0.3">
      <c r="A55" s="1">
        <v>45553</v>
      </c>
      <c r="B55">
        <v>219.04795837402344</v>
      </c>
      <c r="C55">
        <v>221.05293280374121</v>
      </c>
      <c r="D55">
        <v>215.92138686335736</v>
      </c>
      <c r="E55">
        <v>215.93132215131649</v>
      </c>
      <c r="F55">
        <v>59894900</v>
      </c>
      <c r="G55" s="2" t="s">
        <v>12</v>
      </c>
      <c r="H55">
        <v>1.7989782608479832</v>
      </c>
      <c r="I55">
        <v>99.727130744242103</v>
      </c>
      <c r="J55">
        <v>220.73492309570312</v>
      </c>
      <c r="K55">
        <v>1.1255576889165586</v>
      </c>
      <c r="L55">
        <v>0</v>
      </c>
      <c r="M55" t="str">
        <f>VLOOKUP(fact_daily_prices[[#This Row],[Ticker]], dim_company[], 2, FALSE)</f>
        <v>Apple Inc.</v>
      </c>
      <c r="N55" t="str">
        <f>VLOOKUP(fact_daily_prices[[#This Row],[Ticker]], dim_company[], 3, FALSE)</f>
        <v>Technology</v>
      </c>
    </row>
    <row r="56" spans="1:14" x14ac:dyDescent="0.3">
      <c r="A56" s="1">
        <v>45554</v>
      </c>
      <c r="B56">
        <v>227.1670837402344</v>
      </c>
      <c r="C56">
        <v>228.11002736409569</v>
      </c>
      <c r="D56">
        <v>222.95864123060409</v>
      </c>
      <c r="E56">
        <v>223.31596324984213</v>
      </c>
      <c r="F56">
        <v>66781300</v>
      </c>
      <c r="G56" s="2" t="s">
        <v>12</v>
      </c>
      <c r="H56">
        <v>3.7065514905861852</v>
      </c>
      <c r="I56">
        <v>103.42356819536163</v>
      </c>
      <c r="J56">
        <v>220.65868194580079</v>
      </c>
      <c r="K56">
        <v>1.2816183922304405</v>
      </c>
      <c r="L56">
        <v>0</v>
      </c>
      <c r="M56" t="str">
        <f>VLOOKUP(fact_daily_prices[[#This Row],[Ticker]], dim_company[], 2, FALSE)</f>
        <v>Apple Inc.</v>
      </c>
      <c r="N56" t="str">
        <f>VLOOKUP(fact_daily_prices[[#This Row],[Ticker]], dim_company[], 3, FALSE)</f>
        <v>Technology</v>
      </c>
    </row>
    <row r="57" spans="1:14" x14ac:dyDescent="0.3">
      <c r="A57" s="1">
        <v>45555</v>
      </c>
      <c r="B57">
        <v>226.5020751953125</v>
      </c>
      <c r="C57">
        <v>231.35569055145291</v>
      </c>
      <c r="D57">
        <v>225.92638886705737</v>
      </c>
      <c r="E57">
        <v>228.25890975350009</v>
      </c>
      <c r="F57">
        <v>318679900</v>
      </c>
      <c r="G57" s="2" t="s">
        <v>12</v>
      </c>
      <c r="H57">
        <v>-0.29273983447458685</v>
      </c>
      <c r="I57">
        <v>103.12080621301882</v>
      </c>
      <c r="J57">
        <v>220.67641082763672</v>
      </c>
      <c r="K57">
        <v>1.2595340806792159</v>
      </c>
      <c r="L57">
        <v>1</v>
      </c>
      <c r="M57" t="str">
        <f>VLOOKUP(fact_daily_prices[[#This Row],[Ticker]], dim_company[], 2, FALSE)</f>
        <v>Apple Inc.</v>
      </c>
      <c r="N57" t="str">
        <f>VLOOKUP(fact_daily_prices[[#This Row],[Ticker]], dim_company[], 3, FALSE)</f>
        <v>Technology</v>
      </c>
    </row>
    <row r="58" spans="1:14" x14ac:dyDescent="0.3">
      <c r="A58" s="1">
        <v>45558</v>
      </c>
      <c r="B58">
        <v>224.78495788574219</v>
      </c>
      <c r="C58">
        <v>227.74278104335207</v>
      </c>
      <c r="D58">
        <v>224.12986496132828</v>
      </c>
      <c r="E58">
        <v>225.64847983003369</v>
      </c>
      <c r="F58">
        <v>54146000</v>
      </c>
      <c r="G58" s="2" t="s">
        <v>12</v>
      </c>
      <c r="H58">
        <v>-0.75810224170778095</v>
      </c>
      <c r="I58">
        <v>102.33904506945078</v>
      </c>
      <c r="J58">
        <v>220.60090789794921</v>
      </c>
      <c r="K58">
        <v>1.2532990683779452</v>
      </c>
      <c r="L58">
        <v>0</v>
      </c>
      <c r="M58" t="str">
        <f>VLOOKUP(fact_daily_prices[[#This Row],[Ticker]], dim_company[], 2, FALSE)</f>
        <v>Apple Inc.</v>
      </c>
      <c r="N58" t="str">
        <f>VLOOKUP(fact_daily_prices[[#This Row],[Ticker]], dim_company[], 3, FALSE)</f>
        <v>Technology</v>
      </c>
    </row>
    <row r="59" spans="1:14" x14ac:dyDescent="0.3">
      <c r="A59" s="1">
        <v>45559</v>
      </c>
      <c r="B59">
        <v>225.67823791503903</v>
      </c>
      <c r="C59">
        <v>227.64351653597865</v>
      </c>
      <c r="D59">
        <v>224.05044101841321</v>
      </c>
      <c r="E59">
        <v>226.94871280288089</v>
      </c>
      <c r="F59">
        <v>43556100</v>
      </c>
      <c r="G59" s="2" t="s">
        <v>12</v>
      </c>
      <c r="H59">
        <v>0.39739315197011571</v>
      </c>
      <c r="I59">
        <v>102.74573342634838</v>
      </c>
      <c r="J59">
        <v>220.46673370361327</v>
      </c>
      <c r="K59">
        <v>1.2498659628094262</v>
      </c>
      <c r="L59">
        <v>0</v>
      </c>
      <c r="M59" t="str">
        <f>VLOOKUP(fact_daily_prices[[#This Row],[Ticker]], dim_company[], 2, FALSE)</f>
        <v>Apple Inc.</v>
      </c>
      <c r="N59" t="str">
        <f>VLOOKUP(fact_daily_prices[[#This Row],[Ticker]], dim_company[], 3, FALSE)</f>
        <v>Technology</v>
      </c>
    </row>
    <row r="60" spans="1:14" x14ac:dyDescent="0.3">
      <c r="A60" s="1">
        <v>45560</v>
      </c>
      <c r="B60">
        <v>224.68568420410159</v>
      </c>
      <c r="C60">
        <v>225.59883710649481</v>
      </c>
      <c r="D60">
        <v>222.35317851779169</v>
      </c>
      <c r="E60">
        <v>223.25639613244061</v>
      </c>
      <c r="F60">
        <v>42308700</v>
      </c>
      <c r="G60" s="2" t="s">
        <v>12</v>
      </c>
      <c r="H60">
        <v>-0.43980922578414905</v>
      </c>
      <c r="I60">
        <v>102.29384821163971</v>
      </c>
      <c r="J60">
        <v>220.30438079833985</v>
      </c>
      <c r="K60">
        <v>1.2184592595704502</v>
      </c>
      <c r="L60">
        <v>0</v>
      </c>
      <c r="M60" t="str">
        <f>VLOOKUP(fact_daily_prices[[#This Row],[Ticker]], dim_company[], 2, FALSE)</f>
        <v>Apple Inc.</v>
      </c>
      <c r="N60" t="str">
        <f>VLOOKUP(fact_daily_prices[[#This Row],[Ticker]], dim_company[], 3, FALSE)</f>
        <v>Technology</v>
      </c>
    </row>
    <row r="61" spans="1:14" x14ac:dyDescent="0.3">
      <c r="A61" s="1">
        <v>45561</v>
      </c>
      <c r="B61">
        <v>225.82711791992188</v>
      </c>
      <c r="C61">
        <v>226.79982188690559</v>
      </c>
      <c r="D61">
        <v>223.73281698946681</v>
      </c>
      <c r="E61">
        <v>225.60875364127691</v>
      </c>
      <c r="F61">
        <v>36636700</v>
      </c>
      <c r="G61" s="2" t="s">
        <v>12</v>
      </c>
      <c r="H61">
        <v>0.50801354784286712</v>
      </c>
      <c r="I61">
        <v>102.81351481916468</v>
      </c>
      <c r="J61">
        <v>220.28263580322266</v>
      </c>
      <c r="K61">
        <v>1.2207630511667431</v>
      </c>
      <c r="L61">
        <v>0</v>
      </c>
      <c r="M61" t="str">
        <f>VLOOKUP(fact_daily_prices[[#This Row],[Ticker]], dim_company[], 2, FALSE)</f>
        <v>Apple Inc.</v>
      </c>
      <c r="N61" t="str">
        <f>VLOOKUP(fact_daily_prices[[#This Row],[Ticker]], dim_company[], 3, FALSE)</f>
        <v>Technology</v>
      </c>
    </row>
    <row r="62" spans="1:14" x14ac:dyDescent="0.3">
      <c r="A62" s="1">
        <v>45562</v>
      </c>
      <c r="B62">
        <v>226.0951232910156</v>
      </c>
      <c r="C62">
        <v>227.81226214161185</v>
      </c>
      <c r="D62">
        <v>225.60877882586061</v>
      </c>
      <c r="E62">
        <v>226.76015148810569</v>
      </c>
      <c r="F62">
        <v>34026000</v>
      </c>
      <c r="G62" s="2" t="s">
        <v>12</v>
      </c>
      <c r="H62">
        <v>0.11867723130964958</v>
      </c>
      <c r="I62">
        <v>102.93553105196418</v>
      </c>
      <c r="J62">
        <v>220.35944366455078</v>
      </c>
      <c r="K62">
        <v>1.1974178960340249</v>
      </c>
      <c r="L62">
        <v>0</v>
      </c>
      <c r="M62" t="str">
        <f>VLOOKUP(fact_daily_prices[[#This Row],[Ticker]], dim_company[], 2, FALSE)</f>
        <v>Apple Inc.</v>
      </c>
      <c r="N62" t="str">
        <f>VLOOKUP(fact_daily_prices[[#This Row],[Ticker]], dim_company[], 3, FALSE)</f>
        <v>Technology</v>
      </c>
    </row>
    <row r="63" spans="1:14" x14ac:dyDescent="0.3">
      <c r="A63" s="1">
        <v>45565</v>
      </c>
      <c r="B63">
        <v>231.26637268066409</v>
      </c>
      <c r="C63">
        <v>231.26637268066409</v>
      </c>
      <c r="D63">
        <v>227.94129216556479</v>
      </c>
      <c r="E63">
        <v>228.32838978012128</v>
      </c>
      <c r="F63">
        <v>54541900</v>
      </c>
      <c r="G63" s="2" t="s">
        <v>12</v>
      </c>
      <c r="H63">
        <v>2.2872007650480697</v>
      </c>
      <c r="I63">
        <v>105.28987330569102</v>
      </c>
      <c r="J63">
        <v>220.53709899902344</v>
      </c>
      <c r="K63">
        <v>1.2620295108975383</v>
      </c>
      <c r="L63">
        <v>0</v>
      </c>
      <c r="M63" t="str">
        <f>VLOOKUP(fact_daily_prices[[#This Row],[Ticker]], dim_company[], 2, FALSE)</f>
        <v>Apple Inc.</v>
      </c>
      <c r="N63" t="str">
        <f>VLOOKUP(fact_daily_prices[[#This Row],[Ticker]], dim_company[], 3, FALSE)</f>
        <v>Technology</v>
      </c>
    </row>
    <row r="64" spans="1:14" x14ac:dyDescent="0.3">
      <c r="A64" s="1">
        <v>45566</v>
      </c>
      <c r="B64">
        <v>224.52688598632807</v>
      </c>
      <c r="C64">
        <v>227.94127786565329</v>
      </c>
      <c r="D64">
        <v>222.07526286618744</v>
      </c>
      <c r="E64">
        <v>227.81225543239967</v>
      </c>
      <c r="F64">
        <v>63285000</v>
      </c>
      <c r="G64" s="2" t="s">
        <v>12</v>
      </c>
      <c r="H64">
        <v>-2.914166299327059</v>
      </c>
      <c r="I64">
        <v>102.2215513012124</v>
      </c>
      <c r="J64">
        <v>220.58690399169922</v>
      </c>
      <c r="K64">
        <v>1.3774621499992004</v>
      </c>
      <c r="L64">
        <v>0</v>
      </c>
      <c r="M64" t="str">
        <f>VLOOKUP(fact_daily_prices[[#This Row],[Ticker]], dim_company[], 2, FALSE)</f>
        <v>Apple Inc.</v>
      </c>
      <c r="N64" t="str">
        <f>VLOOKUP(fact_daily_prices[[#This Row],[Ticker]], dim_company[], 3, FALSE)</f>
        <v>Technology</v>
      </c>
    </row>
    <row r="65" spans="1:14" x14ac:dyDescent="0.3">
      <c r="A65" s="1">
        <v>45567</v>
      </c>
      <c r="B65">
        <v>225.09263610839844</v>
      </c>
      <c r="C65">
        <v>225.67824256269321</v>
      </c>
      <c r="D65">
        <v>221.36061794166201</v>
      </c>
      <c r="E65">
        <v>224.20925878310885</v>
      </c>
      <c r="F65">
        <v>32880600</v>
      </c>
      <c r="G65" s="2" t="s">
        <v>12</v>
      </c>
      <c r="H65">
        <v>0.25197433242130085</v>
      </c>
      <c r="I65">
        <v>102.47912337269433</v>
      </c>
      <c r="J65">
        <v>220.62720489501953</v>
      </c>
      <c r="K65">
        <v>1.3773215201476425</v>
      </c>
      <c r="L65">
        <v>0</v>
      </c>
      <c r="M65" t="str">
        <f>VLOOKUP(fact_daily_prices[[#This Row],[Ticker]], dim_company[], 2, FALSE)</f>
        <v>Apple Inc.</v>
      </c>
      <c r="N65" t="str">
        <f>VLOOKUP(fact_daily_prices[[#This Row],[Ticker]], dim_company[], 3, FALSE)</f>
        <v>Technology</v>
      </c>
    </row>
    <row r="66" spans="1:14" x14ac:dyDescent="0.3">
      <c r="A66" s="1">
        <v>45568</v>
      </c>
      <c r="B66">
        <v>223.99087524414065</v>
      </c>
      <c r="C66">
        <v>225.12239234050705</v>
      </c>
      <c r="D66">
        <v>221.65836976978889</v>
      </c>
      <c r="E66">
        <v>223.46481998018768</v>
      </c>
      <c r="F66">
        <v>34044200</v>
      </c>
      <c r="G66" s="2" t="s">
        <v>12</v>
      </c>
      <c r="H66">
        <v>-0.4894699725881746</v>
      </c>
      <c r="I66">
        <v>101.9775188356134</v>
      </c>
      <c r="J66">
        <v>220.77375946044921</v>
      </c>
      <c r="K66">
        <v>1.380351663474243</v>
      </c>
      <c r="L66">
        <v>0</v>
      </c>
      <c r="M66" t="str">
        <f>VLOOKUP(fact_daily_prices[[#This Row],[Ticker]], dim_company[], 2, FALSE)</f>
        <v>Apple Inc.</v>
      </c>
      <c r="N66" t="str">
        <f>VLOOKUP(fact_daily_prices[[#This Row],[Ticker]], dim_company[], 3, FALSE)</f>
        <v>Technology</v>
      </c>
    </row>
    <row r="67" spans="1:14" x14ac:dyDescent="0.3">
      <c r="A67" s="1">
        <v>45569</v>
      </c>
      <c r="B67">
        <v>225.11250305175781</v>
      </c>
      <c r="C67">
        <v>226.30357145139808</v>
      </c>
      <c r="D67">
        <v>222.46237094034984</v>
      </c>
      <c r="E67">
        <v>226.20430944090447</v>
      </c>
      <c r="F67">
        <v>37245100</v>
      </c>
      <c r="G67" s="2" t="s">
        <v>12</v>
      </c>
      <c r="H67">
        <v>0.50074709802112594</v>
      </c>
      <c r="I67">
        <v>102.48816830181669</v>
      </c>
      <c r="J67">
        <v>220.96356567382813</v>
      </c>
      <c r="K67">
        <v>1.3742677097017646</v>
      </c>
      <c r="L67">
        <v>0</v>
      </c>
      <c r="M67" t="str">
        <f>VLOOKUP(fact_daily_prices[[#This Row],[Ticker]], dim_company[], 2, FALSE)</f>
        <v>Apple Inc.</v>
      </c>
      <c r="N67" t="str">
        <f>VLOOKUP(fact_daily_prices[[#This Row],[Ticker]], dim_company[], 3, FALSE)</f>
        <v>Technology</v>
      </c>
    </row>
    <row r="68" spans="1:14" x14ac:dyDescent="0.3">
      <c r="A68" s="1">
        <v>45572</v>
      </c>
      <c r="B68">
        <v>220.04049682617188</v>
      </c>
      <c r="C68">
        <v>224.01073444452047</v>
      </c>
      <c r="D68">
        <v>219.68317483471031</v>
      </c>
      <c r="E68">
        <v>222.8295863298211</v>
      </c>
      <c r="F68">
        <v>39505400</v>
      </c>
      <c r="G68" s="2" t="s">
        <v>12</v>
      </c>
      <c r="H68">
        <v>-2.2530984093850126</v>
      </c>
      <c r="I68">
        <v>100.17900901200061</v>
      </c>
      <c r="J68">
        <v>221.04261230468751</v>
      </c>
      <c r="K68">
        <v>1.422828055889938</v>
      </c>
      <c r="L68">
        <v>0</v>
      </c>
      <c r="M68" t="str">
        <f>VLOOKUP(fact_daily_prices[[#This Row],[Ticker]], dim_company[], 2, FALSE)</f>
        <v>Apple Inc.</v>
      </c>
      <c r="N68" t="str">
        <f>VLOOKUP(fact_daily_prices[[#This Row],[Ticker]], dim_company[], 3, FALSE)</f>
        <v>Technology</v>
      </c>
    </row>
    <row r="69" spans="1:14" x14ac:dyDescent="0.3">
      <c r="A69" s="1">
        <v>45573</v>
      </c>
      <c r="B69">
        <v>224.09016418457031</v>
      </c>
      <c r="C69">
        <v>224.29859319974199</v>
      </c>
      <c r="D69">
        <v>221.58890998571715</v>
      </c>
      <c r="E69">
        <v>222.63110049734399</v>
      </c>
      <c r="F69">
        <v>31855700</v>
      </c>
      <c r="G69" s="2" t="s">
        <v>12</v>
      </c>
      <c r="H69">
        <v>1.8404191123044145</v>
      </c>
      <c r="I69">
        <v>102.02272264037464</v>
      </c>
      <c r="J69">
        <v>221.19710052490234</v>
      </c>
      <c r="K69">
        <v>1.464567643733522</v>
      </c>
      <c r="L69">
        <v>0</v>
      </c>
      <c r="M69" t="str">
        <f>VLOOKUP(fact_daily_prices[[#This Row],[Ticker]], dim_company[], 2, FALSE)</f>
        <v>Apple Inc.</v>
      </c>
      <c r="N69" t="str">
        <f>VLOOKUP(fact_daily_prices[[#This Row],[Ticker]], dim_company[], 3, FALSE)</f>
        <v>Technology</v>
      </c>
    </row>
    <row r="70" spans="1:14" x14ac:dyDescent="0.3">
      <c r="A70" s="1">
        <v>45574</v>
      </c>
      <c r="B70">
        <v>227.83209228515625</v>
      </c>
      <c r="C70">
        <v>228.0405364361267</v>
      </c>
      <c r="D70">
        <v>223.157145699626</v>
      </c>
      <c r="E70">
        <v>223.55416342639623</v>
      </c>
      <c r="F70">
        <v>33591100</v>
      </c>
      <c r="G70" s="2" t="s">
        <v>12</v>
      </c>
      <c r="H70">
        <v>1.6698314779687973</v>
      </c>
      <c r="I70">
        <v>103.72633017770441</v>
      </c>
      <c r="J70">
        <v>221.41532348632813</v>
      </c>
      <c r="K70">
        <v>1.4950849146884857</v>
      </c>
      <c r="L70">
        <v>0</v>
      </c>
      <c r="M70" t="str">
        <f>VLOOKUP(fact_daily_prices[[#This Row],[Ticker]], dim_company[], 2, FALSE)</f>
        <v>Apple Inc.</v>
      </c>
      <c r="N70" t="str">
        <f>VLOOKUP(fact_daily_prices[[#This Row],[Ticker]], dim_company[], 3, FALSE)</f>
        <v>Technology</v>
      </c>
    </row>
    <row r="71" spans="1:14" x14ac:dyDescent="0.3">
      <c r="A71" s="1">
        <v>45575</v>
      </c>
      <c r="B71">
        <v>227.3358154296875</v>
      </c>
      <c r="C71">
        <v>227.7923994519787</v>
      </c>
      <c r="D71">
        <v>225.47973405841245</v>
      </c>
      <c r="E71">
        <v>226.08519594381181</v>
      </c>
      <c r="F71">
        <v>28183500</v>
      </c>
      <c r="G71" s="2" t="s">
        <v>12</v>
      </c>
      <c r="H71">
        <v>-0.217825702468466</v>
      </c>
      <c r="I71">
        <v>103.50038757035007</v>
      </c>
      <c r="J71">
        <v>221.55858428955079</v>
      </c>
      <c r="K71">
        <v>1.4899369924329935</v>
      </c>
      <c r="L71">
        <v>0</v>
      </c>
      <c r="M71" t="str">
        <f>VLOOKUP(fact_daily_prices[[#This Row],[Ticker]], dim_company[], 2, FALSE)</f>
        <v>Apple Inc.</v>
      </c>
      <c r="N71" t="str">
        <f>VLOOKUP(fact_daily_prices[[#This Row],[Ticker]], dim_company[], 3, FALSE)</f>
        <v>Technology</v>
      </c>
    </row>
    <row r="72" spans="1:14" x14ac:dyDescent="0.3">
      <c r="A72" s="1">
        <v>45576</v>
      </c>
      <c r="B72">
        <v>225.85691833496091</v>
      </c>
      <c r="C72">
        <v>227.70307961960657</v>
      </c>
      <c r="D72">
        <v>225.64847417505069</v>
      </c>
      <c r="E72">
        <v>227.59389746827381</v>
      </c>
      <c r="F72">
        <v>31759200</v>
      </c>
      <c r="G72" s="2" t="s">
        <v>12</v>
      </c>
      <c r="H72">
        <v>-0.65053414127964615</v>
      </c>
      <c r="I72">
        <v>102.8270822128482</v>
      </c>
      <c r="J72">
        <v>221.74602844238282</v>
      </c>
      <c r="K72">
        <v>1.4707756961587222</v>
      </c>
      <c r="L72">
        <v>0</v>
      </c>
      <c r="M72" t="str">
        <f>VLOOKUP(fact_daily_prices[[#This Row],[Ticker]], dim_company[], 2, FALSE)</f>
        <v>Apple Inc.</v>
      </c>
      <c r="N72" t="str">
        <f>VLOOKUP(fact_daily_prices[[#This Row],[Ticker]], dim_company[], 3, FALSE)</f>
        <v>Technology</v>
      </c>
    </row>
    <row r="73" spans="1:14" x14ac:dyDescent="0.3">
      <c r="A73" s="1">
        <v>45579</v>
      </c>
      <c r="B73">
        <v>229.57902526855469</v>
      </c>
      <c r="C73">
        <v>230.00581860221664</v>
      </c>
      <c r="D73">
        <v>226.89911753216435</v>
      </c>
      <c r="E73">
        <v>226.99836439928595</v>
      </c>
      <c r="F73">
        <v>39882100</v>
      </c>
      <c r="G73" s="2" t="s">
        <v>12</v>
      </c>
      <c r="H73">
        <v>1.6479933229557542</v>
      </c>
      <c r="I73">
        <v>104.52166566190616</v>
      </c>
      <c r="J73">
        <v>221.97817230224609</v>
      </c>
      <c r="K73">
        <v>1.5004150228728663</v>
      </c>
      <c r="L73">
        <v>0</v>
      </c>
      <c r="M73" t="str">
        <f>VLOOKUP(fact_daily_prices[[#This Row],[Ticker]], dim_company[], 2, FALSE)</f>
        <v>Apple Inc.</v>
      </c>
      <c r="N73" t="str">
        <f>VLOOKUP(fact_daily_prices[[#This Row],[Ticker]], dim_company[], 3, FALSE)</f>
        <v>Technology</v>
      </c>
    </row>
    <row r="74" spans="1:14" x14ac:dyDescent="0.3">
      <c r="A74" s="1">
        <v>45580</v>
      </c>
      <c r="B74">
        <v>232.11004638671875</v>
      </c>
      <c r="C74">
        <v>235.72296238042171</v>
      </c>
      <c r="D74">
        <v>230.64104741420039</v>
      </c>
      <c r="E74">
        <v>231.87182665313995</v>
      </c>
      <c r="F74">
        <v>64751400</v>
      </c>
      <c r="G74" s="2" t="s">
        <v>12</v>
      </c>
      <c r="H74">
        <v>1.1024618277751363</v>
      </c>
      <c r="I74">
        <v>105.67397712758341</v>
      </c>
      <c r="J74">
        <v>222.47091766357423</v>
      </c>
      <c r="K74">
        <v>1.4175639446110537</v>
      </c>
      <c r="L74">
        <v>0</v>
      </c>
      <c r="M74" t="str">
        <f>VLOOKUP(fact_daily_prices[[#This Row],[Ticker]], dim_company[], 2, FALSE)</f>
        <v>Apple Inc.</v>
      </c>
      <c r="N74" t="str">
        <f>VLOOKUP(fact_daily_prices[[#This Row],[Ticker]], dim_company[], 3, FALSE)</f>
        <v>Technology</v>
      </c>
    </row>
    <row r="75" spans="1:14" x14ac:dyDescent="0.3">
      <c r="A75" s="1">
        <v>45581</v>
      </c>
      <c r="B75">
        <v>230.05540466308599</v>
      </c>
      <c r="C75">
        <v>230.39287120683147</v>
      </c>
      <c r="D75">
        <v>228.12983710309089</v>
      </c>
      <c r="E75">
        <v>229.87675125001607</v>
      </c>
      <c r="F75">
        <v>34082200</v>
      </c>
      <c r="G75" s="2" t="s">
        <v>12</v>
      </c>
      <c r="H75">
        <v>-0.88520154798018558</v>
      </c>
      <c r="I75">
        <v>104.73854944623784</v>
      </c>
      <c r="J75">
        <v>222.96301971435548</v>
      </c>
      <c r="K75">
        <v>1.4181567991841875</v>
      </c>
      <c r="L75">
        <v>0</v>
      </c>
      <c r="M75" t="str">
        <f>VLOOKUP(fact_daily_prices[[#This Row],[Ticker]], dim_company[], 2, FALSE)</f>
        <v>Apple Inc.</v>
      </c>
      <c r="N75" t="str">
        <f>VLOOKUP(fact_daily_prices[[#This Row],[Ticker]], dim_company[], 3, FALSE)</f>
        <v>Technology</v>
      </c>
    </row>
    <row r="76" spans="1:14" x14ac:dyDescent="0.3">
      <c r="A76" s="1">
        <v>45582</v>
      </c>
      <c r="B76">
        <v>230.42268371582031</v>
      </c>
      <c r="C76">
        <v>232.11004699556463</v>
      </c>
      <c r="D76">
        <v>228.8048220166126</v>
      </c>
      <c r="E76">
        <v>231.69315867439417</v>
      </c>
      <c r="F76">
        <v>32993800</v>
      </c>
      <c r="G76" s="2" t="s">
        <v>12</v>
      </c>
      <c r="H76">
        <v>0.15964808706503408</v>
      </c>
      <c r="I76">
        <v>104.9057625368484</v>
      </c>
      <c r="J76">
        <v>223.41111206054688</v>
      </c>
      <c r="K76">
        <v>1.4147273123006896</v>
      </c>
      <c r="L76">
        <v>0</v>
      </c>
      <c r="M76" t="str">
        <f>VLOOKUP(fact_daily_prices[[#This Row],[Ticker]], dim_company[], 2, FALSE)</f>
        <v>Apple Inc.</v>
      </c>
      <c r="N76" t="str">
        <f>VLOOKUP(fact_daily_prices[[#This Row],[Ticker]], dim_company[], 3, FALSE)</f>
        <v>Technology</v>
      </c>
    </row>
    <row r="77" spans="1:14" x14ac:dyDescent="0.3">
      <c r="A77" s="1">
        <v>45583</v>
      </c>
      <c r="B77">
        <v>233.25148010253903</v>
      </c>
      <c r="C77">
        <v>234.42269303077791</v>
      </c>
      <c r="D77">
        <v>232.26884075534687</v>
      </c>
      <c r="E77">
        <v>234.42269303077791</v>
      </c>
      <c r="F77">
        <v>46431500</v>
      </c>
      <c r="G77" s="2" t="s">
        <v>12</v>
      </c>
      <c r="H77">
        <v>1.2276553423913095</v>
      </c>
      <c r="I77">
        <v>106.19364373510838</v>
      </c>
      <c r="J77">
        <v>223.84657958984374</v>
      </c>
      <c r="K77">
        <v>1.4183828268493042</v>
      </c>
      <c r="L77">
        <v>0</v>
      </c>
      <c r="M77" t="str">
        <f>VLOOKUP(fact_daily_prices[[#This Row],[Ticker]], dim_company[], 2, FALSE)</f>
        <v>Apple Inc.</v>
      </c>
      <c r="N77" t="str">
        <f>VLOOKUP(fact_daily_prices[[#This Row],[Ticker]], dim_company[], 3, FALSE)</f>
        <v>Technology</v>
      </c>
    </row>
    <row r="78" spans="1:14" x14ac:dyDescent="0.3">
      <c r="A78" s="1">
        <v>45586</v>
      </c>
      <c r="B78">
        <v>234.72047424316409</v>
      </c>
      <c r="C78">
        <v>235.08773156933623</v>
      </c>
      <c r="D78">
        <v>232.7055796017645</v>
      </c>
      <c r="E78">
        <v>232.7055796017645</v>
      </c>
      <c r="F78">
        <v>36254500</v>
      </c>
      <c r="G78" s="2" t="s">
        <v>12</v>
      </c>
      <c r="H78">
        <v>0.62978984741244304</v>
      </c>
      <c r="I78">
        <v>106.86244052194942</v>
      </c>
      <c r="J78">
        <v>224.25333068847655</v>
      </c>
      <c r="K78">
        <v>1.4199295454511875</v>
      </c>
      <c r="L78">
        <v>0</v>
      </c>
      <c r="M78" t="str">
        <f>VLOOKUP(fact_daily_prices[[#This Row],[Ticker]], dim_company[], 2, FALSE)</f>
        <v>Apple Inc.</v>
      </c>
      <c r="N78" t="str">
        <f>VLOOKUP(fact_daily_prices[[#This Row],[Ticker]], dim_company[], 3, FALSE)</f>
        <v>Technology</v>
      </c>
    </row>
    <row r="79" spans="1:14" x14ac:dyDescent="0.3">
      <c r="A79" s="1">
        <v>45587</v>
      </c>
      <c r="B79">
        <v>234.10508728027344</v>
      </c>
      <c r="C79">
        <v>234.4624093106695</v>
      </c>
      <c r="D79">
        <v>230.86934872103879</v>
      </c>
      <c r="E79">
        <v>232.14974382855843</v>
      </c>
      <c r="F79">
        <v>38846600</v>
      </c>
      <c r="G79" s="2" t="s">
        <v>12</v>
      </c>
      <c r="H79">
        <v>-0.26217864669663138</v>
      </c>
      <c r="I79">
        <v>106.58227002156198</v>
      </c>
      <c r="J79">
        <v>224.61720306396484</v>
      </c>
      <c r="K79">
        <v>1.4185916981332671</v>
      </c>
      <c r="L79">
        <v>0</v>
      </c>
      <c r="M79" t="str">
        <f>VLOOKUP(fact_daily_prices[[#This Row],[Ticker]], dim_company[], 2, FALSE)</f>
        <v>Apple Inc.</v>
      </c>
      <c r="N79" t="str">
        <f>VLOOKUP(fact_daily_prices[[#This Row],[Ticker]], dim_company[], 3, FALSE)</f>
        <v>Technology</v>
      </c>
    </row>
    <row r="80" spans="1:14" x14ac:dyDescent="0.3">
      <c r="A80" s="1">
        <v>45588</v>
      </c>
      <c r="B80">
        <v>229.04302978515625</v>
      </c>
      <c r="C80">
        <v>233.39044533687328</v>
      </c>
      <c r="D80">
        <v>226.06535121992681</v>
      </c>
      <c r="E80">
        <v>232.33833466706656</v>
      </c>
      <c r="F80">
        <v>52287000</v>
      </c>
      <c r="G80" s="2" t="s">
        <v>12</v>
      </c>
      <c r="H80">
        <v>-2.162301363855812</v>
      </c>
      <c r="I80">
        <v>104.27764014325727</v>
      </c>
      <c r="J80">
        <v>224.80559082031249</v>
      </c>
      <c r="K80">
        <v>1.472996195183834</v>
      </c>
      <c r="L80">
        <v>0</v>
      </c>
      <c r="M80" t="str">
        <f>VLOOKUP(fact_daily_prices[[#This Row],[Ticker]], dim_company[], 2, FALSE)</f>
        <v>Apple Inc.</v>
      </c>
      <c r="N80" t="str">
        <f>VLOOKUP(fact_daily_prices[[#This Row],[Ticker]], dim_company[], 3, FALSE)</f>
        <v>Technology</v>
      </c>
    </row>
    <row r="81" spans="1:14" x14ac:dyDescent="0.3">
      <c r="A81" s="1">
        <v>45589</v>
      </c>
      <c r="B81">
        <v>228.85446166992188</v>
      </c>
      <c r="C81">
        <v>229.10260155629064</v>
      </c>
      <c r="D81">
        <v>226.71052941683399</v>
      </c>
      <c r="E81">
        <v>228.26884002769643</v>
      </c>
      <c r="F81">
        <v>31109500</v>
      </c>
      <c r="G81" s="2" t="s">
        <v>12</v>
      </c>
      <c r="H81">
        <v>-8.2328685317889505E-2</v>
      </c>
      <c r="I81">
        <v>104.19178973304682</v>
      </c>
      <c r="J81">
        <v>224.98127410888671</v>
      </c>
      <c r="K81">
        <v>1.4734399636582682</v>
      </c>
      <c r="L81">
        <v>0</v>
      </c>
      <c r="M81" t="str">
        <f>VLOOKUP(fact_daily_prices[[#This Row],[Ticker]], dim_company[], 2, FALSE)</f>
        <v>Apple Inc.</v>
      </c>
      <c r="N81" t="str">
        <f>VLOOKUP(fact_daily_prices[[#This Row],[Ticker]], dim_company[], 3, FALSE)</f>
        <v>Technology</v>
      </c>
    </row>
    <row r="82" spans="1:14" x14ac:dyDescent="0.3">
      <c r="A82" s="1">
        <v>45590</v>
      </c>
      <c r="B82">
        <v>229.68821716308599</v>
      </c>
      <c r="C82">
        <v>231.48474758840828</v>
      </c>
      <c r="D82">
        <v>227.86191116183889</v>
      </c>
      <c r="E82">
        <v>228.03064447383119</v>
      </c>
      <c r="F82">
        <v>38802300</v>
      </c>
      <c r="G82" s="2" t="s">
        <v>12</v>
      </c>
      <c r="H82">
        <v>0.36431690563527575</v>
      </c>
      <c r="I82">
        <v>104.57137803732826</v>
      </c>
      <c r="J82">
        <v>225.11407897949218</v>
      </c>
      <c r="K82">
        <v>1.4733057846117048</v>
      </c>
      <c r="L82">
        <v>0</v>
      </c>
      <c r="M82" t="str">
        <f>VLOOKUP(fact_daily_prices[[#This Row],[Ticker]], dim_company[], 2, FALSE)</f>
        <v>Apple Inc.</v>
      </c>
      <c r="N82" t="str">
        <f>VLOOKUP(fact_daily_prices[[#This Row],[Ticker]], dim_company[], 3, FALSE)</f>
        <v>Technology</v>
      </c>
    </row>
    <row r="83" spans="1:14" x14ac:dyDescent="0.3">
      <c r="A83" s="1">
        <v>45593</v>
      </c>
      <c r="B83">
        <v>231.66336059570313</v>
      </c>
      <c r="C83">
        <v>232.98346643048399</v>
      </c>
      <c r="D83">
        <v>230.81969418304561</v>
      </c>
      <c r="E83">
        <v>231.58396917060392</v>
      </c>
      <c r="F83">
        <v>36087100</v>
      </c>
      <c r="G83" s="2" t="s">
        <v>12</v>
      </c>
      <c r="H83">
        <v>0.85992370745544555</v>
      </c>
      <c r="I83">
        <v>105.4706121082841</v>
      </c>
      <c r="J83">
        <v>225.25998474121093</v>
      </c>
      <c r="K83">
        <v>1.3709177708674707</v>
      </c>
      <c r="L83">
        <v>0</v>
      </c>
      <c r="M83" t="str">
        <f>VLOOKUP(fact_daily_prices[[#This Row],[Ticker]], dim_company[], 2, FALSE)</f>
        <v>Apple Inc.</v>
      </c>
      <c r="N83" t="str">
        <f>VLOOKUP(fact_daily_prices[[#This Row],[Ticker]], dim_company[], 3, FALSE)</f>
        <v>Technology</v>
      </c>
    </row>
    <row r="84" spans="1:14" x14ac:dyDescent="0.3">
      <c r="A84" s="1">
        <v>45594</v>
      </c>
      <c r="B84">
        <v>231.93136596679688</v>
      </c>
      <c r="C84">
        <v>232.58645884177281</v>
      </c>
      <c r="D84">
        <v>230.59141979007919</v>
      </c>
      <c r="E84">
        <v>231.36561495313973</v>
      </c>
      <c r="F84">
        <v>35417200</v>
      </c>
      <c r="G84" s="2" t="s">
        <v>12</v>
      </c>
      <c r="H84">
        <v>0.11568742264835841</v>
      </c>
      <c r="I84">
        <v>105.59262834108362</v>
      </c>
      <c r="J84">
        <v>225.4144271850586</v>
      </c>
      <c r="K84">
        <v>1.3711592822060314</v>
      </c>
      <c r="L84">
        <v>0</v>
      </c>
      <c r="M84" t="str">
        <f>VLOOKUP(fact_daily_prices[[#This Row],[Ticker]], dim_company[], 2, FALSE)</f>
        <v>Apple Inc.</v>
      </c>
      <c r="N84" t="str">
        <f>VLOOKUP(fact_daily_prices[[#This Row],[Ticker]], dim_company[], 3, FALSE)</f>
        <v>Technology</v>
      </c>
    </row>
    <row r="85" spans="1:14" x14ac:dyDescent="0.3">
      <c r="A85" s="1">
        <v>45595</v>
      </c>
      <c r="B85">
        <v>228.38792419433599</v>
      </c>
      <c r="C85">
        <v>231.73284452872849</v>
      </c>
      <c r="D85">
        <v>227.842013494816</v>
      </c>
      <c r="E85">
        <v>230.87924283818489</v>
      </c>
      <c r="F85">
        <v>47070900</v>
      </c>
      <c r="G85" s="2" t="s">
        <v>12</v>
      </c>
      <c r="H85">
        <v>-1.5277975696345258</v>
      </c>
      <c r="I85">
        <v>103.97938673157535</v>
      </c>
      <c r="J85">
        <v>225.48569305419923</v>
      </c>
      <c r="K85">
        <v>1.3768600202804271</v>
      </c>
      <c r="L85">
        <v>0</v>
      </c>
      <c r="M85" t="str">
        <f>VLOOKUP(fact_daily_prices[[#This Row],[Ticker]], dim_company[], 2, FALSE)</f>
        <v>Apple Inc.</v>
      </c>
      <c r="N85" t="str">
        <f>VLOOKUP(fact_daily_prices[[#This Row],[Ticker]], dim_company[], 3, FALSE)</f>
        <v>Technology</v>
      </c>
    </row>
    <row r="86" spans="1:14" x14ac:dyDescent="0.3">
      <c r="A86" s="1">
        <v>45596</v>
      </c>
      <c r="B86">
        <v>224.2291259765625</v>
      </c>
      <c r="C86">
        <v>228.11995749798112</v>
      </c>
      <c r="D86">
        <v>223.69313535160188</v>
      </c>
      <c r="E86">
        <v>227.63359787833264</v>
      </c>
      <c r="F86">
        <v>64370100</v>
      </c>
      <c r="G86" s="2" t="s">
        <v>12</v>
      </c>
      <c r="H86">
        <v>-1.8209361254296286</v>
      </c>
      <c r="I86">
        <v>102.08598851557991</v>
      </c>
      <c r="J86">
        <v>225.47596618652344</v>
      </c>
      <c r="K86">
        <v>1.248119091983982</v>
      </c>
      <c r="L86">
        <v>0</v>
      </c>
      <c r="M86" t="str">
        <f>VLOOKUP(fact_daily_prices[[#This Row],[Ticker]], dim_company[], 2, FALSE)</f>
        <v>Apple Inc.</v>
      </c>
      <c r="N86" t="str">
        <f>VLOOKUP(fact_daily_prices[[#This Row],[Ticker]], dim_company[], 3, FALSE)</f>
        <v>Technology</v>
      </c>
    </row>
    <row r="87" spans="1:14" x14ac:dyDescent="0.3">
      <c r="A87" s="1">
        <v>45597</v>
      </c>
      <c r="B87">
        <v>221.25143432617188</v>
      </c>
      <c r="C87">
        <v>223.67328184782377</v>
      </c>
      <c r="D87">
        <v>218.63107794025871</v>
      </c>
      <c r="E87">
        <v>219.32586653780089</v>
      </c>
      <c r="F87">
        <v>65276700</v>
      </c>
      <c r="G87" s="2" t="s">
        <v>12</v>
      </c>
      <c r="H87">
        <v>-1.3279682723741582</v>
      </c>
      <c r="I87">
        <v>100.73031897755347</v>
      </c>
      <c r="J87">
        <v>225.44380706787109</v>
      </c>
      <c r="K87">
        <v>1.2695932290626888</v>
      </c>
      <c r="L87">
        <v>0</v>
      </c>
      <c r="M87" t="str">
        <f>VLOOKUP(fact_daily_prices[[#This Row],[Ticker]], dim_company[], 2, FALSE)</f>
        <v>Apple Inc.</v>
      </c>
      <c r="N87" t="str">
        <f>VLOOKUP(fact_daily_prices[[#This Row],[Ticker]], dim_company[], 3, FALSE)</f>
        <v>Technology</v>
      </c>
    </row>
    <row r="88" spans="1:14" x14ac:dyDescent="0.3">
      <c r="A88" s="1">
        <v>45600</v>
      </c>
      <c r="B88">
        <v>220.35812377929688</v>
      </c>
      <c r="C88">
        <v>221.13231895883283</v>
      </c>
      <c r="D88">
        <v>218.07524910106579</v>
      </c>
      <c r="E88">
        <v>219.34572401852256</v>
      </c>
      <c r="F88">
        <v>44944500</v>
      </c>
      <c r="G88" s="2" t="s">
        <v>12</v>
      </c>
      <c r="H88">
        <v>-0.40375356191276746</v>
      </c>
      <c r="I88">
        <v>100.32361672675552</v>
      </c>
      <c r="J88">
        <v>225.34792572021485</v>
      </c>
      <c r="K88">
        <v>1.2646125103950916</v>
      </c>
      <c r="L88">
        <v>0</v>
      </c>
      <c r="M88" t="str">
        <f>VLOOKUP(fact_daily_prices[[#This Row],[Ticker]], dim_company[], 2, FALSE)</f>
        <v>Apple Inc.</v>
      </c>
      <c r="N88" t="str">
        <f>VLOOKUP(fact_daily_prices[[#This Row],[Ticker]], dim_company[], 3, FALSE)</f>
        <v>Technology</v>
      </c>
    </row>
    <row r="89" spans="1:14" x14ac:dyDescent="0.3">
      <c r="A89" s="1">
        <v>45601</v>
      </c>
      <c r="B89">
        <v>221.78739929199219</v>
      </c>
      <c r="C89">
        <v>222.28367900181769</v>
      </c>
      <c r="D89">
        <v>219.49458945583885</v>
      </c>
      <c r="E89">
        <v>220.14968230766976</v>
      </c>
      <c r="F89">
        <v>28111300</v>
      </c>
      <c r="G89" s="2" t="s">
        <v>12</v>
      </c>
      <c r="H89">
        <v>0.64861484940161862</v>
      </c>
      <c r="I89">
        <v>100.974330602302</v>
      </c>
      <c r="J89">
        <v>225.27388061523436</v>
      </c>
      <c r="K89">
        <v>1.268561213222259</v>
      </c>
      <c r="L89">
        <v>0</v>
      </c>
      <c r="M89" t="str">
        <f>VLOOKUP(fact_daily_prices[[#This Row],[Ticker]], dim_company[], 2, FALSE)</f>
        <v>Apple Inc.</v>
      </c>
      <c r="N89" t="str">
        <f>VLOOKUP(fact_daily_prices[[#This Row],[Ticker]], dim_company[], 3, FALSE)</f>
        <v>Technology</v>
      </c>
    </row>
    <row r="90" spans="1:14" x14ac:dyDescent="0.3">
      <c r="A90" s="1">
        <v>45602</v>
      </c>
      <c r="B90">
        <v>221.06283569335929</v>
      </c>
      <c r="C90">
        <v>224.38791581537041</v>
      </c>
      <c r="D90">
        <v>219.54422098922427</v>
      </c>
      <c r="E90">
        <v>220.95365355112239</v>
      </c>
      <c r="F90">
        <v>54561100</v>
      </c>
      <c r="G90" s="2" t="s">
        <v>12</v>
      </c>
      <c r="H90">
        <v>-0.32669286034550105</v>
      </c>
      <c r="I90">
        <v>100.64445467344262</v>
      </c>
      <c r="J90">
        <v>225.16847106933594</v>
      </c>
      <c r="K90">
        <v>1.267530772072514</v>
      </c>
      <c r="L90">
        <v>0</v>
      </c>
      <c r="M90" t="str">
        <f>VLOOKUP(fact_daily_prices[[#This Row],[Ticker]], dim_company[], 2, FALSE)</f>
        <v>Apple Inc.</v>
      </c>
      <c r="N90" t="str">
        <f>VLOOKUP(fact_daily_prices[[#This Row],[Ticker]], dim_company[], 3, FALSE)</f>
        <v>Technology</v>
      </c>
    </row>
    <row r="91" spans="1:14" x14ac:dyDescent="0.3">
      <c r="A91" s="1">
        <v>45603</v>
      </c>
      <c r="B91">
        <v>225.78744506835929</v>
      </c>
      <c r="C91">
        <v>226.18447798056903</v>
      </c>
      <c r="D91">
        <v>222.89910825147632</v>
      </c>
      <c r="E91">
        <v>222.95865940199351</v>
      </c>
      <c r="F91">
        <v>42137700</v>
      </c>
      <c r="G91" s="2" t="s">
        <v>12</v>
      </c>
      <c r="H91">
        <v>2.1372246312598708</v>
      </c>
      <c r="I91">
        <v>102.79545274872062</v>
      </c>
      <c r="J91">
        <v>225.18812408447266</v>
      </c>
      <c r="K91">
        <v>1.3256707058858865</v>
      </c>
      <c r="L91">
        <v>0</v>
      </c>
      <c r="M91" t="str">
        <f>VLOOKUP(fact_daily_prices[[#This Row],[Ticker]], dim_company[], 2, FALSE)</f>
        <v>Apple Inc.</v>
      </c>
      <c r="N91" t="str">
        <f>VLOOKUP(fact_daily_prices[[#This Row],[Ticker]], dim_company[], 3, FALSE)</f>
        <v>Technology</v>
      </c>
    </row>
    <row r="92" spans="1:14" x14ac:dyDescent="0.3">
      <c r="A92" s="1">
        <v>45604</v>
      </c>
      <c r="B92">
        <v>225.51914978027344</v>
      </c>
      <c r="C92">
        <v>227.2083542879204</v>
      </c>
      <c r="D92">
        <v>224.97263842611511</v>
      </c>
      <c r="E92">
        <v>225.72780810336752</v>
      </c>
      <c r="F92">
        <v>38328800</v>
      </c>
      <c r="G92" s="2" t="s">
        <v>12</v>
      </c>
      <c r="H92">
        <v>-0.11882648656776906</v>
      </c>
      <c r="I92">
        <v>102.6733045238679</v>
      </c>
      <c r="J92">
        <v>225.13690216064452</v>
      </c>
      <c r="K92">
        <v>1.3256957052681837</v>
      </c>
      <c r="L92">
        <v>0</v>
      </c>
      <c r="M92" t="str">
        <f>VLOOKUP(fact_daily_prices[[#This Row],[Ticker]], dim_company[], 2, FALSE)</f>
        <v>Apple Inc.</v>
      </c>
      <c r="N92" t="str">
        <f>VLOOKUP(fact_daily_prices[[#This Row],[Ticker]], dim_company[], 3, FALSE)</f>
        <v>Technology</v>
      </c>
    </row>
    <row r="93" spans="1:14" x14ac:dyDescent="0.3">
      <c r="A93" s="1">
        <v>45607</v>
      </c>
      <c r="B93">
        <v>222.80645751953125</v>
      </c>
      <c r="C93">
        <v>224.26712634517853</v>
      </c>
      <c r="D93">
        <v>220.0937933412938</v>
      </c>
      <c r="E93">
        <v>223.57157337151739</v>
      </c>
      <c r="F93">
        <v>42005600</v>
      </c>
      <c r="G93" s="2" t="s">
        <v>12</v>
      </c>
      <c r="H93">
        <v>-1.2028655940682698</v>
      </c>
      <c r="I93">
        <v>101.43828266945734</v>
      </c>
      <c r="J93">
        <v>225.04710876464844</v>
      </c>
      <c r="K93">
        <v>1.2700295773491903</v>
      </c>
      <c r="L93">
        <v>0</v>
      </c>
      <c r="M93" t="str">
        <f>VLOOKUP(fact_daily_prices[[#This Row],[Ticker]], dim_company[], 2, FALSE)</f>
        <v>Apple Inc.</v>
      </c>
      <c r="N93" t="str">
        <f>VLOOKUP(fact_daily_prices[[#This Row],[Ticker]], dim_company[], 3, FALSE)</f>
        <v>Technology</v>
      </c>
    </row>
    <row r="94" spans="1:14" x14ac:dyDescent="0.3">
      <c r="A94" s="1">
        <v>45608</v>
      </c>
      <c r="B94">
        <v>222.80645751953125</v>
      </c>
      <c r="C94">
        <v>224.15782408060912</v>
      </c>
      <c r="D94">
        <v>221.94198562097503</v>
      </c>
      <c r="E94">
        <v>223.1244332571579</v>
      </c>
      <c r="F94">
        <v>40398300</v>
      </c>
      <c r="G94" s="2" t="s">
        <v>12</v>
      </c>
      <c r="H94">
        <v>0</v>
      </c>
      <c r="I94">
        <v>101.43828266945734</v>
      </c>
      <c r="J94">
        <v>225.08098846435547</v>
      </c>
      <c r="K94">
        <v>1.1548816539928131</v>
      </c>
      <c r="L94">
        <v>0</v>
      </c>
      <c r="M94" t="str">
        <f>VLOOKUP(fact_daily_prices[[#This Row],[Ticker]], dim_company[], 2, FALSE)</f>
        <v>Apple Inc.</v>
      </c>
      <c r="N94" t="str">
        <f>VLOOKUP(fact_daily_prices[[#This Row],[Ticker]], dim_company[], 3, FALSE)</f>
        <v>Technology</v>
      </c>
    </row>
    <row r="95" spans="1:14" x14ac:dyDescent="0.3">
      <c r="A95" s="1">
        <v>45609</v>
      </c>
      <c r="B95">
        <v>223.6908264160156</v>
      </c>
      <c r="C95">
        <v>225.21111203603911</v>
      </c>
      <c r="D95">
        <v>221.34580821096</v>
      </c>
      <c r="E95">
        <v>222.58787261698691</v>
      </c>
      <c r="F95">
        <v>48566200</v>
      </c>
      <c r="G95" s="2" t="s">
        <v>12</v>
      </c>
      <c r="H95">
        <v>0.3969224708879171</v>
      </c>
      <c r="I95">
        <v>101.84091400745521</v>
      </c>
      <c r="J95">
        <v>225.17066955566406</v>
      </c>
      <c r="K95">
        <v>1.1563574579844533</v>
      </c>
      <c r="L95">
        <v>0</v>
      </c>
      <c r="M95" t="str">
        <f>VLOOKUP(fact_daily_prices[[#This Row],[Ticker]], dim_company[], 2, FALSE)</f>
        <v>Apple Inc.</v>
      </c>
      <c r="N95" t="str">
        <f>VLOOKUP(fact_daily_prices[[#This Row],[Ticker]], dim_company[], 3, FALSE)</f>
        <v>Technology</v>
      </c>
    </row>
    <row r="96" spans="1:14" x14ac:dyDescent="0.3">
      <c r="A96" s="1">
        <v>45610</v>
      </c>
      <c r="B96">
        <v>226.77114868164065</v>
      </c>
      <c r="C96">
        <v>227.41701609796439</v>
      </c>
      <c r="D96">
        <v>223.571589608512</v>
      </c>
      <c r="E96">
        <v>223.59146688403663</v>
      </c>
      <c r="F96">
        <v>44923900</v>
      </c>
      <c r="G96" s="2" t="s">
        <v>12</v>
      </c>
      <c r="H96">
        <v>1.3770445194280612</v>
      </c>
      <c r="I96">
        <v>103.24330873233032</v>
      </c>
      <c r="J96">
        <v>225.29158508300782</v>
      </c>
      <c r="K96">
        <v>1.1798864701013905</v>
      </c>
      <c r="L96">
        <v>0</v>
      </c>
      <c r="M96" t="str">
        <f>VLOOKUP(fact_daily_prices[[#This Row],[Ticker]], dim_company[], 2, FALSE)</f>
        <v>Apple Inc.</v>
      </c>
      <c r="N96" t="str">
        <f>VLOOKUP(fact_daily_prices[[#This Row],[Ticker]], dim_company[], 3, FALSE)</f>
        <v>Technology</v>
      </c>
    </row>
    <row r="97" spans="1:14" x14ac:dyDescent="0.3">
      <c r="A97" s="1">
        <v>45611</v>
      </c>
      <c r="B97">
        <v>223.57157897949219</v>
      </c>
      <c r="C97">
        <v>225.47938796735369</v>
      </c>
      <c r="D97">
        <v>222.8462176574736</v>
      </c>
      <c r="E97">
        <v>224.96268496170848</v>
      </c>
      <c r="F97">
        <v>47923700</v>
      </c>
      <c r="G97" s="2" t="s">
        <v>12</v>
      </c>
      <c r="H97">
        <v>-1.4109245028521178</v>
      </c>
      <c r="I97">
        <v>101.78662359187061</v>
      </c>
      <c r="J97">
        <v>225.37947692871094</v>
      </c>
      <c r="K97">
        <v>1.2059190441363723</v>
      </c>
      <c r="L97">
        <v>0</v>
      </c>
      <c r="M97" t="str">
        <f>VLOOKUP(fact_daily_prices[[#This Row],[Ticker]], dim_company[], 2, FALSE)</f>
        <v>Apple Inc.</v>
      </c>
      <c r="N97" t="str">
        <f>VLOOKUP(fact_daily_prices[[#This Row],[Ticker]], dim_company[], 3, FALSE)</f>
        <v>Technology</v>
      </c>
    </row>
    <row r="98" spans="1:14" x14ac:dyDescent="0.3">
      <c r="A98" s="1">
        <v>45614</v>
      </c>
      <c r="B98">
        <v>226.57241821289065</v>
      </c>
      <c r="C98">
        <v>228.28149999782983</v>
      </c>
      <c r="D98">
        <v>223.74050538640265</v>
      </c>
      <c r="E98">
        <v>223.81999932546009</v>
      </c>
      <c r="F98">
        <v>44633700</v>
      </c>
      <c r="G98" s="2" t="s">
        <v>12</v>
      </c>
      <c r="H98">
        <v>1.3422275081188761</v>
      </c>
      <c r="I98">
        <v>103.15283165330611</v>
      </c>
      <c r="J98">
        <v>225.52559875488282</v>
      </c>
      <c r="K98">
        <v>1.1534243549965086</v>
      </c>
      <c r="L98">
        <v>0</v>
      </c>
      <c r="M98" t="str">
        <f>VLOOKUP(fact_daily_prices[[#This Row],[Ticker]], dim_company[], 2, FALSE)</f>
        <v>Apple Inc.</v>
      </c>
      <c r="N98" t="str">
        <f>VLOOKUP(fact_daily_prices[[#This Row],[Ticker]], dim_company[], 3, FALSE)</f>
        <v>Technology</v>
      </c>
    </row>
    <row r="99" spans="1:14" x14ac:dyDescent="0.3">
      <c r="A99" s="1">
        <v>45615</v>
      </c>
      <c r="B99">
        <v>226.83078002929688</v>
      </c>
      <c r="C99">
        <v>228.69884983965085</v>
      </c>
      <c r="D99">
        <v>225.22106933173129</v>
      </c>
      <c r="E99">
        <v>225.53902995111423</v>
      </c>
      <c r="F99">
        <v>36211800</v>
      </c>
      <c r="G99" s="2" t="s">
        <v>12</v>
      </c>
      <c r="H99">
        <v>0.11403056843550807</v>
      </c>
      <c r="I99">
        <v>103.27045741359771</v>
      </c>
      <c r="J99">
        <v>225.69276885986329</v>
      </c>
      <c r="K99">
        <v>1.1058902408955995</v>
      </c>
      <c r="L99">
        <v>0</v>
      </c>
      <c r="M99" t="str">
        <f>VLOOKUP(fact_daily_prices[[#This Row],[Ticker]], dim_company[], 2, FALSE)</f>
        <v>Apple Inc.</v>
      </c>
      <c r="N99" t="str">
        <f>VLOOKUP(fact_daily_prices[[#This Row],[Ticker]], dim_company[], 3, FALSE)</f>
        <v>Technology</v>
      </c>
    </row>
    <row r="100" spans="1:14" x14ac:dyDescent="0.3">
      <c r="A100" s="1">
        <v>45616</v>
      </c>
      <c r="B100">
        <v>227.54618835449219</v>
      </c>
      <c r="C100">
        <v>228.47027695087479</v>
      </c>
      <c r="D100">
        <v>224.45593165289552</v>
      </c>
      <c r="E100">
        <v>226.61215353970653</v>
      </c>
      <c r="F100">
        <v>35169600</v>
      </c>
      <c r="G100" s="2" t="s">
        <v>12</v>
      </c>
      <c r="H100">
        <v>0.31539296611460266</v>
      </c>
      <c r="I100">
        <v>103.59616517235457</v>
      </c>
      <c r="J100">
        <v>225.82362640380859</v>
      </c>
      <c r="K100">
        <v>1.0641913327195895</v>
      </c>
      <c r="L100">
        <v>0</v>
      </c>
      <c r="M100" t="str">
        <f>VLOOKUP(fact_daily_prices[[#This Row],[Ticker]], dim_company[], 2, FALSE)</f>
        <v>Apple Inc.</v>
      </c>
      <c r="N100" t="str">
        <f>VLOOKUP(fact_daily_prices[[#This Row],[Ticker]], dim_company[], 3, FALSE)</f>
        <v>Technology</v>
      </c>
    </row>
    <row r="101" spans="1:14" x14ac:dyDescent="0.3">
      <c r="A101" s="1">
        <v>45617</v>
      </c>
      <c r="B101">
        <v>227.06922912597656</v>
      </c>
      <c r="C101">
        <v>228.69881686539628</v>
      </c>
      <c r="D101">
        <v>224.27707103239013</v>
      </c>
      <c r="E101">
        <v>227.42694424740611</v>
      </c>
      <c r="F101">
        <v>42108300</v>
      </c>
      <c r="G101" s="2" t="s">
        <v>12</v>
      </c>
      <c r="H101">
        <v>-0.20960985194468096</v>
      </c>
      <c r="I101">
        <v>103.37901740391642</v>
      </c>
      <c r="J101">
        <v>225.94276153564454</v>
      </c>
      <c r="K101">
        <v>1.0641340552497498</v>
      </c>
      <c r="L101">
        <v>0</v>
      </c>
      <c r="M101" t="str">
        <f>VLOOKUP(fact_daily_prices[[#This Row],[Ticker]], dim_company[], 2, FALSE)</f>
        <v>Apple Inc.</v>
      </c>
      <c r="N101" t="str">
        <f>VLOOKUP(fact_daily_prices[[#This Row],[Ticker]], dim_company[], 3, FALSE)</f>
        <v>Technology</v>
      </c>
    </row>
    <row r="102" spans="1:14" x14ac:dyDescent="0.3">
      <c r="A102" s="1">
        <v>45618</v>
      </c>
      <c r="B102">
        <v>228.41067504882807</v>
      </c>
      <c r="C102">
        <v>229.25528492407807</v>
      </c>
      <c r="D102">
        <v>226.61216818417896</v>
      </c>
      <c r="E102">
        <v>226.61216818417896</v>
      </c>
      <c r="F102">
        <v>38168300</v>
      </c>
      <c r="G102" s="2" t="s">
        <v>12</v>
      </c>
      <c r="H102">
        <v>0.59076517237273141</v>
      </c>
      <c r="I102">
        <v>103.9897446342799</v>
      </c>
      <c r="J102">
        <v>226.09408569335938</v>
      </c>
      <c r="K102">
        <v>1.0620347213720949</v>
      </c>
      <c r="L102">
        <v>0</v>
      </c>
      <c r="M102" t="str">
        <f>VLOOKUP(fact_daily_prices[[#This Row],[Ticker]], dim_company[], 2, FALSE)</f>
        <v>Apple Inc.</v>
      </c>
      <c r="N102" t="str">
        <f>VLOOKUP(fact_daily_prices[[#This Row],[Ticker]], dim_company[], 3, FALSE)</f>
        <v>Technology</v>
      </c>
    </row>
    <row r="103" spans="1:14" x14ac:dyDescent="0.3">
      <c r="A103" s="1">
        <v>45621</v>
      </c>
      <c r="B103">
        <v>231.39161682128903</v>
      </c>
      <c r="C103">
        <v>231.7692092379923</v>
      </c>
      <c r="D103">
        <v>228.28149797848931</v>
      </c>
      <c r="E103">
        <v>229.99057974831032</v>
      </c>
      <c r="F103">
        <v>90152800</v>
      </c>
      <c r="G103" s="2" t="s">
        <v>12</v>
      </c>
      <c r="H103">
        <v>1.3050798837767719</v>
      </c>
      <c r="I103">
        <v>105.34689387269272</v>
      </c>
      <c r="J103">
        <v>226.42770843505861</v>
      </c>
      <c r="K103">
        <v>1.0458868304810949</v>
      </c>
      <c r="L103">
        <v>1</v>
      </c>
      <c r="M103" t="str">
        <f>VLOOKUP(fact_daily_prices[[#This Row],[Ticker]], dim_company[], 2, FALSE)</f>
        <v>Apple Inc.</v>
      </c>
      <c r="N103" t="str">
        <f>VLOOKUP(fact_daily_prices[[#This Row],[Ticker]], dim_company[], 3, FALSE)</f>
        <v>Technology</v>
      </c>
    </row>
    <row r="104" spans="1:14" x14ac:dyDescent="0.3">
      <c r="A104" s="1">
        <v>45622</v>
      </c>
      <c r="B104">
        <v>233.56771850585929</v>
      </c>
      <c r="C104">
        <v>234.07449047305911</v>
      </c>
      <c r="D104">
        <v>231.84870566104107</v>
      </c>
      <c r="E104">
        <v>231.84870566104107</v>
      </c>
      <c r="F104">
        <v>45986200</v>
      </c>
      <c r="G104" s="2" t="s">
        <v>12</v>
      </c>
      <c r="H104">
        <v>0.94044102135770746</v>
      </c>
      <c r="I104">
        <v>106.33761927739769</v>
      </c>
      <c r="J104">
        <v>226.79552337646484</v>
      </c>
      <c r="K104">
        <v>1.0405708388544306</v>
      </c>
      <c r="L104">
        <v>0</v>
      </c>
      <c r="M104" t="str">
        <f>VLOOKUP(fact_daily_prices[[#This Row],[Ticker]], dim_company[], 2, FALSE)</f>
        <v>Apple Inc.</v>
      </c>
      <c r="N104" t="str">
        <f>VLOOKUP(fact_daily_prices[[#This Row],[Ticker]], dim_company[], 3, FALSE)</f>
        <v>Technology</v>
      </c>
    </row>
    <row r="105" spans="1:14" x14ac:dyDescent="0.3">
      <c r="A105" s="1">
        <v>45623</v>
      </c>
      <c r="B105">
        <v>233.43853759765625</v>
      </c>
      <c r="C105">
        <v>234.19372243475061</v>
      </c>
      <c r="D105">
        <v>232.32565277909848</v>
      </c>
      <c r="E105">
        <v>232.98146640228509</v>
      </c>
      <c r="F105">
        <v>33498400</v>
      </c>
      <c r="G105" s="2" t="s">
        <v>12</v>
      </c>
      <c r="H105">
        <v>-5.5307689362815715E-2</v>
      </c>
      <c r="I105">
        <v>106.27880639725194</v>
      </c>
      <c r="J105">
        <v>227.08333496093749</v>
      </c>
      <c r="K105">
        <v>1.0264438220463978</v>
      </c>
      <c r="L105">
        <v>0</v>
      </c>
      <c r="M105" t="str">
        <f>VLOOKUP(fact_daily_prices[[#This Row],[Ticker]], dim_company[], 2, FALSE)</f>
        <v>Apple Inc.</v>
      </c>
      <c r="N105" t="str">
        <f>VLOOKUP(fact_daily_prices[[#This Row],[Ticker]], dim_company[], 3, FALSE)</f>
        <v>Technology</v>
      </c>
    </row>
    <row r="106" spans="1:14" x14ac:dyDescent="0.3">
      <c r="A106" s="1">
        <v>45625</v>
      </c>
      <c r="B106">
        <v>235.8233337402344</v>
      </c>
      <c r="C106">
        <v>236.30028225823045</v>
      </c>
      <c r="D106">
        <v>232.48466379042171</v>
      </c>
      <c r="E106">
        <v>233.31932748739487</v>
      </c>
      <c r="F106">
        <v>28481400</v>
      </c>
      <c r="G106" s="2" t="s">
        <v>12</v>
      </c>
      <c r="H106">
        <v>1.0215948776583161</v>
      </c>
      <c r="I106">
        <v>107.36454523944268</v>
      </c>
      <c r="J106">
        <v>227.25645996093749</v>
      </c>
      <c r="K106">
        <v>1.0414631690570475</v>
      </c>
      <c r="L106">
        <v>0</v>
      </c>
      <c r="M106" t="str">
        <f>VLOOKUP(fact_daily_prices[[#This Row],[Ticker]], dim_company[], 2, FALSE)</f>
        <v>Apple Inc.</v>
      </c>
      <c r="N106" t="str">
        <f>VLOOKUP(fact_daily_prices[[#This Row],[Ticker]], dim_company[], 3, FALSE)</f>
        <v>Technology</v>
      </c>
    </row>
    <row r="107" spans="1:14" x14ac:dyDescent="0.3">
      <c r="A107" s="1">
        <v>45628</v>
      </c>
      <c r="B107">
        <v>238.0689697265625</v>
      </c>
      <c r="C107">
        <v>239.26134854667043</v>
      </c>
      <c r="D107">
        <v>235.65440375298792</v>
      </c>
      <c r="E107">
        <v>235.76370602927639</v>
      </c>
      <c r="F107">
        <v>48137100</v>
      </c>
      <c r="G107" s="2" t="s">
        <v>12</v>
      </c>
      <c r="H107">
        <v>0.952253515677004</v>
      </c>
      <c r="I107">
        <v>108.38692789607589</v>
      </c>
      <c r="J107">
        <v>227.4877978515625</v>
      </c>
      <c r="K107">
        <v>1.0321936249956409</v>
      </c>
      <c r="L107">
        <v>0</v>
      </c>
      <c r="M107" t="str">
        <f>VLOOKUP(fact_daily_prices[[#This Row],[Ticker]], dim_company[], 2, FALSE)</f>
        <v>Apple Inc.</v>
      </c>
      <c r="N107" t="str">
        <f>VLOOKUP(fact_daily_prices[[#This Row],[Ticker]], dim_company[], 3, FALSE)</f>
        <v>Technology</v>
      </c>
    </row>
    <row r="108" spans="1:14" x14ac:dyDescent="0.3">
      <c r="A108" s="1">
        <v>45629</v>
      </c>
      <c r="B108">
        <v>241.10954284667969</v>
      </c>
      <c r="C108">
        <v>241.21884512379424</v>
      </c>
      <c r="D108">
        <v>237.38334952948239</v>
      </c>
      <c r="E108">
        <v>238.2875760799829</v>
      </c>
      <c r="F108">
        <v>38861000</v>
      </c>
      <c r="G108" s="2" t="s">
        <v>12</v>
      </c>
      <c r="H108">
        <v>1.2771816182552076</v>
      </c>
      <c r="I108">
        <v>109.7712258157561</v>
      </c>
      <c r="J108">
        <v>227.81428955078124</v>
      </c>
      <c r="K108">
        <v>1.0508277662581951</v>
      </c>
      <c r="L108">
        <v>0</v>
      </c>
      <c r="M108" t="str">
        <f>VLOOKUP(fact_daily_prices[[#This Row],[Ticker]], dim_company[], 2, FALSE)</f>
        <v>Apple Inc.</v>
      </c>
      <c r="N108" t="str">
        <f>VLOOKUP(fact_daily_prices[[#This Row],[Ticker]], dim_company[], 3, FALSE)</f>
        <v>Technology</v>
      </c>
    </row>
    <row r="109" spans="1:14" x14ac:dyDescent="0.3">
      <c r="A109" s="1">
        <v>45630</v>
      </c>
      <c r="B109">
        <v>241.46725463867188</v>
      </c>
      <c r="C109">
        <v>242.56027739454964</v>
      </c>
      <c r="D109">
        <v>239.71843339118669</v>
      </c>
      <c r="E109">
        <v>241.32814402991647</v>
      </c>
      <c r="F109">
        <v>44383900</v>
      </c>
      <c r="G109" s="2" t="s">
        <v>12</v>
      </c>
      <c r="H109">
        <v>0.14836069438348698</v>
      </c>
      <c r="I109">
        <v>109.93408316860962</v>
      </c>
      <c r="J109">
        <v>228.1300698852539</v>
      </c>
      <c r="K109">
        <v>1.0486881768792993</v>
      </c>
      <c r="L109">
        <v>0</v>
      </c>
      <c r="M109" t="str">
        <f>VLOOKUP(fact_daily_prices[[#This Row],[Ticker]], dim_company[], 2, FALSE)</f>
        <v>Apple Inc.</v>
      </c>
      <c r="N109" t="str">
        <f>VLOOKUP(fact_daily_prices[[#This Row],[Ticker]], dim_company[], 3, FALSE)</f>
        <v>Technology</v>
      </c>
    </row>
    <row r="110" spans="1:14" x14ac:dyDescent="0.3">
      <c r="A110" s="1">
        <v>45631</v>
      </c>
      <c r="B110">
        <v>241.4970703125</v>
      </c>
      <c r="C110">
        <v>242.98754766386449</v>
      </c>
      <c r="D110">
        <v>240.59285890906449</v>
      </c>
      <c r="E110">
        <v>242.44105143123323</v>
      </c>
      <c r="F110">
        <v>40033900</v>
      </c>
      <c r="G110" s="2" t="s">
        <v>12</v>
      </c>
      <c r="H110">
        <v>1.2347708956528258E-2</v>
      </c>
      <c r="I110">
        <v>109.94765750924331</v>
      </c>
      <c r="J110">
        <v>228.46629760742186</v>
      </c>
      <c r="K110">
        <v>0.95749909578753145</v>
      </c>
      <c r="L110">
        <v>0</v>
      </c>
      <c r="M110" t="str">
        <f>VLOOKUP(fact_daily_prices[[#This Row],[Ticker]], dim_company[], 2, FALSE)</f>
        <v>Apple Inc.</v>
      </c>
      <c r="N110" t="str">
        <f>VLOOKUP(fact_daily_prices[[#This Row],[Ticker]], dim_company[], 3, FALSE)</f>
        <v>Technology</v>
      </c>
    </row>
    <row r="111" spans="1:14" x14ac:dyDescent="0.3">
      <c r="A111" s="1">
        <v>45632</v>
      </c>
      <c r="B111">
        <v>241.29832458496091</v>
      </c>
      <c r="C111">
        <v>243.0769692456264</v>
      </c>
      <c r="D111">
        <v>240.54315490962409</v>
      </c>
      <c r="E111">
        <v>241.36788746709487</v>
      </c>
      <c r="F111">
        <v>36870600</v>
      </c>
      <c r="G111" s="2" t="s">
        <v>12</v>
      </c>
      <c r="H111">
        <v>-8.2297365877737061E-2</v>
      </c>
      <c r="I111">
        <v>109.85717348326894</v>
      </c>
      <c r="J111">
        <v>228.77572174072264</v>
      </c>
      <c r="K111">
        <v>0.9574987987011423</v>
      </c>
      <c r="L111">
        <v>0</v>
      </c>
      <c r="M111" t="str">
        <f>VLOOKUP(fact_daily_prices[[#This Row],[Ticker]], dim_company[], 2, FALSE)</f>
        <v>Apple Inc.</v>
      </c>
      <c r="N111" t="str">
        <f>VLOOKUP(fact_daily_prices[[#This Row],[Ticker]], dim_company[], 3, FALSE)</f>
        <v>Technology</v>
      </c>
    </row>
    <row r="112" spans="1:14" x14ac:dyDescent="0.3">
      <c r="A112" s="1">
        <v>45635</v>
      </c>
      <c r="B112">
        <v>245.1835021972656</v>
      </c>
      <c r="C112">
        <v>245.67039687977771</v>
      </c>
      <c r="D112">
        <v>240.21524480725009</v>
      </c>
      <c r="E112">
        <v>240.29473874492049</v>
      </c>
      <c r="F112">
        <v>44649200</v>
      </c>
      <c r="G112" s="2" t="s">
        <v>12</v>
      </c>
      <c r="H112">
        <v>1.6101137954386058</v>
      </c>
      <c r="I112">
        <v>111.62599898880197</v>
      </c>
      <c r="J112">
        <v>229.15748931884767</v>
      </c>
      <c r="K112">
        <v>0.99210921591505941</v>
      </c>
      <c r="L112">
        <v>0</v>
      </c>
      <c r="M112" t="str">
        <f>VLOOKUP(fact_daily_prices[[#This Row],[Ticker]], dim_company[], 2, FALSE)</f>
        <v>Apple Inc.</v>
      </c>
      <c r="N112" t="str">
        <f>VLOOKUP(fact_daily_prices[[#This Row],[Ticker]], dim_company[], 3, FALSE)</f>
        <v>Technology</v>
      </c>
    </row>
    <row r="113" spans="1:14" x14ac:dyDescent="0.3">
      <c r="A113" s="1">
        <v>45636</v>
      </c>
      <c r="B113">
        <v>246.19703674316409</v>
      </c>
      <c r="C113">
        <v>246.63424582967983</v>
      </c>
      <c r="D113">
        <v>243.7824557106041</v>
      </c>
      <c r="E113">
        <v>245.32261857013248</v>
      </c>
      <c r="F113">
        <v>36914800</v>
      </c>
      <c r="G113" s="2" t="s">
        <v>12</v>
      </c>
      <c r="H113">
        <v>0.41337795439557734</v>
      </c>
      <c r="I113">
        <v>112.08743625999551</v>
      </c>
      <c r="J113">
        <v>229.45610260009767</v>
      </c>
      <c r="K113">
        <v>0.98554579490049243</v>
      </c>
      <c r="L113">
        <v>0</v>
      </c>
      <c r="M113" t="str">
        <f>VLOOKUP(fact_daily_prices[[#This Row],[Ticker]], dim_company[], 2, FALSE)</f>
        <v>Apple Inc.</v>
      </c>
      <c r="N113" t="str">
        <f>VLOOKUP(fact_daily_prices[[#This Row],[Ticker]], dim_company[], 3, FALSE)</f>
        <v>Technology</v>
      </c>
    </row>
    <row r="114" spans="1:14" x14ac:dyDescent="0.3">
      <c r="A114" s="1">
        <v>45637</v>
      </c>
      <c r="B114">
        <v>244.9251708984375</v>
      </c>
      <c r="C114">
        <v>249.20780656351599</v>
      </c>
      <c r="D114">
        <v>244.69662013013263</v>
      </c>
      <c r="E114">
        <v>246.3858398593606</v>
      </c>
      <c r="F114">
        <v>45205800</v>
      </c>
      <c r="G114" s="2" t="s">
        <v>12</v>
      </c>
      <c r="H114">
        <v>-0.51660485501838771</v>
      </c>
      <c r="I114">
        <v>111.50838712241074</v>
      </c>
      <c r="J114">
        <v>229.86406829833984</v>
      </c>
      <c r="K114">
        <v>0.994303921794358</v>
      </c>
      <c r="L114">
        <v>0</v>
      </c>
      <c r="M114" t="str">
        <f>VLOOKUP(fact_daily_prices[[#This Row],[Ticker]], dim_company[], 2, FALSE)</f>
        <v>Apple Inc.</v>
      </c>
      <c r="N114" t="str">
        <f>VLOOKUP(fact_daily_prices[[#This Row],[Ticker]], dim_company[], 3, FALSE)</f>
        <v>Technology</v>
      </c>
    </row>
    <row r="115" spans="1:14" x14ac:dyDescent="0.3">
      <c r="A115" s="1">
        <v>45638</v>
      </c>
      <c r="B115">
        <v>246.38584899902344</v>
      </c>
      <c r="C115">
        <v>247.16089600762041</v>
      </c>
      <c r="D115">
        <v>244.12030947937123</v>
      </c>
      <c r="E115">
        <v>245.32263454558529</v>
      </c>
      <c r="F115">
        <v>32777500</v>
      </c>
      <c r="G115" s="2" t="s">
        <v>12</v>
      </c>
      <c r="H115">
        <v>0.59637729157353547</v>
      </c>
      <c r="I115">
        <v>112.17339782140867</v>
      </c>
      <c r="J115">
        <v>230.28993255615234</v>
      </c>
      <c r="K115">
        <v>0.94227761699179691</v>
      </c>
      <c r="L115">
        <v>0</v>
      </c>
      <c r="M115" t="str">
        <f>VLOOKUP(fact_daily_prices[[#This Row],[Ticker]], dim_company[], 2, FALSE)</f>
        <v>Apple Inc.</v>
      </c>
      <c r="N115" t="str">
        <f>VLOOKUP(fact_daily_prices[[#This Row],[Ticker]], dim_company[], 3, FALSE)</f>
        <v>Technology</v>
      </c>
    </row>
    <row r="116" spans="1:14" x14ac:dyDescent="0.3">
      <c r="A116" s="1">
        <v>45639</v>
      </c>
      <c r="B116">
        <v>246.55474853515625</v>
      </c>
      <c r="C116">
        <v>247.70737273801879</v>
      </c>
      <c r="D116">
        <v>244.67674782957272</v>
      </c>
      <c r="E116">
        <v>246.24671899982584</v>
      </c>
      <c r="F116">
        <v>33155300</v>
      </c>
      <c r="G116" s="2" t="s">
        <v>12</v>
      </c>
      <c r="H116">
        <v>6.8550826607527426E-2</v>
      </c>
      <c r="I116">
        <v>112.25029361284902</v>
      </c>
      <c r="J116">
        <v>230.74121002197265</v>
      </c>
      <c r="K116">
        <v>0.85793872292866835</v>
      </c>
      <c r="L116">
        <v>0</v>
      </c>
      <c r="M116" t="str">
        <f>VLOOKUP(fact_daily_prices[[#This Row],[Ticker]], dim_company[], 2, FALSE)</f>
        <v>Apple Inc.</v>
      </c>
      <c r="N116" t="str">
        <f>VLOOKUP(fact_daily_prices[[#This Row],[Ticker]], dim_company[], 3, FALSE)</f>
        <v>Technology</v>
      </c>
    </row>
    <row r="117" spans="1:14" x14ac:dyDescent="0.3">
      <c r="A117" s="1">
        <v>45642</v>
      </c>
      <c r="B117">
        <v>249.44627380371091</v>
      </c>
      <c r="C117">
        <v>249.7841268474892</v>
      </c>
      <c r="D117">
        <v>246.07779571830559</v>
      </c>
      <c r="E117">
        <v>246.4156487620838</v>
      </c>
      <c r="F117">
        <v>51694800</v>
      </c>
      <c r="G117" s="2" t="s">
        <v>12</v>
      </c>
      <c r="H117">
        <v>1.1727720864164848</v>
      </c>
      <c r="I117">
        <v>113.56673372326105</v>
      </c>
      <c r="J117">
        <v>231.22788543701171</v>
      </c>
      <c r="K117">
        <v>0.81254166988065857</v>
      </c>
      <c r="L117">
        <v>0</v>
      </c>
      <c r="M117" t="str">
        <f>VLOOKUP(fact_daily_prices[[#This Row],[Ticker]], dim_company[], 2, FALSE)</f>
        <v>Apple Inc.</v>
      </c>
      <c r="N117" t="str">
        <f>VLOOKUP(fact_daily_prices[[#This Row],[Ticker]], dim_company[], 3, FALSE)</f>
        <v>Technology</v>
      </c>
    </row>
    <row r="118" spans="1:14" x14ac:dyDescent="0.3">
      <c r="A118" s="1">
        <v>45643</v>
      </c>
      <c r="B118">
        <v>251.87077331542969</v>
      </c>
      <c r="C118">
        <v>252.21855739876369</v>
      </c>
      <c r="D118">
        <v>248.19426586582333</v>
      </c>
      <c r="E118">
        <v>248.49236434269267</v>
      </c>
      <c r="F118">
        <v>51356400</v>
      </c>
      <c r="G118" s="2" t="s">
        <v>12</v>
      </c>
      <c r="H118">
        <v>0.97195258712368116</v>
      </c>
      <c r="I118">
        <v>114.67054852979615</v>
      </c>
      <c r="J118">
        <v>231.86449096679686</v>
      </c>
      <c r="K118">
        <v>0.80417194873009812</v>
      </c>
      <c r="L118">
        <v>0</v>
      </c>
      <c r="M118" t="str">
        <f>VLOOKUP(fact_daily_prices[[#This Row],[Ticker]], dim_company[], 2, FALSE)</f>
        <v>Apple Inc.</v>
      </c>
      <c r="N118" t="str">
        <f>VLOOKUP(fact_daily_prices[[#This Row],[Ticker]], dim_company[], 3, FALSE)</f>
        <v>Technology</v>
      </c>
    </row>
    <row r="119" spans="1:14" x14ac:dyDescent="0.3">
      <c r="A119" s="1">
        <v>45644</v>
      </c>
      <c r="B119">
        <v>246.47526550292969</v>
      </c>
      <c r="C119">
        <v>252.66571030089611</v>
      </c>
      <c r="D119">
        <v>246.16723595396931</v>
      </c>
      <c r="E119">
        <v>250.55917390522964</v>
      </c>
      <c r="F119">
        <v>56774100</v>
      </c>
      <c r="G119" s="2" t="s">
        <v>12</v>
      </c>
      <c r="H119">
        <v>-2.1421730443265674</v>
      </c>
      <c r="I119">
        <v>112.21410694940943</v>
      </c>
      <c r="J119">
        <v>232.31219299316408</v>
      </c>
      <c r="K119">
        <v>0.93167305551642021</v>
      </c>
      <c r="L119">
        <v>0</v>
      </c>
      <c r="M119" t="str">
        <f>VLOOKUP(fact_daily_prices[[#This Row],[Ticker]], dim_company[], 2, FALSE)</f>
        <v>Apple Inc.</v>
      </c>
      <c r="N119" t="str">
        <f>VLOOKUP(fact_daily_prices[[#This Row],[Ticker]], dim_company[], 3, FALSE)</f>
        <v>Technology</v>
      </c>
    </row>
    <row r="120" spans="1:14" x14ac:dyDescent="0.3">
      <c r="A120" s="1">
        <v>45645</v>
      </c>
      <c r="B120">
        <v>248.2041931152344</v>
      </c>
      <c r="C120">
        <v>250.40016952717301</v>
      </c>
      <c r="D120">
        <v>245.52133718839829</v>
      </c>
      <c r="E120">
        <v>245.92873792847348</v>
      </c>
      <c r="F120">
        <v>60882300</v>
      </c>
      <c r="G120" s="2" t="s">
        <v>12</v>
      </c>
      <c r="H120">
        <v>0.70146089863292183</v>
      </c>
      <c r="I120">
        <v>113.00124503240967</v>
      </c>
      <c r="J120">
        <v>232.71963500976563</v>
      </c>
      <c r="K120">
        <v>0.92455358091414575</v>
      </c>
      <c r="L120">
        <v>0</v>
      </c>
      <c r="M120" t="str">
        <f>VLOOKUP(fact_daily_prices[[#This Row],[Ticker]], dim_company[], 2, FALSE)</f>
        <v>Apple Inc.</v>
      </c>
      <c r="N120" t="str">
        <f>VLOOKUP(fact_daily_prices[[#This Row],[Ticker]], dim_company[], 3, FALSE)</f>
        <v>Technology</v>
      </c>
    </row>
    <row r="121" spans="1:14" x14ac:dyDescent="0.3">
      <c r="A121" s="1">
        <v>45646</v>
      </c>
      <c r="B121">
        <v>252.8743896484375</v>
      </c>
      <c r="C121">
        <v>253.3811464831127</v>
      </c>
      <c r="D121">
        <v>244.13025293349912</v>
      </c>
      <c r="E121">
        <v>246.4653249902114</v>
      </c>
      <c r="F121">
        <v>147495300</v>
      </c>
      <c r="G121" s="2" t="s">
        <v>12</v>
      </c>
      <c r="H121">
        <v>1.8815945349621277</v>
      </c>
      <c r="I121">
        <v>115.12747028337864</v>
      </c>
      <c r="J121">
        <v>233.23040649414062</v>
      </c>
      <c r="K121">
        <v>0.90895013933609614</v>
      </c>
      <c r="L121">
        <v>1</v>
      </c>
      <c r="M121" t="str">
        <f>VLOOKUP(fact_daily_prices[[#This Row],[Ticker]], dim_company[], 2, FALSE)</f>
        <v>Apple Inc.</v>
      </c>
      <c r="N121" t="str">
        <f>VLOOKUP(fact_daily_prices[[#This Row],[Ticker]], dim_company[], 3, FALSE)</f>
        <v>Technology</v>
      </c>
    </row>
    <row r="122" spans="1:14" x14ac:dyDescent="0.3">
      <c r="A122" s="1">
        <v>45649</v>
      </c>
      <c r="B122">
        <v>253.64942932128903</v>
      </c>
      <c r="C122">
        <v>254.02700659111463</v>
      </c>
      <c r="D122">
        <v>251.84097626600601</v>
      </c>
      <c r="E122">
        <v>253.15260355822247</v>
      </c>
      <c r="F122">
        <v>40858800</v>
      </c>
      <c r="G122" s="2" t="s">
        <v>12</v>
      </c>
      <c r="H122">
        <v>0.30649195987344502</v>
      </c>
      <c r="I122">
        <v>115.4803267234029</v>
      </c>
      <c r="J122">
        <v>233.78625671386717</v>
      </c>
      <c r="K122">
        <v>0.90416748226057375</v>
      </c>
      <c r="L122">
        <v>0</v>
      </c>
      <c r="M122" t="str">
        <f>VLOOKUP(fact_daily_prices[[#This Row],[Ticker]], dim_company[], 2, FALSE)</f>
        <v>Apple Inc.</v>
      </c>
      <c r="N122" t="str">
        <f>VLOOKUP(fact_daily_prices[[#This Row],[Ticker]], dim_company[], 3, FALSE)</f>
        <v>Technology</v>
      </c>
    </row>
    <row r="123" spans="1:14" x14ac:dyDescent="0.3">
      <c r="A123" s="1">
        <v>45650</v>
      </c>
      <c r="B123">
        <v>256.56085205078125</v>
      </c>
      <c r="C123">
        <v>256.57076794644621</v>
      </c>
      <c r="D123">
        <v>253.66930713005149</v>
      </c>
      <c r="E123">
        <v>253.86804957710976</v>
      </c>
      <c r="F123">
        <v>23234700</v>
      </c>
      <c r="G123" s="2" t="s">
        <v>12</v>
      </c>
      <c r="H123">
        <v>1.1478136328879396</v>
      </c>
      <c r="I123">
        <v>116.80582565683765</v>
      </c>
      <c r="J123">
        <v>234.32589324951172</v>
      </c>
      <c r="K123">
        <v>0.86163667850011216</v>
      </c>
      <c r="L123">
        <v>0</v>
      </c>
      <c r="M123" t="str">
        <f>VLOOKUP(fact_daily_prices[[#This Row],[Ticker]], dim_company[], 2, FALSE)</f>
        <v>Apple Inc.</v>
      </c>
      <c r="N123" t="str">
        <f>VLOOKUP(fact_daily_prices[[#This Row],[Ticker]], dim_company[], 3, FALSE)</f>
        <v>Technology</v>
      </c>
    </row>
    <row r="124" spans="1:14" x14ac:dyDescent="0.3">
      <c r="A124" s="1">
        <v>45652</v>
      </c>
      <c r="B124">
        <v>257.37557983398438</v>
      </c>
      <c r="C124">
        <v>258.44874034869082</v>
      </c>
      <c r="D124">
        <v>255.99442012888889</v>
      </c>
      <c r="E124">
        <v>256.55086249805703</v>
      </c>
      <c r="F124">
        <v>27237100</v>
      </c>
      <c r="G124" s="2" t="s">
        <v>12</v>
      </c>
      <c r="H124">
        <v>0.31755732672802406</v>
      </c>
      <c r="I124">
        <v>117.17675111425612</v>
      </c>
      <c r="J124">
        <v>234.83120391845702</v>
      </c>
      <c r="K124">
        <v>0.85754210926121877</v>
      </c>
      <c r="L124">
        <v>0</v>
      </c>
      <c r="M124" t="str">
        <f>VLOOKUP(fact_daily_prices[[#This Row],[Ticker]], dim_company[], 2, FALSE)</f>
        <v>Apple Inc.</v>
      </c>
      <c r="N124" t="str">
        <f>VLOOKUP(fact_daily_prices[[#This Row],[Ticker]], dim_company[], 3, FALSE)</f>
        <v>Technology</v>
      </c>
    </row>
    <row r="125" spans="1:14" x14ac:dyDescent="0.3">
      <c r="A125" s="1">
        <v>45653</v>
      </c>
      <c r="B125">
        <v>253.96739196777344</v>
      </c>
      <c r="C125">
        <v>257.05766400729362</v>
      </c>
      <c r="D125">
        <v>251.45345479939439</v>
      </c>
      <c r="E125">
        <v>256.19316170058187</v>
      </c>
      <c r="F125">
        <v>42355300</v>
      </c>
      <c r="G125" s="2" t="s">
        <v>12</v>
      </c>
      <c r="H125">
        <v>-1.3242079409434782</v>
      </c>
      <c r="I125">
        <v>115.62508727106156</v>
      </c>
      <c r="J125">
        <v>235.30944366455077</v>
      </c>
      <c r="K125">
        <v>0.91904007547014632</v>
      </c>
      <c r="L125">
        <v>0</v>
      </c>
      <c r="M125" t="str">
        <f>VLOOKUP(fact_daily_prices[[#This Row],[Ticker]], dim_company[], 2, FALSE)</f>
        <v>Apple Inc.</v>
      </c>
      <c r="N125" t="str">
        <f>VLOOKUP(fact_daily_prices[[#This Row],[Ticker]], dim_company[], 3, FALSE)</f>
        <v>Technology</v>
      </c>
    </row>
    <row r="126" spans="1:14" x14ac:dyDescent="0.3">
      <c r="A126" s="1">
        <v>45656</v>
      </c>
      <c r="B126">
        <v>250.59892272949219</v>
      </c>
      <c r="C126">
        <v>251.89067280188581</v>
      </c>
      <c r="D126">
        <v>249.15813098648081</v>
      </c>
      <c r="E126">
        <v>250.62873106361576</v>
      </c>
      <c r="F126">
        <v>35557500</v>
      </c>
      <c r="G126" s="2" t="s">
        <v>12</v>
      </c>
      <c r="H126">
        <v>-1.3263392643370064</v>
      </c>
      <c r="I126">
        <v>114.09150633916154</v>
      </c>
      <c r="J126">
        <v>235.71296844482421</v>
      </c>
      <c r="K126">
        <v>0.95463435231534965</v>
      </c>
      <c r="L126">
        <v>0</v>
      </c>
      <c r="M126" t="str">
        <f>VLOOKUP(fact_daily_prices[[#This Row],[Ticker]], dim_company[], 2, FALSE)</f>
        <v>Apple Inc.</v>
      </c>
      <c r="N126" t="str">
        <f>VLOOKUP(fact_daily_prices[[#This Row],[Ticker]], dim_company[], 3, FALSE)</f>
        <v>Technology</v>
      </c>
    </row>
    <row r="127" spans="1:14" x14ac:dyDescent="0.3">
      <c r="A127" s="1">
        <v>45657</v>
      </c>
      <c r="B127">
        <v>248.8302001953125</v>
      </c>
      <c r="C127">
        <v>251.67204401623761</v>
      </c>
      <c r="D127">
        <v>247.84647977817443</v>
      </c>
      <c r="E127">
        <v>250.83738041728799</v>
      </c>
      <c r="F127">
        <v>39480700</v>
      </c>
      <c r="G127" s="2" t="s">
        <v>12</v>
      </c>
      <c r="H127">
        <v>-0.70579813947920789</v>
      </c>
      <c r="I127">
        <v>113.28625061011594</v>
      </c>
      <c r="J127">
        <v>236.02454284667968</v>
      </c>
      <c r="K127">
        <v>0.91806894368433323</v>
      </c>
      <c r="L127">
        <v>0</v>
      </c>
      <c r="M127" t="str">
        <f>VLOOKUP(fact_daily_prices[[#This Row],[Ticker]], dim_company[], 2, FALSE)</f>
        <v>Apple Inc.</v>
      </c>
      <c r="N127" t="str">
        <f>VLOOKUP(fact_daily_prices[[#This Row],[Ticker]], dim_company[], 3, FALSE)</f>
        <v>Technology</v>
      </c>
    </row>
    <row r="128" spans="1:14" x14ac:dyDescent="0.3">
      <c r="A128" s="1">
        <v>45659</v>
      </c>
      <c r="B128">
        <v>242.30192565917969</v>
      </c>
      <c r="C128">
        <v>247.51859606258611</v>
      </c>
      <c r="D128">
        <v>240.28481431614929</v>
      </c>
      <c r="E128">
        <v>247.34966196417784</v>
      </c>
      <c r="F128">
        <v>55740700</v>
      </c>
      <c r="G128" s="2" t="s">
        <v>12</v>
      </c>
      <c r="H128">
        <v>-2.6235860964660351</v>
      </c>
      <c r="I128">
        <v>110.31408828990128</v>
      </c>
      <c r="J128">
        <v>236.17617187499999</v>
      </c>
      <c r="K128">
        <v>1.0482732837277875</v>
      </c>
      <c r="L128">
        <v>0</v>
      </c>
      <c r="M128" t="str">
        <f>VLOOKUP(fact_daily_prices[[#This Row],[Ticker]], dim_company[], 2, FALSE)</f>
        <v>Apple Inc.</v>
      </c>
      <c r="N128" t="str">
        <f>VLOOKUP(fact_daily_prices[[#This Row],[Ticker]], dim_company[], 3, FALSE)</f>
        <v>Technology</v>
      </c>
    </row>
    <row r="129" spans="1:14" x14ac:dyDescent="0.3">
      <c r="A129" s="1">
        <v>45660</v>
      </c>
      <c r="B129">
        <v>241.8150329589844</v>
      </c>
      <c r="C129">
        <v>242.62981931594803</v>
      </c>
      <c r="D129">
        <v>240.35436402102189</v>
      </c>
      <c r="E129">
        <v>241.8150329589844</v>
      </c>
      <c r="F129">
        <v>40244100</v>
      </c>
      <c r="G129" s="2" t="s">
        <v>12</v>
      </c>
      <c r="H129">
        <v>-0.20094462677946456</v>
      </c>
      <c r="I129">
        <v>110.09241805690198</v>
      </c>
      <c r="J129">
        <v>236.33037078857421</v>
      </c>
      <c r="K129">
        <v>1.0510414897323683</v>
      </c>
      <c r="L129">
        <v>0</v>
      </c>
      <c r="M129" t="str">
        <f>VLOOKUP(fact_daily_prices[[#This Row],[Ticker]], dim_company[], 2, FALSE)</f>
        <v>Apple Inc.</v>
      </c>
      <c r="N129" t="str">
        <f>VLOOKUP(fact_daily_prices[[#This Row],[Ticker]], dim_company[], 3, FALSE)</f>
        <v>Technology</v>
      </c>
    </row>
    <row r="130" spans="1:14" x14ac:dyDescent="0.3">
      <c r="A130" s="1">
        <v>45663</v>
      </c>
      <c r="B130">
        <v>243.44461059570313</v>
      </c>
      <c r="C130">
        <v>245.75982034447205</v>
      </c>
      <c r="D130">
        <v>241.65603491404491</v>
      </c>
      <c r="E130">
        <v>242.75898865424097</v>
      </c>
      <c r="F130">
        <v>45045600</v>
      </c>
      <c r="G130" s="2" t="s">
        <v>12</v>
      </c>
      <c r="H130">
        <v>0.67389426404897979</v>
      </c>
      <c r="I130">
        <v>110.83432454734023</v>
      </c>
      <c r="J130">
        <v>236.61840240478514</v>
      </c>
      <c r="K130">
        <v>1.0542106059410654</v>
      </c>
      <c r="L130">
        <v>0</v>
      </c>
      <c r="M130" t="str">
        <f>VLOOKUP(fact_daily_prices[[#This Row],[Ticker]], dim_company[], 2, FALSE)</f>
        <v>Apple Inc.</v>
      </c>
      <c r="N130" t="str">
        <f>VLOOKUP(fact_daily_prices[[#This Row],[Ticker]], dim_company[], 3, FALSE)</f>
        <v>Technology</v>
      </c>
    </row>
    <row r="131" spans="1:14" x14ac:dyDescent="0.3">
      <c r="A131" s="1">
        <v>45664</v>
      </c>
      <c r="B131">
        <v>240.67233276367188</v>
      </c>
      <c r="C131">
        <v>243.99112508347835</v>
      </c>
      <c r="D131">
        <v>239.81779188041267</v>
      </c>
      <c r="E131">
        <v>241.43743349025635</v>
      </c>
      <c r="F131">
        <v>40856000</v>
      </c>
      <c r="G131" s="2" t="s">
        <v>12</v>
      </c>
      <c r="H131">
        <v>-1.1387714951863415</v>
      </c>
      <c r="I131">
        <v>109.57217485251283</v>
      </c>
      <c r="J131">
        <v>236.85475982666014</v>
      </c>
      <c r="K131">
        <v>1.0809059464625377</v>
      </c>
      <c r="L131">
        <v>0</v>
      </c>
      <c r="M131" t="str">
        <f>VLOOKUP(fact_daily_prices[[#This Row],[Ticker]], dim_company[], 2, FALSE)</f>
        <v>Apple Inc.</v>
      </c>
      <c r="N131" t="str">
        <f>VLOOKUP(fact_daily_prices[[#This Row],[Ticker]], dim_company[], 3, FALSE)</f>
        <v>Technology</v>
      </c>
    </row>
    <row r="132" spans="1:14" x14ac:dyDescent="0.3">
      <c r="A132" s="1">
        <v>45665</v>
      </c>
      <c r="B132">
        <v>241.15922546386719</v>
      </c>
      <c r="C132">
        <v>242.16282322180621</v>
      </c>
      <c r="D132">
        <v>238.52605495049289</v>
      </c>
      <c r="E132">
        <v>240.38417847646195</v>
      </c>
      <c r="F132">
        <v>37628900</v>
      </c>
      <c r="G132" s="2" t="s">
        <v>12</v>
      </c>
      <c r="H132">
        <v>0.20230522329021117</v>
      </c>
      <c r="I132">
        <v>109.79384508551213</v>
      </c>
      <c r="J132">
        <v>237.08417999267581</v>
      </c>
      <c r="K132">
        <v>1.0783847035189982</v>
      </c>
      <c r="L132">
        <v>0</v>
      </c>
      <c r="M132" t="str">
        <f>VLOOKUP(fact_daily_prices[[#This Row],[Ticker]], dim_company[], 2, FALSE)</f>
        <v>Apple Inc.</v>
      </c>
      <c r="N132" t="str">
        <f>VLOOKUP(fact_daily_prices[[#This Row],[Ticker]], dim_company[], 3, FALSE)</f>
        <v>Technology</v>
      </c>
    </row>
    <row r="133" spans="1:14" x14ac:dyDescent="0.3">
      <c r="A133" s="1">
        <v>45667</v>
      </c>
      <c r="B133">
        <v>235.34635925292969</v>
      </c>
      <c r="C133">
        <v>238.63534322792128</v>
      </c>
      <c r="D133">
        <v>231.52079498772144</v>
      </c>
      <c r="E133">
        <v>238.4862864086752</v>
      </c>
      <c r="F133">
        <v>61710900</v>
      </c>
      <c r="G133" s="2" t="s">
        <v>12</v>
      </c>
      <c r="H133">
        <v>-2.4103851717704461</v>
      </c>
      <c r="I133">
        <v>107.14739052405436</v>
      </c>
      <c r="J133">
        <v>237.1578399658203</v>
      </c>
      <c r="K133">
        <v>1.1560862597023238</v>
      </c>
      <c r="L133">
        <v>0</v>
      </c>
      <c r="M133" t="str">
        <f>VLOOKUP(fact_daily_prices[[#This Row],[Ticker]], dim_company[], 2, FALSE)</f>
        <v>Apple Inc.</v>
      </c>
      <c r="N133" t="str">
        <f>VLOOKUP(fact_daily_prices[[#This Row],[Ticker]], dim_company[], 3, FALSE)</f>
        <v>Technology</v>
      </c>
    </row>
    <row r="134" spans="1:14" x14ac:dyDescent="0.3">
      <c r="A134" s="1">
        <v>45670</v>
      </c>
      <c r="B134">
        <v>232.91189575195313</v>
      </c>
      <c r="C134">
        <v>233.18018589102101</v>
      </c>
      <c r="D134">
        <v>228.26161420500543</v>
      </c>
      <c r="E134">
        <v>232.04742383507849</v>
      </c>
      <c r="F134">
        <v>49630700</v>
      </c>
      <c r="G134" s="2" t="s">
        <v>12</v>
      </c>
      <c r="H134">
        <v>-1.0344173195219075</v>
      </c>
      <c r="I134">
        <v>106.03903935905774</v>
      </c>
      <c r="J134">
        <v>237.17745056152344</v>
      </c>
      <c r="K134">
        <v>1.1606174195354515</v>
      </c>
      <c r="L134">
        <v>0</v>
      </c>
      <c r="M134" t="str">
        <f>VLOOKUP(fact_daily_prices[[#This Row],[Ticker]], dim_company[], 2, FALSE)</f>
        <v>Apple Inc.</v>
      </c>
      <c r="N134" t="str">
        <f>VLOOKUP(fact_daily_prices[[#This Row],[Ticker]], dim_company[], 3, FALSE)</f>
        <v>Technology</v>
      </c>
    </row>
    <row r="135" spans="1:14" x14ac:dyDescent="0.3">
      <c r="A135" s="1">
        <v>45671</v>
      </c>
      <c r="B135">
        <v>231.79904174804688</v>
      </c>
      <c r="C135">
        <v>234.62100862534365</v>
      </c>
      <c r="D135">
        <v>230.99418638589503</v>
      </c>
      <c r="E135">
        <v>233.25971079858908</v>
      </c>
      <c r="F135">
        <v>39435300</v>
      </c>
      <c r="G135" s="2" t="s">
        <v>12</v>
      </c>
      <c r="H135">
        <v>-0.47780041475057322</v>
      </c>
      <c r="I135">
        <v>105.53238438920265</v>
      </c>
      <c r="J135">
        <v>237.24567291259766</v>
      </c>
      <c r="K135">
        <v>1.1638350092547536</v>
      </c>
      <c r="L135">
        <v>0</v>
      </c>
      <c r="M135" t="str">
        <f>VLOOKUP(fact_daily_prices[[#This Row],[Ticker]], dim_company[], 2, FALSE)</f>
        <v>Apple Inc.</v>
      </c>
      <c r="N135" t="str">
        <f>VLOOKUP(fact_daily_prices[[#This Row],[Ticker]], dim_company[], 3, FALSE)</f>
        <v>Technology</v>
      </c>
    </row>
    <row r="136" spans="1:14" x14ac:dyDescent="0.3">
      <c r="A136" s="1">
        <v>45672</v>
      </c>
      <c r="B136">
        <v>236.35986328125</v>
      </c>
      <c r="C136">
        <v>237.44295487436693</v>
      </c>
      <c r="D136">
        <v>232.9416999002932</v>
      </c>
      <c r="E136">
        <v>233.15037337402552</v>
      </c>
      <c r="F136">
        <v>39832000</v>
      </c>
      <c r="G136" s="2" t="s">
        <v>12</v>
      </c>
      <c r="H136">
        <v>1.9675756633025676</v>
      </c>
      <c r="I136">
        <v>107.60881390134752</v>
      </c>
      <c r="J136">
        <v>237.48828765869141</v>
      </c>
      <c r="K136">
        <v>1.2050283893109146</v>
      </c>
      <c r="L136">
        <v>0</v>
      </c>
      <c r="M136" t="str">
        <f>VLOOKUP(fact_daily_prices[[#This Row],[Ticker]], dim_company[], 2, FALSE)</f>
        <v>Apple Inc.</v>
      </c>
      <c r="N136" t="str">
        <f>VLOOKUP(fact_daily_prices[[#This Row],[Ticker]], dim_company[], 3, FALSE)</f>
        <v>Technology</v>
      </c>
    </row>
    <row r="137" spans="1:14" x14ac:dyDescent="0.3">
      <c r="A137" s="1">
        <v>45673</v>
      </c>
      <c r="B137">
        <v>226.81089782714844</v>
      </c>
      <c r="C137">
        <v>236.49900046025559</v>
      </c>
      <c r="D137">
        <v>226.58236221549976</v>
      </c>
      <c r="E137">
        <v>235.84320195891939</v>
      </c>
      <c r="F137">
        <v>71759100</v>
      </c>
      <c r="G137" s="2" t="s">
        <v>12</v>
      </c>
      <c r="H137">
        <v>-4.0400114137564174</v>
      </c>
      <c r="I137">
        <v>103.26140553752516</v>
      </c>
      <c r="J137">
        <v>237.59947692871094</v>
      </c>
      <c r="K137">
        <v>1.4000104686848738</v>
      </c>
      <c r="L137">
        <v>0</v>
      </c>
      <c r="M137" t="str">
        <f>VLOOKUP(fact_daily_prices[[#This Row],[Ticker]], dim_company[], 2, FALSE)</f>
        <v>Apple Inc.</v>
      </c>
      <c r="N137" t="str">
        <f>VLOOKUP(fact_daily_prices[[#This Row],[Ticker]], dim_company[], 3, FALSE)</f>
        <v>Technology</v>
      </c>
    </row>
    <row r="138" spans="1:14" x14ac:dyDescent="0.3">
      <c r="A138" s="1">
        <v>45674</v>
      </c>
      <c r="B138">
        <v>228.51995849609369</v>
      </c>
      <c r="C138">
        <v>230.81529094249188</v>
      </c>
      <c r="D138">
        <v>227.02948130628531</v>
      </c>
      <c r="E138">
        <v>230.64637201374376</v>
      </c>
      <c r="F138">
        <v>68488300</v>
      </c>
      <c r="G138" s="2" t="s">
        <v>12</v>
      </c>
      <c r="H138">
        <v>0.75351788001285502</v>
      </c>
      <c r="I138">
        <v>104.03949869140301</v>
      </c>
      <c r="J138">
        <v>237.76271362304686</v>
      </c>
      <c r="K138">
        <v>1.3847610887668509</v>
      </c>
      <c r="L138">
        <v>0</v>
      </c>
      <c r="M138" t="str">
        <f>VLOOKUP(fact_daily_prices[[#This Row],[Ticker]], dim_company[], 2, FALSE)</f>
        <v>Apple Inc.</v>
      </c>
      <c r="N138" t="str">
        <f>VLOOKUP(fact_daily_prices[[#This Row],[Ticker]], dim_company[], 3, FALSE)</f>
        <v>Technology</v>
      </c>
    </row>
    <row r="139" spans="1:14" x14ac:dyDescent="0.3">
      <c r="A139" s="1">
        <v>45678</v>
      </c>
      <c r="B139">
        <v>221.2265625</v>
      </c>
      <c r="C139">
        <v>222.99526090225285</v>
      </c>
      <c r="D139">
        <v>217.98726416864309</v>
      </c>
      <c r="E139">
        <v>222.57792910461188</v>
      </c>
      <c r="F139">
        <v>98070400</v>
      </c>
      <c r="G139" s="2" t="s">
        <v>12</v>
      </c>
      <c r="H139">
        <v>-3.1915794331891401</v>
      </c>
      <c r="I139">
        <v>100.71899544877509</v>
      </c>
      <c r="J139">
        <v>237.75149688720703</v>
      </c>
      <c r="K139">
        <v>1.4887062671789173</v>
      </c>
      <c r="L139">
        <v>0</v>
      </c>
      <c r="M139" t="str">
        <f>VLOOKUP(fact_daily_prices[[#This Row],[Ticker]], dim_company[], 2, FALSE)</f>
        <v>Apple Inc.</v>
      </c>
      <c r="N139" t="str">
        <f>VLOOKUP(fact_daily_prices[[#This Row],[Ticker]], dim_company[], 3, FALSE)</f>
        <v>Technology</v>
      </c>
    </row>
    <row r="140" spans="1:14" x14ac:dyDescent="0.3">
      <c r="A140" s="1">
        <v>45679</v>
      </c>
      <c r="B140">
        <v>222.40902709960929</v>
      </c>
      <c r="C140">
        <v>222.69717937636671</v>
      </c>
      <c r="D140">
        <v>218.39466636780543</v>
      </c>
      <c r="E140">
        <v>218.39466636780543</v>
      </c>
      <c r="F140">
        <v>64126500</v>
      </c>
      <c r="G140" s="2" t="s">
        <v>12</v>
      </c>
      <c r="H140">
        <v>0.53450389783518126</v>
      </c>
      <c r="I140">
        <v>101.25734240530926</v>
      </c>
      <c r="J140">
        <v>237.77842071533203</v>
      </c>
      <c r="K140">
        <v>1.4952869003738392</v>
      </c>
      <c r="L140">
        <v>0</v>
      </c>
      <c r="M140" t="str">
        <f>VLOOKUP(fact_daily_prices[[#This Row],[Ticker]], dim_company[], 2, FALSE)</f>
        <v>Apple Inc.</v>
      </c>
      <c r="N140" t="str">
        <f>VLOOKUP(fact_daily_prices[[#This Row],[Ticker]], dim_company[], 3, FALSE)</f>
        <v>Technology</v>
      </c>
    </row>
    <row r="141" spans="1:14" x14ac:dyDescent="0.3">
      <c r="A141" s="1">
        <v>45680</v>
      </c>
      <c r="B141">
        <v>222.24009704589844</v>
      </c>
      <c r="C141">
        <v>225.58869773276689</v>
      </c>
      <c r="D141">
        <v>220.88873040600683</v>
      </c>
      <c r="E141">
        <v>223.31324248009929</v>
      </c>
      <c r="F141">
        <v>60234800</v>
      </c>
      <c r="G141" s="2" t="s">
        <v>12</v>
      </c>
      <c r="H141">
        <v>-7.5954675003009342E-2</v>
      </c>
      <c r="I141">
        <v>101.18043271996862</v>
      </c>
      <c r="J141">
        <v>237.70747375488281</v>
      </c>
      <c r="K141">
        <v>1.4953138043086289</v>
      </c>
      <c r="L141">
        <v>0</v>
      </c>
      <c r="M141" t="str">
        <f>VLOOKUP(fact_daily_prices[[#This Row],[Ticker]], dim_company[], 2, FALSE)</f>
        <v>Apple Inc.</v>
      </c>
      <c r="N141" t="str">
        <f>VLOOKUP(fact_daily_prices[[#This Row],[Ticker]], dim_company[], 3, FALSE)</f>
        <v>Technology</v>
      </c>
    </row>
    <row r="142" spans="1:14" x14ac:dyDescent="0.3">
      <c r="A142" s="1">
        <v>45681</v>
      </c>
      <c r="B142">
        <v>221.36566162109369</v>
      </c>
      <c r="C142">
        <v>224.19757422629087</v>
      </c>
      <c r="D142">
        <v>220.00436403066544</v>
      </c>
      <c r="E142">
        <v>223.35296445648331</v>
      </c>
      <c r="F142">
        <v>54697900</v>
      </c>
      <c r="G142" s="2" t="s">
        <v>12</v>
      </c>
      <c r="H142">
        <v>-0.39346429219032641</v>
      </c>
      <c r="I142">
        <v>100.78232384653188</v>
      </c>
      <c r="J142">
        <v>237.62440399169921</v>
      </c>
      <c r="K142">
        <v>1.4529134154872423</v>
      </c>
      <c r="L142">
        <v>0</v>
      </c>
      <c r="M142" t="str">
        <f>VLOOKUP(fact_daily_prices[[#This Row],[Ticker]], dim_company[], 2, FALSE)</f>
        <v>Apple Inc.</v>
      </c>
      <c r="N142" t="str">
        <f>VLOOKUP(fact_daily_prices[[#This Row],[Ticker]], dim_company[], 3, FALSE)</f>
        <v>Technology</v>
      </c>
    </row>
    <row r="143" spans="1:14" x14ac:dyDescent="0.3">
      <c r="A143" s="1">
        <v>45684</v>
      </c>
      <c r="B143">
        <v>228.40072631835929</v>
      </c>
      <c r="C143">
        <v>230.67618150163648</v>
      </c>
      <c r="D143">
        <v>222.5580508531902</v>
      </c>
      <c r="E143">
        <v>222.59780540245859</v>
      </c>
      <c r="F143">
        <v>94863400</v>
      </c>
      <c r="G143" s="2" t="s">
        <v>12</v>
      </c>
      <c r="H143">
        <v>3.1780288983154659</v>
      </c>
      <c r="I143">
        <v>103.98521522276856</v>
      </c>
      <c r="J143">
        <v>237.73628936767579</v>
      </c>
      <c r="K143">
        <v>1.583483972398015</v>
      </c>
      <c r="L143">
        <v>0</v>
      </c>
      <c r="M143" t="str">
        <f>VLOOKUP(fact_daily_prices[[#This Row],[Ticker]], dim_company[], 2, FALSE)</f>
        <v>Apple Inc.</v>
      </c>
      <c r="N143" t="str">
        <f>VLOOKUP(fact_daily_prices[[#This Row],[Ticker]], dim_company[], 3, FALSE)</f>
        <v>Technology</v>
      </c>
    </row>
    <row r="144" spans="1:14" x14ac:dyDescent="0.3">
      <c r="A144" s="1">
        <v>45685</v>
      </c>
      <c r="B144">
        <v>236.74742126464844</v>
      </c>
      <c r="C144">
        <v>238.66517670855168</v>
      </c>
      <c r="D144">
        <v>229.34471998625472</v>
      </c>
      <c r="E144">
        <v>229.38447454034343</v>
      </c>
      <c r="F144">
        <v>75707600</v>
      </c>
      <c r="G144" s="2" t="s">
        <v>12</v>
      </c>
      <c r="H144">
        <v>3.6544082327719885</v>
      </c>
      <c r="I144">
        <v>107.78525948873508</v>
      </c>
      <c r="J144">
        <v>238.01510864257813</v>
      </c>
      <c r="K144">
        <v>1.7340911976284321</v>
      </c>
      <c r="L144">
        <v>0</v>
      </c>
      <c r="M144" t="str">
        <f>VLOOKUP(fact_daily_prices[[#This Row],[Ticker]], dim_company[], 2, FALSE)</f>
        <v>Apple Inc.</v>
      </c>
      <c r="N144" t="str">
        <f>VLOOKUP(fact_daily_prices[[#This Row],[Ticker]], dim_company[], 3, FALSE)</f>
        <v>Technology</v>
      </c>
    </row>
    <row r="145" spans="1:14" x14ac:dyDescent="0.3">
      <c r="A145" s="1">
        <v>45686</v>
      </c>
      <c r="B145">
        <v>237.8404235839844</v>
      </c>
      <c r="C145">
        <v>238.33724933385383</v>
      </c>
      <c r="D145">
        <v>232.52438199561368</v>
      </c>
      <c r="E145">
        <v>232.63368426706171</v>
      </c>
      <c r="F145">
        <v>45486100</v>
      </c>
      <c r="G145" s="2" t="s">
        <v>12</v>
      </c>
      <c r="H145">
        <v>0.46167443493043692</v>
      </c>
      <c r="I145">
        <v>108.28287647641801</v>
      </c>
      <c r="J145">
        <v>238.2981005859375</v>
      </c>
      <c r="K145">
        <v>1.7324033303057043</v>
      </c>
      <c r="L145">
        <v>0</v>
      </c>
      <c r="M145" t="str">
        <f>VLOOKUP(fact_daily_prices[[#This Row],[Ticker]], dim_company[], 2, FALSE)</f>
        <v>Apple Inc.</v>
      </c>
      <c r="N145" t="str">
        <f>VLOOKUP(fact_daily_prices[[#This Row],[Ticker]], dim_company[], 3, FALSE)</f>
        <v>Technology</v>
      </c>
    </row>
    <row r="146" spans="1:14" x14ac:dyDescent="0.3">
      <c r="A146" s="1">
        <v>45687</v>
      </c>
      <c r="B146">
        <v>236.08164978027344</v>
      </c>
      <c r="C146">
        <v>239.26133146080369</v>
      </c>
      <c r="D146">
        <v>235.70407253071929</v>
      </c>
      <c r="E146">
        <v>237.15479519031209</v>
      </c>
      <c r="F146">
        <v>55658300</v>
      </c>
      <c r="G146" s="2" t="s">
        <v>12</v>
      </c>
      <c r="H146">
        <v>-0.7394764006926402</v>
      </c>
      <c r="I146">
        <v>107.48215015888374</v>
      </c>
      <c r="J146">
        <v>238.48431060791015</v>
      </c>
      <c r="K146">
        <v>1.7359212489232236</v>
      </c>
      <c r="L146">
        <v>0</v>
      </c>
      <c r="M146" t="str">
        <f>VLOOKUP(fact_daily_prices[[#This Row],[Ticker]], dim_company[], 2, FALSE)</f>
        <v>Apple Inc.</v>
      </c>
      <c r="N146" t="str">
        <f>VLOOKUP(fact_daily_prices[[#This Row],[Ticker]], dim_company[], 3, FALSE)</f>
        <v>Technology</v>
      </c>
    </row>
    <row r="147" spans="1:14" x14ac:dyDescent="0.3">
      <c r="A147" s="1">
        <v>45688</v>
      </c>
      <c r="B147">
        <v>234.50175476074219</v>
      </c>
      <c r="C147">
        <v>245.62071750772</v>
      </c>
      <c r="D147">
        <v>231.95800933839703</v>
      </c>
      <c r="E147">
        <v>245.62071750772</v>
      </c>
      <c r="F147">
        <v>100959800</v>
      </c>
      <c r="G147" s="2" t="s">
        <v>12</v>
      </c>
      <c r="H147">
        <v>-0.66921551124439205</v>
      </c>
      <c r="I147">
        <v>106.76286293820149</v>
      </c>
      <c r="J147">
        <v>238.70291412353515</v>
      </c>
      <c r="K147">
        <v>1.7207634100182581</v>
      </c>
      <c r="L147">
        <v>0</v>
      </c>
      <c r="M147" t="str">
        <f>VLOOKUP(fact_daily_prices[[#This Row],[Ticker]], dim_company[], 2, FALSE)</f>
        <v>Apple Inc.</v>
      </c>
      <c r="N147" t="str">
        <f>VLOOKUP(fact_daily_prices[[#This Row],[Ticker]], dim_company[], 3, FALSE)</f>
        <v>Technology</v>
      </c>
    </row>
    <row r="148" spans="1:14" x14ac:dyDescent="0.3">
      <c r="A148" s="1">
        <v>45691</v>
      </c>
      <c r="B148">
        <v>226.56248474121091</v>
      </c>
      <c r="C148">
        <v>230.35824094469035</v>
      </c>
      <c r="D148">
        <v>224.2671520837408</v>
      </c>
      <c r="E148">
        <v>228.52992572925919</v>
      </c>
      <c r="F148">
        <v>73063300</v>
      </c>
      <c r="G148" s="2" t="s">
        <v>12</v>
      </c>
      <c r="H148">
        <v>-3.3855908786830091</v>
      </c>
      <c r="I148">
        <v>103.14830918874492</v>
      </c>
      <c r="J148">
        <v>238.70271545410156</v>
      </c>
      <c r="K148">
        <v>1.8012111955249954</v>
      </c>
      <c r="L148">
        <v>0</v>
      </c>
      <c r="M148" t="str">
        <f>VLOOKUP(fact_daily_prices[[#This Row],[Ticker]], dim_company[], 2, FALSE)</f>
        <v>Apple Inc.</v>
      </c>
      <c r="N148" t="str">
        <f>VLOOKUP(fact_daily_prices[[#This Row],[Ticker]], dim_company[], 3, FALSE)</f>
        <v>Technology</v>
      </c>
    </row>
    <row r="149" spans="1:14" x14ac:dyDescent="0.3">
      <c r="A149" s="1">
        <v>45692</v>
      </c>
      <c r="B149">
        <v>231.32208251953125</v>
      </c>
      <c r="C149">
        <v>231.64998934854387</v>
      </c>
      <c r="D149">
        <v>225.21111642561868</v>
      </c>
      <c r="E149">
        <v>225.80731341689969</v>
      </c>
      <c r="F149">
        <v>45067300</v>
      </c>
      <c r="G149" s="2" t="s">
        <v>12</v>
      </c>
      <c r="H149">
        <v>2.1007881264000661</v>
      </c>
      <c r="I149">
        <v>105.31523662076449</v>
      </c>
      <c r="J149">
        <v>238.79254150390625</v>
      </c>
      <c r="K149">
        <v>1.8210211147333712</v>
      </c>
      <c r="L149">
        <v>0</v>
      </c>
      <c r="M149" t="str">
        <f>VLOOKUP(fact_daily_prices[[#This Row],[Ticker]], dim_company[], 2, FALSE)</f>
        <v>Apple Inc.</v>
      </c>
      <c r="N149" t="str">
        <f>VLOOKUP(fact_daily_prices[[#This Row],[Ticker]], dim_company[], 3, FALSE)</f>
        <v>Technology</v>
      </c>
    </row>
    <row r="150" spans="1:14" x14ac:dyDescent="0.3">
      <c r="A150" s="1">
        <v>45693</v>
      </c>
      <c r="B150">
        <v>230.99417114257807</v>
      </c>
      <c r="C150">
        <v>231.19289841511937</v>
      </c>
      <c r="D150">
        <v>226.82083777153599</v>
      </c>
      <c r="E150">
        <v>227.07918170964771</v>
      </c>
      <c r="F150">
        <v>39620300</v>
      </c>
      <c r="G150" s="2" t="s">
        <v>12</v>
      </c>
      <c r="H150">
        <v>-0.14175532806103286</v>
      </c>
      <c r="I150">
        <v>105.16594666159449</v>
      </c>
      <c r="J150">
        <v>238.86150115966797</v>
      </c>
      <c r="K150">
        <v>1.8131947254821987</v>
      </c>
      <c r="L150">
        <v>0</v>
      </c>
      <c r="M150" t="str">
        <f>VLOOKUP(fact_daily_prices[[#This Row],[Ticker]], dim_company[], 2, FALSE)</f>
        <v>Apple Inc.</v>
      </c>
      <c r="N150" t="str">
        <f>VLOOKUP(fact_daily_prices[[#This Row],[Ticker]], dim_company[], 3, FALSE)</f>
        <v>Technology</v>
      </c>
    </row>
    <row r="151" spans="1:14" x14ac:dyDescent="0.3">
      <c r="A151" s="1">
        <v>45694</v>
      </c>
      <c r="B151">
        <v>231.73941040039065</v>
      </c>
      <c r="C151">
        <v>232.31573010563136</v>
      </c>
      <c r="D151">
        <v>228.96711414866223</v>
      </c>
      <c r="E151">
        <v>229.82165506858209</v>
      </c>
      <c r="F151">
        <v>29925300</v>
      </c>
      <c r="G151" s="2" t="s">
        <v>12</v>
      </c>
      <c r="H151">
        <v>0.32262253810404484</v>
      </c>
      <c r="I151">
        <v>105.50523570793527</v>
      </c>
      <c r="J151">
        <v>238.95490478515626</v>
      </c>
      <c r="K151">
        <v>1.7726757541801756</v>
      </c>
      <c r="L151">
        <v>0</v>
      </c>
      <c r="M151" t="str">
        <f>VLOOKUP(fact_daily_prices[[#This Row],[Ticker]], dim_company[], 2, FALSE)</f>
        <v>Apple Inc.</v>
      </c>
      <c r="N151" t="str">
        <f>VLOOKUP(fact_daily_prices[[#This Row],[Ticker]], dim_company[], 3, FALSE)</f>
        <v>Technology</v>
      </c>
    </row>
    <row r="152" spans="1:14" x14ac:dyDescent="0.3">
      <c r="A152" s="1">
        <v>45695</v>
      </c>
      <c r="B152">
        <v>226.18490600585929</v>
      </c>
      <c r="C152">
        <v>232.5144614947352</v>
      </c>
      <c r="D152">
        <v>225.81724462416</v>
      </c>
      <c r="E152">
        <v>231.12335539671392</v>
      </c>
      <c r="F152">
        <v>39707200</v>
      </c>
      <c r="G152" s="2" t="s">
        <v>12</v>
      </c>
      <c r="H152">
        <v>-2.3968751732536542</v>
      </c>
      <c r="I152">
        <v>102.97640690676901</v>
      </c>
      <c r="J152">
        <v>238.91038940429686</v>
      </c>
      <c r="K152">
        <v>1.810392914904196</v>
      </c>
      <c r="L152">
        <v>0</v>
      </c>
      <c r="M152" t="str">
        <f>VLOOKUP(fact_daily_prices[[#This Row],[Ticker]], dim_company[], 2, FALSE)</f>
        <v>Apple Inc.</v>
      </c>
      <c r="N152" t="str">
        <f>VLOOKUP(fact_daily_prices[[#This Row],[Ticker]], dim_company[], 3, FALSE)</f>
        <v>Technology</v>
      </c>
    </row>
    <row r="153" spans="1:14" x14ac:dyDescent="0.3">
      <c r="A153" s="1">
        <v>45698</v>
      </c>
      <c r="B153">
        <v>226.45347595214844</v>
      </c>
      <c r="C153">
        <v>229.37802587533881</v>
      </c>
      <c r="D153">
        <v>226.00584416726187</v>
      </c>
      <c r="E153">
        <v>228.36339787721977</v>
      </c>
      <c r="F153">
        <v>33115600</v>
      </c>
      <c r="G153" s="2" t="s">
        <v>12</v>
      </c>
      <c r="H153">
        <v>0.11873911085922284</v>
      </c>
      <c r="I153">
        <v>103.0986801767249</v>
      </c>
      <c r="J153">
        <v>238.81162658691406</v>
      </c>
      <c r="K153">
        <v>1.7903714071307737</v>
      </c>
      <c r="L153">
        <v>0</v>
      </c>
      <c r="M153" t="str">
        <f>VLOOKUP(fact_daily_prices[[#This Row],[Ticker]], dim_company[], 2, FALSE)</f>
        <v>Apple Inc.</v>
      </c>
      <c r="N153" t="str">
        <f>VLOOKUP(fact_daily_prices[[#This Row],[Ticker]], dim_company[], 3, FALSE)</f>
        <v>Technology</v>
      </c>
    </row>
    <row r="154" spans="1:14" x14ac:dyDescent="0.3">
      <c r="A154" s="1">
        <v>45699</v>
      </c>
      <c r="B154">
        <v>231.39732360839844</v>
      </c>
      <c r="C154">
        <v>233.99360582200345</v>
      </c>
      <c r="D154">
        <v>226.93093316445223</v>
      </c>
      <c r="E154">
        <v>227.00055734532324</v>
      </c>
      <c r="F154">
        <v>53718400</v>
      </c>
      <c r="G154" s="2" t="s">
        <v>12</v>
      </c>
      <c r="H154">
        <v>2.1831626277596605</v>
      </c>
      <c r="I154">
        <v>105.34949203205662</v>
      </c>
      <c r="J154">
        <v>238.76821868896485</v>
      </c>
      <c r="K154">
        <v>1.8476276838836545</v>
      </c>
      <c r="L154">
        <v>0</v>
      </c>
      <c r="M154" t="str">
        <f>VLOOKUP(fact_daily_prices[[#This Row],[Ticker]], dim_company[], 2, FALSE)</f>
        <v>Apple Inc.</v>
      </c>
      <c r="N154" t="str">
        <f>VLOOKUP(fact_daily_prices[[#This Row],[Ticker]], dim_company[], 3, FALSE)</f>
        <v>Technology</v>
      </c>
    </row>
    <row r="155" spans="1:14" x14ac:dyDescent="0.3">
      <c r="A155" s="1">
        <v>45700</v>
      </c>
      <c r="B155">
        <v>235.62503051757807</v>
      </c>
      <c r="C155">
        <v>235.71456902246177</v>
      </c>
      <c r="D155">
        <v>229.46756209934875</v>
      </c>
      <c r="E155">
        <v>229.98483328224921</v>
      </c>
      <c r="F155">
        <v>45243300</v>
      </c>
      <c r="G155" s="2" t="s">
        <v>12</v>
      </c>
      <c r="H155">
        <v>1.8270336247857122</v>
      </c>
      <c r="I155">
        <v>107.27426267502322</v>
      </c>
      <c r="J155">
        <v>238.81194854736327</v>
      </c>
      <c r="K155">
        <v>1.8789093151270193</v>
      </c>
      <c r="L155">
        <v>0</v>
      </c>
      <c r="M155" t="str">
        <f>VLOOKUP(fact_daily_prices[[#This Row],[Ticker]], dim_company[], 2, FALSE)</f>
        <v>Apple Inc.</v>
      </c>
      <c r="N155" t="str">
        <f>VLOOKUP(fact_daily_prices[[#This Row],[Ticker]], dim_company[], 3, FALSE)</f>
        <v>Technology</v>
      </c>
    </row>
    <row r="156" spans="1:14" x14ac:dyDescent="0.3">
      <c r="A156" s="1">
        <v>45701</v>
      </c>
      <c r="B156">
        <v>240.26052856445313</v>
      </c>
      <c r="C156">
        <v>241.06626881430705</v>
      </c>
      <c r="D156">
        <v>234.33186254170715</v>
      </c>
      <c r="E156">
        <v>235.6648159224184</v>
      </c>
      <c r="F156">
        <v>53614100</v>
      </c>
      <c r="G156" s="2" t="s">
        <v>12</v>
      </c>
      <c r="H156">
        <v>1.9673198711922302</v>
      </c>
      <c r="I156">
        <v>109.38469056130388</v>
      </c>
      <c r="J156">
        <v>238.90069244384765</v>
      </c>
      <c r="K156">
        <v>1.9087777276046363</v>
      </c>
      <c r="L156">
        <v>0</v>
      </c>
      <c r="M156" t="str">
        <f>VLOOKUP(fact_daily_prices[[#This Row],[Ticker]], dim_company[], 2, FALSE)</f>
        <v>Apple Inc.</v>
      </c>
      <c r="N156" t="str">
        <f>VLOOKUP(fact_daily_prices[[#This Row],[Ticker]], dim_company[], 3, FALSE)</f>
        <v>Technology</v>
      </c>
    </row>
    <row r="157" spans="1:14" x14ac:dyDescent="0.3">
      <c r="A157" s="1">
        <v>45702</v>
      </c>
      <c r="B157">
        <v>243.31437683105469</v>
      </c>
      <c r="C157">
        <v>244.25938055012708</v>
      </c>
      <c r="D157">
        <v>239.72335055570909</v>
      </c>
      <c r="E157">
        <v>239.98197851904411</v>
      </c>
      <c r="F157">
        <v>40896200</v>
      </c>
      <c r="G157" s="2" t="s">
        <v>12</v>
      </c>
      <c r="H157">
        <v>1.2710570000191712</v>
      </c>
      <c r="I157">
        <v>110.77503232763266</v>
      </c>
      <c r="J157">
        <v>239.00560058593749</v>
      </c>
      <c r="K157">
        <v>1.9220293242496054</v>
      </c>
      <c r="L157">
        <v>0</v>
      </c>
      <c r="M157" t="str">
        <f>VLOOKUP(fact_daily_prices[[#This Row],[Ticker]], dim_company[], 2, FALSE)</f>
        <v>Apple Inc.</v>
      </c>
      <c r="N157" t="str">
        <f>VLOOKUP(fact_daily_prices[[#This Row],[Ticker]], dim_company[], 3, FALSE)</f>
        <v>Technology</v>
      </c>
    </row>
    <row r="158" spans="1:14" x14ac:dyDescent="0.3">
      <c r="A158" s="1">
        <v>45706</v>
      </c>
      <c r="B158">
        <v>243.18505859375</v>
      </c>
      <c r="C158">
        <v>243.89131830963376</v>
      </c>
      <c r="D158">
        <v>240.56887710589865</v>
      </c>
      <c r="E158">
        <v>242.86673323889264</v>
      </c>
      <c r="F158">
        <v>48822500</v>
      </c>
      <c r="G158" s="2" t="s">
        <v>12</v>
      </c>
      <c r="H158">
        <v>-5.3148621544252261E-2</v>
      </c>
      <c r="I158">
        <v>110.71615692493533</v>
      </c>
      <c r="J158">
        <v>239.04711090087892</v>
      </c>
      <c r="K158">
        <v>1.8599494942786843</v>
      </c>
      <c r="L158">
        <v>0</v>
      </c>
      <c r="M158" t="str">
        <f>VLOOKUP(fact_daily_prices[[#This Row],[Ticker]], dim_company[], 2, FALSE)</f>
        <v>Apple Inc.</v>
      </c>
      <c r="N158" t="str">
        <f>VLOOKUP(fact_daily_prices[[#This Row],[Ticker]], dim_company[], 3, FALSE)</f>
        <v>Technology</v>
      </c>
    </row>
    <row r="159" spans="1:14" x14ac:dyDescent="0.3">
      <c r="A159" s="1">
        <v>45707</v>
      </c>
      <c r="B159">
        <v>243.58296203613281</v>
      </c>
      <c r="C159">
        <v>244.71696960581099</v>
      </c>
      <c r="D159">
        <v>241.88195827091008</v>
      </c>
      <c r="E159">
        <v>243.37407429304395</v>
      </c>
      <c r="F159">
        <v>32204200</v>
      </c>
      <c r="G159" s="2" t="s">
        <v>12</v>
      </c>
      <c r="H159">
        <v>0.16362166519758858</v>
      </c>
      <c r="I159">
        <v>110.89731254453868</v>
      </c>
      <c r="J159">
        <v>239.08942504882813</v>
      </c>
      <c r="K159">
        <v>1.8595868725176963</v>
      </c>
      <c r="L159">
        <v>0</v>
      </c>
      <c r="M159" t="str">
        <f>VLOOKUP(fact_daily_prices[[#This Row],[Ticker]], dim_company[], 2, FALSE)</f>
        <v>Apple Inc.</v>
      </c>
      <c r="N159" t="str">
        <f>VLOOKUP(fact_daily_prices[[#This Row],[Ticker]], dim_company[], 3, FALSE)</f>
        <v>Technology</v>
      </c>
    </row>
    <row r="160" spans="1:14" x14ac:dyDescent="0.3">
      <c r="A160" s="1">
        <v>45708</v>
      </c>
      <c r="B160">
        <v>244.53791809082031</v>
      </c>
      <c r="C160">
        <v>245.48292185026961</v>
      </c>
      <c r="D160">
        <v>243.00600383864503</v>
      </c>
      <c r="E160">
        <v>243.65259654249155</v>
      </c>
      <c r="F160">
        <v>32316900</v>
      </c>
      <c r="G160" s="2" t="s">
        <v>12</v>
      </c>
      <c r="H160">
        <v>0.39204550544296168</v>
      </c>
      <c r="I160">
        <v>111.33208047402658</v>
      </c>
      <c r="J160">
        <v>239.15024200439453</v>
      </c>
      <c r="K160">
        <v>1.8569895971040793</v>
      </c>
      <c r="L160">
        <v>0</v>
      </c>
      <c r="M160" t="str">
        <f>VLOOKUP(fact_daily_prices[[#This Row],[Ticker]], dim_company[], 2, FALSE)</f>
        <v>Apple Inc.</v>
      </c>
      <c r="N160" t="str">
        <f>VLOOKUP(fact_daily_prices[[#This Row],[Ticker]], dim_company[], 3, FALSE)</f>
        <v>Technology</v>
      </c>
    </row>
    <row r="161" spans="1:14" x14ac:dyDescent="0.3">
      <c r="A161" s="1">
        <v>45709</v>
      </c>
      <c r="B161">
        <v>244.53791809082031</v>
      </c>
      <c r="C161">
        <v>247.38287960480025</v>
      </c>
      <c r="D161">
        <v>243.93111682470231</v>
      </c>
      <c r="E161">
        <v>244.65727567067509</v>
      </c>
      <c r="F161">
        <v>53197400</v>
      </c>
      <c r="G161" s="2" t="s">
        <v>12</v>
      </c>
      <c r="H161">
        <v>0</v>
      </c>
      <c r="I161">
        <v>111.33208047402658</v>
      </c>
      <c r="J161">
        <v>239.21503387451173</v>
      </c>
      <c r="K161">
        <v>1.8438317890917628</v>
      </c>
      <c r="L161">
        <v>0</v>
      </c>
      <c r="M161" t="str">
        <f>VLOOKUP(fact_daily_prices[[#This Row],[Ticker]], dim_company[], 2, FALSE)</f>
        <v>Apple Inc.</v>
      </c>
      <c r="N161" t="str">
        <f>VLOOKUP(fact_daily_prices[[#This Row],[Ticker]], dim_company[], 3, FALSE)</f>
        <v>Technology</v>
      </c>
    </row>
    <row r="162" spans="1:14" x14ac:dyDescent="0.3">
      <c r="A162" s="1">
        <v>45712</v>
      </c>
      <c r="B162">
        <v>245.80123901367188</v>
      </c>
      <c r="C162">
        <v>247.55198292201601</v>
      </c>
      <c r="D162">
        <v>243.13531730338309</v>
      </c>
      <c r="E162">
        <v>243.64263125957103</v>
      </c>
      <c r="F162">
        <v>51326400</v>
      </c>
      <c r="G162" s="2" t="s">
        <v>12</v>
      </c>
      <c r="H162">
        <v>0.51661555504958212</v>
      </c>
      <c r="I162">
        <v>111.90723931951571</v>
      </c>
      <c r="J162">
        <v>239.22738861083985</v>
      </c>
      <c r="K162">
        <v>1.8455039330051932</v>
      </c>
      <c r="L162">
        <v>0</v>
      </c>
      <c r="M162" t="str">
        <f>VLOOKUP(fact_daily_prices[[#This Row],[Ticker]], dim_company[], 2, FALSE)</f>
        <v>Apple Inc.</v>
      </c>
      <c r="N162" t="str">
        <f>VLOOKUP(fact_daily_prices[[#This Row],[Ticker]], dim_company[], 3, FALSE)</f>
        <v>Technology</v>
      </c>
    </row>
    <row r="163" spans="1:14" x14ac:dyDescent="0.3">
      <c r="A163" s="1">
        <v>45713</v>
      </c>
      <c r="B163">
        <v>245.74154663085929</v>
      </c>
      <c r="C163">
        <v>248.68599549611235</v>
      </c>
      <c r="D163">
        <v>243.62275227067275</v>
      </c>
      <c r="E163">
        <v>246.69650753214344</v>
      </c>
      <c r="F163">
        <v>48013300</v>
      </c>
      <c r="G163" s="2" t="s">
        <v>12</v>
      </c>
      <c r="H163">
        <v>-2.428481770559987E-2</v>
      </c>
      <c r="I163">
        <v>111.88006285044759</v>
      </c>
      <c r="J163">
        <v>239.21827880859371</v>
      </c>
      <c r="K163">
        <v>1.7848910830812728</v>
      </c>
      <c r="L163">
        <v>0</v>
      </c>
      <c r="M163" t="str">
        <f>VLOOKUP(fact_daily_prices[[#This Row],[Ticker]], dim_company[], 2, FALSE)</f>
        <v>Apple Inc.</v>
      </c>
      <c r="N163" t="str">
        <f>VLOOKUP(fact_daily_prices[[#This Row],[Ticker]], dim_company[], 3, FALSE)</f>
        <v>Technology</v>
      </c>
    </row>
    <row r="164" spans="1:14" x14ac:dyDescent="0.3">
      <c r="A164" s="1">
        <v>45714</v>
      </c>
      <c r="B164">
        <v>239.09666442871091</v>
      </c>
      <c r="C164">
        <v>243.69237677432361</v>
      </c>
      <c r="D164">
        <v>237.87313357927937</v>
      </c>
      <c r="E164">
        <v>243.04579925662603</v>
      </c>
      <c r="F164">
        <v>44433600</v>
      </c>
      <c r="G164" s="2" t="s">
        <v>12</v>
      </c>
      <c r="H164">
        <v>-2.7040125258631975</v>
      </c>
      <c r="I164">
        <v>108.85481193702786</v>
      </c>
      <c r="J164">
        <v>239.10170867919919</v>
      </c>
      <c r="K164">
        <v>1.848308240182605</v>
      </c>
      <c r="L164">
        <v>0</v>
      </c>
      <c r="M164" t="str">
        <f>VLOOKUP(fact_daily_prices[[#This Row],[Ticker]], dim_company[], 2, FALSE)</f>
        <v>Apple Inc.</v>
      </c>
      <c r="N164" t="str">
        <f>VLOOKUP(fact_daily_prices[[#This Row],[Ticker]], dim_company[], 3, FALSE)</f>
        <v>Technology</v>
      </c>
    </row>
    <row r="165" spans="1:14" x14ac:dyDescent="0.3">
      <c r="A165" s="1">
        <v>45715</v>
      </c>
      <c r="B165">
        <v>236.05278015136719</v>
      </c>
      <c r="C165">
        <v>241.18566339775504</v>
      </c>
      <c r="D165">
        <v>235.81403610086409</v>
      </c>
      <c r="E165">
        <v>238.15169082894491</v>
      </c>
      <c r="F165">
        <v>41153600</v>
      </c>
      <c r="G165" s="2" t="s">
        <v>12</v>
      </c>
      <c r="H165">
        <v>-1.2730768472310805</v>
      </c>
      <c r="I165">
        <v>107.46900652916062</v>
      </c>
      <c r="J165">
        <v>238.89504730224607</v>
      </c>
      <c r="K165">
        <v>1.8625881124498533</v>
      </c>
      <c r="L165">
        <v>0</v>
      </c>
      <c r="M165" t="str">
        <f>VLOOKUP(fact_daily_prices[[#This Row],[Ticker]], dim_company[], 2, FALSE)</f>
        <v>Apple Inc.</v>
      </c>
      <c r="N165" t="str">
        <f>VLOOKUP(fact_daily_prices[[#This Row],[Ticker]], dim_company[], 3, FALSE)</f>
        <v>Technology</v>
      </c>
    </row>
    <row r="166" spans="1:14" x14ac:dyDescent="0.3">
      <c r="A166" s="1">
        <v>45716</v>
      </c>
      <c r="B166">
        <v>240.56889343261719</v>
      </c>
      <c r="C166">
        <v>240.8175794410065</v>
      </c>
      <c r="D166">
        <v>228.9900734891547</v>
      </c>
      <c r="E166">
        <v>235.70459571566599</v>
      </c>
      <c r="F166">
        <v>56833400</v>
      </c>
      <c r="G166" s="2" t="s">
        <v>12</v>
      </c>
      <c r="H166">
        <v>1.9131794501018318</v>
      </c>
      <c r="I166">
        <v>109.52508147730514</v>
      </c>
      <c r="J166">
        <v>238.77533020019527</v>
      </c>
      <c r="K166">
        <v>1.860710205248072</v>
      </c>
      <c r="L166">
        <v>0</v>
      </c>
      <c r="M166" t="str">
        <f>VLOOKUP(fact_daily_prices[[#This Row],[Ticker]], dim_company[], 2, FALSE)</f>
        <v>Apple Inc.</v>
      </c>
      <c r="N166" t="str">
        <f>VLOOKUP(fact_daily_prices[[#This Row],[Ticker]], dim_company[], 3, FALSE)</f>
        <v>Technology</v>
      </c>
    </row>
    <row r="167" spans="1:14" x14ac:dyDescent="0.3">
      <c r="A167" s="1">
        <v>45719</v>
      </c>
      <c r="B167">
        <v>236.77891540527344</v>
      </c>
      <c r="C167">
        <v>242.74737946323825</v>
      </c>
      <c r="D167">
        <v>234.86900872815539</v>
      </c>
      <c r="E167">
        <v>240.51914741730599</v>
      </c>
      <c r="F167">
        <v>47184000</v>
      </c>
      <c r="G167" s="2" t="s">
        <v>12</v>
      </c>
      <c r="H167">
        <v>-1.5754231452227652</v>
      </c>
      <c r="I167">
        <v>107.79959799388756</v>
      </c>
      <c r="J167">
        <v>238.52198303222653</v>
      </c>
      <c r="K167">
        <v>1.7219663063499149</v>
      </c>
      <c r="L167">
        <v>0</v>
      </c>
      <c r="M167" t="str">
        <f>VLOOKUP(fact_daily_prices[[#This Row],[Ticker]], dim_company[], 2, FALSE)</f>
        <v>Apple Inc.</v>
      </c>
      <c r="N167" t="str">
        <f>VLOOKUP(fact_daily_prices[[#This Row],[Ticker]], dim_company[], 3, FALSE)</f>
        <v>Technology</v>
      </c>
    </row>
    <row r="168" spans="1:14" x14ac:dyDescent="0.3">
      <c r="A168" s="1">
        <v>45720</v>
      </c>
      <c r="B168">
        <v>234.68994140625</v>
      </c>
      <c r="C168">
        <v>238.80819608105105</v>
      </c>
      <c r="D168">
        <v>233.44651142335263</v>
      </c>
      <c r="E168">
        <v>236.46059966619731</v>
      </c>
      <c r="F168">
        <v>53798100</v>
      </c>
      <c r="G168" s="2" t="s">
        <v>12</v>
      </c>
      <c r="H168">
        <v>-0.88224662886385863</v>
      </c>
      <c r="I168">
        <v>106.84853967465769</v>
      </c>
      <c r="J168">
        <v>238.17836639404294</v>
      </c>
      <c r="K168">
        <v>1.7283393209300384</v>
      </c>
      <c r="L168">
        <v>0</v>
      </c>
      <c r="M168" t="str">
        <f>VLOOKUP(fact_daily_prices[[#This Row],[Ticker]], dim_company[], 2, FALSE)</f>
        <v>Apple Inc.</v>
      </c>
      <c r="N168" t="str">
        <f>VLOOKUP(fact_daily_prices[[#This Row],[Ticker]], dim_company[], 3, FALSE)</f>
        <v>Technology</v>
      </c>
    </row>
    <row r="169" spans="1:14" x14ac:dyDescent="0.3">
      <c r="A169" s="1">
        <v>45721</v>
      </c>
      <c r="B169">
        <v>234.50096130371091</v>
      </c>
      <c r="C169">
        <v>235.30670153327668</v>
      </c>
      <c r="D169">
        <v>228.02516800362179</v>
      </c>
      <c r="E169">
        <v>234.18263593082168</v>
      </c>
      <c r="F169">
        <v>47227600</v>
      </c>
      <c r="G169" s="2" t="s">
        <v>12</v>
      </c>
      <c r="H169">
        <v>-8.0523307222601925E-2</v>
      </c>
      <c r="I169">
        <v>106.7625016967926</v>
      </c>
      <c r="J169">
        <v>237.93888031005855</v>
      </c>
      <c r="K169">
        <v>1.6133339717226629</v>
      </c>
      <c r="L169">
        <v>0</v>
      </c>
      <c r="M169" t="str">
        <f>VLOOKUP(fact_daily_prices[[#This Row],[Ticker]], dim_company[], 2, FALSE)</f>
        <v>Apple Inc.</v>
      </c>
      <c r="N169" t="str">
        <f>VLOOKUP(fact_daily_prices[[#This Row],[Ticker]], dim_company[], 3, FALSE)</f>
        <v>Technology</v>
      </c>
    </row>
    <row r="170" spans="1:14" x14ac:dyDescent="0.3">
      <c r="A170" s="1">
        <v>45722</v>
      </c>
      <c r="B170">
        <v>234.09309387207031</v>
      </c>
      <c r="C170">
        <v>236.60979483297604</v>
      </c>
      <c r="D170">
        <v>231.9345013377031</v>
      </c>
      <c r="E170">
        <v>233.20777237015392</v>
      </c>
      <c r="F170">
        <v>45170400</v>
      </c>
      <c r="G170" s="2" t="s">
        <v>12</v>
      </c>
      <c r="H170">
        <v>-0.17392996146926576</v>
      </c>
      <c r="I170">
        <v>106.57680971872776</v>
      </c>
      <c r="J170">
        <v>237.65665832519528</v>
      </c>
      <c r="K170">
        <v>1.6135595313872522</v>
      </c>
      <c r="L170">
        <v>0</v>
      </c>
      <c r="M170" t="str">
        <f>VLOOKUP(fact_daily_prices[[#This Row],[Ticker]], dim_company[], 2, FALSE)</f>
        <v>Apple Inc.</v>
      </c>
      <c r="N170" t="str">
        <f>VLOOKUP(fact_daily_prices[[#This Row],[Ticker]], dim_company[], 3, FALSE)</f>
        <v>Technology</v>
      </c>
    </row>
    <row r="171" spans="1:14" x14ac:dyDescent="0.3">
      <c r="A171" s="1">
        <v>45723</v>
      </c>
      <c r="B171">
        <v>237.81344604492188</v>
      </c>
      <c r="C171">
        <v>240.10134501237945</v>
      </c>
      <c r="D171">
        <v>233.5260868229449</v>
      </c>
      <c r="E171">
        <v>233.87425328073451</v>
      </c>
      <c r="F171">
        <v>46273600</v>
      </c>
      <c r="G171" s="2" t="s">
        <v>12</v>
      </c>
      <c r="H171">
        <v>1.5892618237104861</v>
      </c>
      <c r="I171">
        <v>108.27059426851606</v>
      </c>
      <c r="J171">
        <v>237.35543945312497</v>
      </c>
      <c r="K171">
        <v>1.6328574828424656</v>
      </c>
      <c r="L171">
        <v>0</v>
      </c>
      <c r="M171" t="str">
        <f>VLOOKUP(fact_daily_prices[[#This Row],[Ticker]], dim_company[], 2, FALSE)</f>
        <v>Apple Inc.</v>
      </c>
      <c r="N171" t="str">
        <f>VLOOKUP(fact_daily_prices[[#This Row],[Ticker]], dim_company[], 3, FALSE)</f>
        <v>Technology</v>
      </c>
    </row>
    <row r="172" spans="1:14" x14ac:dyDescent="0.3">
      <c r="A172" s="1">
        <v>45726</v>
      </c>
      <c r="B172">
        <v>226.28436279296875</v>
      </c>
      <c r="C172">
        <v>234.91874867921032</v>
      </c>
      <c r="D172">
        <v>223.0415027897028</v>
      </c>
      <c r="E172">
        <v>234.30199707252871</v>
      </c>
      <c r="F172">
        <v>72071200</v>
      </c>
      <c r="G172" s="2" t="s">
        <v>12</v>
      </c>
      <c r="H172">
        <v>-4.8479526467882454</v>
      </c>
      <c r="I172">
        <v>103.02168712798216</v>
      </c>
      <c r="J172">
        <v>236.80813812255855</v>
      </c>
      <c r="K172">
        <v>1.8766727236532923</v>
      </c>
      <c r="L172">
        <v>0</v>
      </c>
      <c r="M172" t="str">
        <f>VLOOKUP(fact_daily_prices[[#This Row],[Ticker]], dim_company[], 2, FALSE)</f>
        <v>Apple Inc.</v>
      </c>
      <c r="N172" t="str">
        <f>VLOOKUP(fact_daily_prices[[#This Row],[Ticker]], dim_company[], 3, FALSE)</f>
        <v>Technology</v>
      </c>
    </row>
    <row r="173" spans="1:14" x14ac:dyDescent="0.3">
      <c r="A173" s="1">
        <v>45727</v>
      </c>
      <c r="B173">
        <v>219.67926025390625</v>
      </c>
      <c r="C173">
        <v>224.65298022983384</v>
      </c>
      <c r="D173">
        <v>216.30707871737093</v>
      </c>
      <c r="E173">
        <v>222.63365113389432</v>
      </c>
      <c r="F173">
        <v>76137400</v>
      </c>
      <c r="G173" s="2" t="s">
        <v>12</v>
      </c>
      <c r="H173">
        <v>-2.9189390099861323</v>
      </c>
      <c r="I173">
        <v>100.01454691365765</v>
      </c>
      <c r="J173">
        <v>236.07050628662105</v>
      </c>
      <c r="K173">
        <v>1.8608368740564372</v>
      </c>
      <c r="L173">
        <v>0</v>
      </c>
      <c r="M173" t="str">
        <f>VLOOKUP(fact_daily_prices[[#This Row],[Ticker]], dim_company[], 2, FALSE)</f>
        <v>Apple Inc.</v>
      </c>
      <c r="N173" t="str">
        <f>VLOOKUP(fact_daily_prices[[#This Row],[Ticker]], dim_company[], 3, FALSE)</f>
        <v>Technology</v>
      </c>
    </row>
    <row r="174" spans="1:14" x14ac:dyDescent="0.3">
      <c r="A174" s="1">
        <v>45728</v>
      </c>
      <c r="B174">
        <v>215.83956909179688</v>
      </c>
      <c r="C174">
        <v>220.58450266635003</v>
      </c>
      <c r="D174">
        <v>213.78045671174684</v>
      </c>
      <c r="E174">
        <v>218.98296406915983</v>
      </c>
      <c r="F174">
        <v>62547500</v>
      </c>
      <c r="G174" s="2" t="s">
        <v>12</v>
      </c>
      <c r="H174">
        <v>-1.7478623870416543</v>
      </c>
      <c r="I174">
        <v>98.266430266583697</v>
      </c>
      <c r="J174">
        <v>235.2397860717773</v>
      </c>
      <c r="K174">
        <v>1.7412552353472761</v>
      </c>
      <c r="L174">
        <v>0</v>
      </c>
      <c r="M174" t="str">
        <f>VLOOKUP(fact_daily_prices[[#This Row],[Ticker]], dim_company[], 2, FALSE)</f>
        <v>Apple Inc.</v>
      </c>
      <c r="N174" t="str">
        <f>VLOOKUP(fact_daily_prices[[#This Row],[Ticker]], dim_company[], 3, FALSE)</f>
        <v>Technology</v>
      </c>
    </row>
    <row r="175" spans="1:14" x14ac:dyDescent="0.3">
      <c r="A175" s="1">
        <v>45729</v>
      </c>
      <c r="B175">
        <v>208.57791137695313</v>
      </c>
      <c r="C175">
        <v>215.70028194858563</v>
      </c>
      <c r="D175">
        <v>207.32453942081881</v>
      </c>
      <c r="E175">
        <v>214.8149604095552</v>
      </c>
      <c r="F175">
        <v>61368300</v>
      </c>
      <c r="G175" s="2" t="s">
        <v>12</v>
      </c>
      <c r="H175">
        <v>-3.3643774148545247</v>
      </c>
      <c r="I175">
        <v>94.960376680310972</v>
      </c>
      <c r="J175">
        <v>234.33199645996089</v>
      </c>
      <c r="K175">
        <v>1.8223110590351297</v>
      </c>
      <c r="L175">
        <v>0</v>
      </c>
      <c r="M175" t="str">
        <f>VLOOKUP(fact_daily_prices[[#This Row],[Ticker]], dim_company[], 2, FALSE)</f>
        <v>Apple Inc.</v>
      </c>
      <c r="N175" t="str">
        <f>VLOOKUP(fact_daily_prices[[#This Row],[Ticker]], dim_company[], 3, FALSE)</f>
        <v>Technology</v>
      </c>
    </row>
    <row r="176" spans="1:14" x14ac:dyDescent="0.3">
      <c r="A176" s="1">
        <v>45730</v>
      </c>
      <c r="B176">
        <v>212.36788940429688</v>
      </c>
      <c r="C176">
        <v>212.82546311709569</v>
      </c>
      <c r="D176">
        <v>208.47843695256688</v>
      </c>
      <c r="E176">
        <v>210.13965751241795</v>
      </c>
      <c r="F176">
        <v>60107600</v>
      </c>
      <c r="G176" s="2" t="s">
        <v>12</v>
      </c>
      <c r="H176">
        <v>1.8170562751941066</v>
      </c>
      <c r="I176">
        <v>96.685860163728549</v>
      </c>
      <c r="J176">
        <v>233.56737579345699</v>
      </c>
      <c r="K176">
        <v>1.8661269231783761</v>
      </c>
      <c r="L176">
        <v>0</v>
      </c>
      <c r="M176" t="str">
        <f>VLOOKUP(fact_daily_prices[[#This Row],[Ticker]], dim_company[], 2, FALSE)</f>
        <v>Apple Inc.</v>
      </c>
      <c r="N176" t="str">
        <f>VLOOKUP(fact_daily_prices[[#This Row],[Ticker]], dim_company[], 3, FALSE)</f>
        <v>Technology</v>
      </c>
    </row>
    <row r="177" spans="1:14" x14ac:dyDescent="0.3">
      <c r="A177" s="1">
        <v>45733</v>
      </c>
      <c r="B177">
        <v>212.87521362304688</v>
      </c>
      <c r="C177">
        <v>214.08880250378311</v>
      </c>
      <c r="D177">
        <v>208.86639656209621</v>
      </c>
      <c r="E177">
        <v>212.18883784213668</v>
      </c>
      <c r="F177">
        <v>48073400</v>
      </c>
      <c r="G177" s="2" t="s">
        <v>12</v>
      </c>
      <c r="H177">
        <v>0.23888932558169262</v>
      </c>
      <c r="I177">
        <v>96.916832363006534</v>
      </c>
      <c r="J177">
        <v>232.84827606201168</v>
      </c>
      <c r="K177">
        <v>1.8678867634137875</v>
      </c>
      <c r="L177">
        <v>0</v>
      </c>
      <c r="M177" t="str">
        <f>VLOOKUP(fact_daily_prices[[#This Row],[Ticker]], dim_company[], 2, FALSE)</f>
        <v>Apple Inc.</v>
      </c>
      <c r="N177" t="str">
        <f>VLOOKUP(fact_daily_prices[[#This Row],[Ticker]], dim_company[], 3, FALSE)</f>
        <v>Technology</v>
      </c>
    </row>
    <row r="178" spans="1:14" x14ac:dyDescent="0.3">
      <c r="A178" s="1">
        <v>45734</v>
      </c>
      <c r="B178">
        <v>211.57209777832031</v>
      </c>
      <c r="C178">
        <v>214.01915944879545</v>
      </c>
      <c r="D178">
        <v>210.378408047948</v>
      </c>
      <c r="E178">
        <v>213.03437263106773</v>
      </c>
      <c r="F178">
        <v>42432400</v>
      </c>
      <c r="G178" s="2" t="s">
        <v>12</v>
      </c>
      <c r="H178">
        <v>-0.61215010547638338</v>
      </c>
      <c r="I178">
        <v>96.32355587147201</v>
      </c>
      <c r="J178">
        <v>232.2336795043945</v>
      </c>
      <c r="K178">
        <v>1.776558781885978</v>
      </c>
      <c r="L178">
        <v>0</v>
      </c>
      <c r="M178" t="str">
        <f>VLOOKUP(fact_daily_prices[[#This Row],[Ticker]], dim_company[], 2, FALSE)</f>
        <v>Apple Inc.</v>
      </c>
      <c r="N178" t="str">
        <f>VLOOKUP(fact_daily_prices[[#This Row],[Ticker]], dim_company[], 3, FALSE)</f>
        <v>Technology</v>
      </c>
    </row>
    <row r="179" spans="1:14" x14ac:dyDescent="0.3">
      <c r="A179" s="1">
        <v>45735</v>
      </c>
      <c r="B179">
        <v>214.10871887207031</v>
      </c>
      <c r="C179">
        <v>217.6102070663037</v>
      </c>
      <c r="D179">
        <v>212.62654474499411</v>
      </c>
      <c r="E179">
        <v>213.09407567170305</v>
      </c>
      <c r="F179">
        <v>54385400</v>
      </c>
      <c r="G179" s="2" t="s">
        <v>12</v>
      </c>
      <c r="H179">
        <v>1.1989393310302132</v>
      </c>
      <c r="I179">
        <v>97.478416867861966</v>
      </c>
      <c r="J179">
        <v>231.67955322265621</v>
      </c>
      <c r="K179">
        <v>1.7433856291068093</v>
      </c>
      <c r="L179">
        <v>0</v>
      </c>
      <c r="M179" t="str">
        <f>VLOOKUP(fact_daily_prices[[#This Row],[Ticker]], dim_company[], 2, FALSE)</f>
        <v>Apple Inc.</v>
      </c>
      <c r="N179" t="str">
        <f>VLOOKUP(fact_daily_prices[[#This Row],[Ticker]], dim_company[], 3, FALSE)</f>
        <v>Technology</v>
      </c>
    </row>
    <row r="180" spans="1:14" x14ac:dyDescent="0.3">
      <c r="A180" s="1">
        <v>45736</v>
      </c>
      <c r="B180">
        <v>212.9747009277344</v>
      </c>
      <c r="C180">
        <v>216.3468825511506</v>
      </c>
      <c r="D180">
        <v>211.10457731145533</v>
      </c>
      <c r="E180">
        <v>212.86527847830129</v>
      </c>
      <c r="F180">
        <v>48862900</v>
      </c>
      <c r="G180" s="2" t="s">
        <v>12</v>
      </c>
      <c r="H180">
        <v>-0.52964585015964349</v>
      </c>
      <c r="I180">
        <v>96.962126478119998</v>
      </c>
      <c r="J180">
        <v>231.07015502929684</v>
      </c>
      <c r="K180">
        <v>1.7440504378539308</v>
      </c>
      <c r="L180">
        <v>0</v>
      </c>
      <c r="M180" t="str">
        <f>VLOOKUP(fact_daily_prices[[#This Row],[Ticker]], dim_company[], 2, FALSE)</f>
        <v>Apple Inc.</v>
      </c>
      <c r="N180" t="str">
        <f>VLOOKUP(fact_daily_prices[[#This Row],[Ticker]], dim_company[], 3, FALSE)</f>
        <v>Technology</v>
      </c>
    </row>
    <row r="181" spans="1:14" x14ac:dyDescent="0.3">
      <c r="A181" s="1">
        <v>45737</v>
      </c>
      <c r="B181">
        <v>217.12277221679688</v>
      </c>
      <c r="C181">
        <v>217.68976839110027</v>
      </c>
      <c r="D181">
        <v>210.16950634984832</v>
      </c>
      <c r="E181">
        <v>210.4480334492585</v>
      </c>
      <c r="F181">
        <v>94127800</v>
      </c>
      <c r="G181" s="2" t="s">
        <v>12</v>
      </c>
      <c r="H181">
        <v>1.947682645400195</v>
      </c>
      <c r="I181">
        <v>98.850640988145344</v>
      </c>
      <c r="J181">
        <v>230.59916381835933</v>
      </c>
      <c r="K181">
        <v>1.7873250712386251</v>
      </c>
      <c r="L181">
        <v>0</v>
      </c>
      <c r="M181" t="str">
        <f>VLOOKUP(fact_daily_prices[[#This Row],[Ticker]], dim_company[], 2, FALSE)</f>
        <v>Apple Inc.</v>
      </c>
      <c r="N181" t="str">
        <f>VLOOKUP(fact_daily_prices[[#This Row],[Ticker]], dim_company[], 3, FALSE)</f>
        <v>Technology</v>
      </c>
    </row>
    <row r="182" spans="1:14" x14ac:dyDescent="0.3">
      <c r="A182" s="1">
        <v>45740</v>
      </c>
      <c r="B182">
        <v>219.56985473632807</v>
      </c>
      <c r="C182">
        <v>220.31591279023905</v>
      </c>
      <c r="D182">
        <v>217.4311610532196</v>
      </c>
      <c r="E182">
        <v>219.83843988574125</v>
      </c>
      <c r="F182">
        <v>44299500</v>
      </c>
      <c r="G182" s="2" t="s">
        <v>12</v>
      </c>
      <c r="H182">
        <v>1.1270501451997816</v>
      </c>
      <c r="I182">
        <v>99.96473728093315</v>
      </c>
      <c r="J182">
        <v>230.16737640380856</v>
      </c>
      <c r="K182">
        <v>1.7535345940604099</v>
      </c>
      <c r="L182">
        <v>0</v>
      </c>
      <c r="M182" t="str">
        <f>VLOOKUP(fact_daily_prices[[#This Row],[Ticker]], dim_company[], 2, FALSE)</f>
        <v>Apple Inc.</v>
      </c>
      <c r="N182" t="str">
        <f>VLOOKUP(fact_daily_prices[[#This Row],[Ticker]], dim_company[], 3, FALSE)</f>
        <v>Technology</v>
      </c>
    </row>
    <row r="183" spans="1:14" x14ac:dyDescent="0.3">
      <c r="A183" s="1">
        <v>45741</v>
      </c>
      <c r="B183">
        <v>222.57395935058599</v>
      </c>
      <c r="C183">
        <v>222.9221258053629</v>
      </c>
      <c r="D183">
        <v>218.92325086669069</v>
      </c>
      <c r="E183">
        <v>219.60962662242409</v>
      </c>
      <c r="F183">
        <v>34493600</v>
      </c>
      <c r="G183" s="2" t="s">
        <v>12</v>
      </c>
      <c r="H183">
        <v>1.3681771652422015</v>
      </c>
      <c r="I183">
        <v>101.33243198970526</v>
      </c>
      <c r="J183">
        <v>229.91192840576167</v>
      </c>
      <c r="K183">
        <v>1.7732394139576138</v>
      </c>
      <c r="L183">
        <v>0</v>
      </c>
      <c r="M183" t="str">
        <f>VLOOKUP(fact_daily_prices[[#This Row],[Ticker]], dim_company[], 2, FALSE)</f>
        <v>Apple Inc.</v>
      </c>
      <c r="N183" t="str">
        <f>VLOOKUP(fact_daily_prices[[#This Row],[Ticker]], dim_company[], 3, FALSE)</f>
        <v>Technology</v>
      </c>
    </row>
    <row r="184" spans="1:14" x14ac:dyDescent="0.3">
      <c r="A184" s="1">
        <v>45742</v>
      </c>
      <c r="B184">
        <v>220.3656311035156</v>
      </c>
      <c r="C184">
        <v>223.83729303324839</v>
      </c>
      <c r="D184">
        <v>219.31120492080973</v>
      </c>
      <c r="E184">
        <v>222.33521991986419</v>
      </c>
      <c r="F184">
        <v>34466100</v>
      </c>
      <c r="G184" s="2" t="s">
        <v>12</v>
      </c>
      <c r="H184">
        <v>-0.99217727604511419</v>
      </c>
      <c r="I184">
        <v>100.32703462623951</v>
      </c>
      <c r="J184">
        <v>229.66100311279294</v>
      </c>
      <c r="K184">
        <v>1.7300686242753676</v>
      </c>
      <c r="L184">
        <v>0</v>
      </c>
      <c r="M184" t="str">
        <f>VLOOKUP(fact_daily_prices[[#This Row],[Ticker]], dim_company[], 2, FALSE)</f>
        <v>Apple Inc.</v>
      </c>
      <c r="N184" t="str">
        <f>VLOOKUP(fact_daily_prices[[#This Row],[Ticker]], dim_company[], 3, FALSE)</f>
        <v>Technology</v>
      </c>
    </row>
    <row r="185" spans="1:14" x14ac:dyDescent="0.3">
      <c r="A185" s="1">
        <v>45743</v>
      </c>
      <c r="B185">
        <v>222.67344665527344</v>
      </c>
      <c r="C185">
        <v>223.80745418869529</v>
      </c>
      <c r="D185">
        <v>219.40073045135125</v>
      </c>
      <c r="E185">
        <v>220.22636977863209</v>
      </c>
      <c r="F185">
        <v>37094800</v>
      </c>
      <c r="G185" s="2" t="s">
        <v>12</v>
      </c>
      <c r="H185">
        <v>1.0472665543175275</v>
      </c>
      <c r="I185">
        <v>101.37772610481868</v>
      </c>
      <c r="J185">
        <v>229.47849121093748</v>
      </c>
      <c r="K185">
        <v>1.7050485649020537</v>
      </c>
      <c r="L185">
        <v>0</v>
      </c>
      <c r="M185" t="str">
        <f>VLOOKUP(fact_daily_prices[[#This Row],[Ticker]], dim_company[], 2, FALSE)</f>
        <v>Apple Inc.</v>
      </c>
      <c r="N185" t="str">
        <f>VLOOKUP(fact_daily_prices[[#This Row],[Ticker]], dim_company[], 3, FALSE)</f>
        <v>Technology</v>
      </c>
    </row>
    <row r="186" spans="1:14" x14ac:dyDescent="0.3">
      <c r="A186" s="1">
        <v>45744</v>
      </c>
      <c r="B186">
        <v>216.75473022460929</v>
      </c>
      <c r="C186">
        <v>222.63367141455515</v>
      </c>
      <c r="D186">
        <v>216.53588531144595</v>
      </c>
      <c r="E186">
        <v>220.50491967808449</v>
      </c>
      <c r="F186">
        <v>39818600</v>
      </c>
      <c r="G186" s="2" t="s">
        <v>12</v>
      </c>
      <c r="H186">
        <v>-2.6580252470906673</v>
      </c>
      <c r="I186">
        <v>98.683080550026176</v>
      </c>
      <c r="J186">
        <v>229.08638854980464</v>
      </c>
      <c r="K186">
        <v>1.7138386164976167</v>
      </c>
      <c r="L186">
        <v>0</v>
      </c>
      <c r="M186" t="str">
        <f>VLOOKUP(fact_daily_prices[[#This Row],[Ticker]], dim_company[], 2, FALSE)</f>
        <v>Apple Inc.</v>
      </c>
      <c r="N186" t="str">
        <f>VLOOKUP(fact_daily_prices[[#This Row],[Ticker]], dim_company[], 3, FALSE)</f>
        <v>Technology</v>
      </c>
    </row>
    <row r="187" spans="1:14" x14ac:dyDescent="0.3">
      <c r="A187" s="1">
        <v>45747</v>
      </c>
      <c r="B187">
        <v>220.9624938964844</v>
      </c>
      <c r="C187">
        <v>224.43414081005065</v>
      </c>
      <c r="D187">
        <v>215.09349507460487</v>
      </c>
      <c r="E187">
        <v>215.86939419548489</v>
      </c>
      <c r="F187">
        <v>65299300</v>
      </c>
      <c r="G187" s="2" t="s">
        <v>12</v>
      </c>
      <c r="H187">
        <v>1.9412557536875319</v>
      </c>
      <c r="I187">
        <v>100.59877152911965</v>
      </c>
      <c r="J187">
        <v>228.96942047119137</v>
      </c>
      <c r="K187">
        <v>1.7395789943915902</v>
      </c>
      <c r="L187">
        <v>0</v>
      </c>
      <c r="M187" t="str">
        <f>VLOOKUP(fact_daily_prices[[#This Row],[Ticker]], dim_company[], 2, FALSE)</f>
        <v>Apple Inc.</v>
      </c>
      <c r="N187" t="str">
        <f>VLOOKUP(fact_daily_prices[[#This Row],[Ticker]], dim_company[], 3, FALSE)</f>
        <v>Technology</v>
      </c>
    </row>
    <row r="188" spans="1:14" x14ac:dyDescent="0.3">
      <c r="A188" s="1">
        <v>45748</v>
      </c>
      <c r="B188">
        <v>222.01690673828125</v>
      </c>
      <c r="C188">
        <v>222.5043215641154</v>
      </c>
      <c r="D188">
        <v>217.74944665223009</v>
      </c>
      <c r="E188">
        <v>218.65466729819107</v>
      </c>
      <c r="F188">
        <v>36412700</v>
      </c>
      <c r="G188" s="2" t="s">
        <v>12</v>
      </c>
      <c r="H188">
        <v>0.4771908676459935</v>
      </c>
      <c r="I188">
        <v>101.07881967982067</v>
      </c>
      <c r="J188">
        <v>228.83935943603512</v>
      </c>
      <c r="K188">
        <v>1.7449224919628725</v>
      </c>
      <c r="L188">
        <v>0</v>
      </c>
      <c r="M188" t="str">
        <f>VLOOKUP(fact_daily_prices[[#This Row],[Ticker]], dim_company[], 2, FALSE)</f>
        <v>Apple Inc.</v>
      </c>
      <c r="N188" t="str">
        <f>VLOOKUP(fact_daily_prices[[#This Row],[Ticker]], dim_company[], 3, FALSE)</f>
        <v>Technology</v>
      </c>
    </row>
    <row r="189" spans="1:14" x14ac:dyDescent="0.3">
      <c r="A189" s="1">
        <v>45749</v>
      </c>
      <c r="B189">
        <v>222.71322631835929</v>
      </c>
      <c r="C189">
        <v>224.00639651207049</v>
      </c>
      <c r="D189">
        <v>219.85831598824521</v>
      </c>
      <c r="E189">
        <v>220.15674221426903</v>
      </c>
      <c r="F189">
        <v>35905900</v>
      </c>
      <c r="G189" s="2" t="s">
        <v>12</v>
      </c>
      <c r="H189">
        <v>0.31363358327429758</v>
      </c>
      <c r="I189">
        <v>101.39583680391387</v>
      </c>
      <c r="J189">
        <v>228.86909271240231</v>
      </c>
      <c r="K189">
        <v>1.7464762085391494</v>
      </c>
      <c r="L189">
        <v>0</v>
      </c>
      <c r="M189" t="str">
        <f>VLOOKUP(fact_daily_prices[[#This Row],[Ticker]], dim_company[], 2, FALSE)</f>
        <v>Apple Inc.</v>
      </c>
      <c r="N189" t="str">
        <f>VLOOKUP(fact_daily_prices[[#This Row],[Ticker]], dim_company[], 3, FALSE)</f>
        <v>Technology</v>
      </c>
    </row>
    <row r="190" spans="1:14" x14ac:dyDescent="0.3">
      <c r="A190" s="1">
        <v>45750</v>
      </c>
      <c r="B190">
        <v>202.12203979492188</v>
      </c>
      <c r="C190">
        <v>206.39944211542388</v>
      </c>
      <c r="D190">
        <v>200.19223396809613</v>
      </c>
      <c r="E190">
        <v>204.45967913410391</v>
      </c>
      <c r="F190">
        <v>103419000</v>
      </c>
      <c r="G190" s="2" t="s">
        <v>12</v>
      </c>
      <c r="H190">
        <v>-9.2456055995539188</v>
      </c>
      <c r="I190">
        <v>92.021177638656653</v>
      </c>
      <c r="J190">
        <v>228.46335296630855</v>
      </c>
      <c r="K190">
        <v>2.3869441056169936</v>
      </c>
      <c r="L190">
        <v>0</v>
      </c>
      <c r="M190" t="str">
        <f>VLOOKUP(fact_daily_prices[[#This Row],[Ticker]], dim_company[], 2, FALSE)</f>
        <v>Apple Inc.</v>
      </c>
      <c r="N190" t="str">
        <f>VLOOKUP(fact_daily_prices[[#This Row],[Ticker]], dim_company[], 3, FALSE)</f>
        <v>Technology</v>
      </c>
    </row>
    <row r="191" spans="1:14" x14ac:dyDescent="0.3">
      <c r="A191" s="1">
        <v>45751</v>
      </c>
      <c r="B191">
        <v>187.389892578125</v>
      </c>
      <c r="C191">
        <v>198.82944937179329</v>
      </c>
      <c r="D191">
        <v>186.35535024633944</v>
      </c>
      <c r="E191">
        <v>192.87092693410324</v>
      </c>
      <c r="F191">
        <v>125910900</v>
      </c>
      <c r="G191" s="2" t="s">
        <v>12</v>
      </c>
      <c r="H191">
        <v>-7.2887386411420003</v>
      </c>
      <c r="I191">
        <v>85.313994506073968</v>
      </c>
      <c r="J191">
        <v>227.76634887695309</v>
      </c>
      <c r="K191">
        <v>2.6766603027764089</v>
      </c>
      <c r="L191">
        <v>1</v>
      </c>
      <c r="M191" t="str">
        <f>VLOOKUP(fact_daily_prices[[#This Row],[Ticker]], dim_company[], 2, FALSE)</f>
        <v>Apple Inc.</v>
      </c>
      <c r="N191" t="str">
        <f>VLOOKUP(fact_daily_prices[[#This Row],[Ticker]], dim_company[], 3, FALSE)</f>
        <v>Technology</v>
      </c>
    </row>
    <row r="192" spans="1:14" x14ac:dyDescent="0.3">
      <c r="A192" s="1">
        <v>45754</v>
      </c>
      <c r="B192">
        <v>180.50624084472656</v>
      </c>
      <c r="C192">
        <v>193.12952861035487</v>
      </c>
      <c r="D192">
        <v>173.70218080411468</v>
      </c>
      <c r="E192">
        <v>176.26862197387908</v>
      </c>
      <c r="F192">
        <v>160466300</v>
      </c>
      <c r="G192" s="2" t="s">
        <v>12</v>
      </c>
      <c r="H192">
        <v>-3.673438112745897</v>
      </c>
      <c r="I192">
        <v>82.180037716381904</v>
      </c>
      <c r="J192">
        <v>226.94916046142575</v>
      </c>
      <c r="K192">
        <v>2.7121140733772808</v>
      </c>
      <c r="L192">
        <v>1</v>
      </c>
      <c r="M192" t="str">
        <f>VLOOKUP(fact_daily_prices[[#This Row],[Ticker]], dim_company[], 2, FALSE)</f>
        <v>Apple Inc.</v>
      </c>
      <c r="N192" t="str">
        <f>VLOOKUP(fact_daily_prices[[#This Row],[Ticker]], dim_company[], 3, FALSE)</f>
        <v>Technology</v>
      </c>
    </row>
    <row r="193" spans="1:14" x14ac:dyDescent="0.3">
      <c r="A193" s="1">
        <v>45755</v>
      </c>
      <c r="B193">
        <v>171.51376342773438</v>
      </c>
      <c r="C193">
        <v>189.33957458197369</v>
      </c>
      <c r="D193">
        <v>168.32064359895526</v>
      </c>
      <c r="E193">
        <v>185.71870692843439</v>
      </c>
      <c r="F193">
        <v>120859500</v>
      </c>
      <c r="G193" s="2" t="s">
        <v>12</v>
      </c>
      <c r="H193">
        <v>-4.981809700822259</v>
      </c>
      <c r="I193">
        <v>78.085984625287779</v>
      </c>
      <c r="J193">
        <v>225.81142120361324</v>
      </c>
      <c r="K193">
        <v>2.8010024953555872</v>
      </c>
      <c r="L193">
        <v>0</v>
      </c>
      <c r="M193" t="str">
        <f>VLOOKUP(fact_daily_prices[[#This Row],[Ticker]], dim_company[], 2, FALSE)</f>
        <v>Apple Inc.</v>
      </c>
      <c r="N193" t="str">
        <f>VLOOKUP(fact_daily_prices[[#This Row],[Ticker]], dim_company[], 3, FALSE)</f>
        <v>Technology</v>
      </c>
    </row>
    <row r="194" spans="1:14" x14ac:dyDescent="0.3">
      <c r="A194" s="1">
        <v>45756</v>
      </c>
      <c r="B194">
        <v>197.80484008789065</v>
      </c>
      <c r="C194">
        <v>199.55558397169528</v>
      </c>
      <c r="D194">
        <v>170.9865365771085</v>
      </c>
      <c r="E194">
        <v>171.04621878540135</v>
      </c>
      <c r="F194">
        <v>184395900</v>
      </c>
      <c r="G194" s="2" t="s">
        <v>12</v>
      </c>
      <c r="H194">
        <v>15.328843665210435</v>
      </c>
      <c r="I194">
        <v>90.055663132938406</v>
      </c>
      <c r="J194">
        <v>225.03256958007807</v>
      </c>
      <c r="K194">
        <v>4.093330489839297</v>
      </c>
      <c r="L194">
        <v>1</v>
      </c>
      <c r="M194" t="str">
        <f>VLOOKUP(fact_daily_prices[[#This Row],[Ticker]], dim_company[], 2, FALSE)</f>
        <v>Apple Inc.</v>
      </c>
      <c r="N194" t="str">
        <f>VLOOKUP(fact_daily_prices[[#This Row],[Ticker]], dim_company[], 3, FALSE)</f>
        <v>Technology</v>
      </c>
    </row>
    <row r="195" spans="1:14" x14ac:dyDescent="0.3">
      <c r="A195" s="1">
        <v>45757</v>
      </c>
      <c r="B195">
        <v>189.41914367675781</v>
      </c>
      <c r="C195">
        <v>193.75622796404051</v>
      </c>
      <c r="D195">
        <v>182.03814529024515</v>
      </c>
      <c r="E195">
        <v>188.07624843340889</v>
      </c>
      <c r="F195">
        <v>121880000</v>
      </c>
      <c r="G195" s="2" t="s">
        <v>12</v>
      </c>
      <c r="H195">
        <v>-4.2393787772871612</v>
      </c>
      <c r="I195">
        <v>86.2378624623354</v>
      </c>
      <c r="J195">
        <v>224.06414398193357</v>
      </c>
      <c r="K195">
        <v>4.1468444298878424</v>
      </c>
      <c r="L195">
        <v>0</v>
      </c>
      <c r="M195" t="str">
        <f>VLOOKUP(fact_daily_prices[[#This Row],[Ticker]], dim_company[], 2, FALSE)</f>
        <v>Apple Inc.</v>
      </c>
      <c r="N195" t="str">
        <f>VLOOKUP(fact_daily_prices[[#This Row],[Ticker]], dim_company[], 3, FALSE)</f>
        <v>Technology</v>
      </c>
    </row>
    <row r="196" spans="1:14" x14ac:dyDescent="0.3">
      <c r="A196" s="1">
        <v>45758</v>
      </c>
      <c r="B196">
        <v>197.1085205078125</v>
      </c>
      <c r="C196">
        <v>198.49121408156799</v>
      </c>
      <c r="D196">
        <v>185.08206900889689</v>
      </c>
      <c r="E196">
        <v>185.12186726950819</v>
      </c>
      <c r="F196">
        <v>87435900</v>
      </c>
      <c r="G196" s="2" t="s">
        <v>12</v>
      </c>
      <c r="H196">
        <v>4.0594507407216263</v>
      </c>
      <c r="I196">
        <v>89.738646008845166</v>
      </c>
      <c r="J196">
        <v>223.28468139648433</v>
      </c>
      <c r="K196">
        <v>4.2106157892168259</v>
      </c>
      <c r="L196">
        <v>0</v>
      </c>
      <c r="M196" t="str">
        <f>VLOOKUP(fact_daily_prices[[#This Row],[Ticker]], dim_company[], 2, FALSE)</f>
        <v>Apple Inc.</v>
      </c>
      <c r="N196" t="str">
        <f>VLOOKUP(fact_daily_prices[[#This Row],[Ticker]], dim_company[], 3, FALSE)</f>
        <v>Technology</v>
      </c>
    </row>
    <row r="197" spans="1:14" x14ac:dyDescent="0.3">
      <c r="A197" s="1">
        <v>45761</v>
      </c>
      <c r="B197">
        <v>201.45553588867188</v>
      </c>
      <c r="C197">
        <v>211.8207653514352</v>
      </c>
      <c r="D197">
        <v>200.10268359760289</v>
      </c>
      <c r="E197">
        <v>210.32864952357619</v>
      </c>
      <c r="F197">
        <v>101352900</v>
      </c>
      <c r="G197" s="2" t="s">
        <v>12</v>
      </c>
      <c r="H197">
        <v>2.2053919179445547</v>
      </c>
      <c r="I197">
        <v>91.717734855197108</v>
      </c>
      <c r="J197">
        <v>222.62375701904293</v>
      </c>
      <c r="K197">
        <v>4.2362541363149742</v>
      </c>
      <c r="L197">
        <v>0</v>
      </c>
      <c r="M197" t="str">
        <f>VLOOKUP(fact_daily_prices[[#This Row],[Ticker]], dim_company[], 2, FALSE)</f>
        <v>Apple Inc.</v>
      </c>
      <c r="N197" t="str">
        <f>VLOOKUP(fact_daily_prices[[#This Row],[Ticker]], dim_company[], 3, FALSE)</f>
        <v>Technology</v>
      </c>
    </row>
    <row r="198" spans="1:14" x14ac:dyDescent="0.3">
      <c r="A198" s="1">
        <v>45762</v>
      </c>
      <c r="B198">
        <v>201.0775451660156</v>
      </c>
      <c r="C198">
        <v>202.44033954558063</v>
      </c>
      <c r="D198">
        <v>198.74984792281177</v>
      </c>
      <c r="E198">
        <v>200.79901806914961</v>
      </c>
      <c r="F198">
        <v>51343900</v>
      </c>
      <c r="G198" s="2" t="s">
        <v>12</v>
      </c>
      <c r="H198">
        <v>-0.18762985141552724</v>
      </c>
      <c r="I198">
        <v>91.545645005566612</v>
      </c>
      <c r="J198">
        <v>222.11405822753903</v>
      </c>
      <c r="K198">
        <v>4.2357228520052201</v>
      </c>
      <c r="L198">
        <v>0</v>
      </c>
      <c r="M198" t="str">
        <f>VLOOKUP(fact_daily_prices[[#This Row],[Ticker]], dim_company[], 2, FALSE)</f>
        <v>Apple Inc.</v>
      </c>
      <c r="N198" t="str">
        <f>VLOOKUP(fact_daily_prices[[#This Row],[Ticker]], dim_company[], 3, FALSE)</f>
        <v>Technology</v>
      </c>
    </row>
    <row r="199" spans="1:14" x14ac:dyDescent="0.3">
      <c r="A199" s="1">
        <v>45763</v>
      </c>
      <c r="B199">
        <v>193.2489318847656</v>
      </c>
      <c r="C199">
        <v>199.64512887500649</v>
      </c>
      <c r="D199">
        <v>191.35890907242805</v>
      </c>
      <c r="E199">
        <v>197.31743142832599</v>
      </c>
      <c r="F199">
        <v>59732400</v>
      </c>
      <c r="G199" s="2" t="s">
        <v>12</v>
      </c>
      <c r="H199">
        <v>-3.8933304436288285</v>
      </c>
      <c r="I199">
        <v>87.981470538748511</v>
      </c>
      <c r="J199">
        <v>221.35259521484372</v>
      </c>
      <c r="K199">
        <v>4.2818445359426462</v>
      </c>
      <c r="L199">
        <v>0</v>
      </c>
      <c r="M199" t="str">
        <f>VLOOKUP(fact_daily_prices[[#This Row],[Ticker]], dim_company[], 2, FALSE)</f>
        <v>Apple Inc.</v>
      </c>
      <c r="N199" t="str">
        <f>VLOOKUP(fact_daily_prices[[#This Row],[Ticker]], dim_company[], 3, FALSE)</f>
        <v>Technology</v>
      </c>
    </row>
    <row r="200" spans="1:14" x14ac:dyDescent="0.3">
      <c r="A200" s="1">
        <v>45764</v>
      </c>
      <c r="B200">
        <v>195.94467163085929</v>
      </c>
      <c r="C200">
        <v>197.78495412822451</v>
      </c>
      <c r="D200">
        <v>193.3981293835528</v>
      </c>
      <c r="E200">
        <v>196.16351652822999</v>
      </c>
      <c r="F200">
        <v>52164700</v>
      </c>
      <c r="G200" s="2" t="s">
        <v>12</v>
      </c>
      <c r="H200">
        <v>1.394957125921481</v>
      </c>
      <c r="I200">
        <v>89.208774331519294</v>
      </c>
      <c r="J200">
        <v>220.65160522460934</v>
      </c>
      <c r="K200">
        <v>4.296234735324199</v>
      </c>
      <c r="L200">
        <v>0</v>
      </c>
      <c r="M200" t="str">
        <f>VLOOKUP(fact_daily_prices[[#This Row],[Ticker]], dim_company[], 2, FALSE)</f>
        <v>Apple Inc.</v>
      </c>
      <c r="N200" t="str">
        <f>VLOOKUP(fact_daily_prices[[#This Row],[Ticker]], dim_company[], 3, FALSE)</f>
        <v>Technology</v>
      </c>
    </row>
    <row r="201" spans="1:14" x14ac:dyDescent="0.3">
      <c r="A201" s="1">
        <v>45768</v>
      </c>
      <c r="B201">
        <v>192.14476013183599</v>
      </c>
      <c r="C201">
        <v>192.78139570274649</v>
      </c>
      <c r="D201">
        <v>188.8123615658979</v>
      </c>
      <c r="E201">
        <v>192.25418258208256</v>
      </c>
      <c r="F201">
        <v>46742500</v>
      </c>
      <c r="G201" s="2" t="s">
        <v>12</v>
      </c>
      <c r="H201">
        <v>-1.9392777907132674</v>
      </c>
      <c r="I201">
        <v>87.478768383540626</v>
      </c>
      <c r="J201">
        <v>219.85971221923825</v>
      </c>
      <c r="K201">
        <v>4.2852320459161666</v>
      </c>
      <c r="L201">
        <v>0</v>
      </c>
      <c r="M201" t="str">
        <f>VLOOKUP(fact_daily_prices[[#This Row],[Ticker]], dim_company[], 2, FALSE)</f>
        <v>Apple Inc.</v>
      </c>
      <c r="N201" t="str">
        <f>VLOOKUP(fact_daily_prices[[#This Row],[Ticker]], dim_company[], 3, FALSE)</f>
        <v>Technology</v>
      </c>
    </row>
    <row r="202" spans="1:14" x14ac:dyDescent="0.3">
      <c r="A202" s="1">
        <v>45769</v>
      </c>
      <c r="B202">
        <v>198.690185546875</v>
      </c>
      <c r="C202">
        <v>200.53045296496776</v>
      </c>
      <c r="D202">
        <v>194.93999616163731</v>
      </c>
      <c r="E202">
        <v>195.08920170035651</v>
      </c>
      <c r="F202">
        <v>52976400</v>
      </c>
      <c r="G202" s="2" t="s">
        <v>12</v>
      </c>
      <c r="H202">
        <v>3.4065073700412229</v>
      </c>
      <c r="I202">
        <v>90.458739075747218</v>
      </c>
      <c r="J202">
        <v>219.30981781005855</v>
      </c>
      <c r="K202">
        <v>4.269495617735747</v>
      </c>
      <c r="L202">
        <v>0</v>
      </c>
      <c r="M202" t="str">
        <f>VLOOKUP(fact_daily_prices[[#This Row],[Ticker]], dim_company[], 2, FALSE)</f>
        <v>Apple Inc.</v>
      </c>
      <c r="N202" t="str">
        <f>VLOOKUP(fact_daily_prices[[#This Row],[Ticker]], dim_company[], 3, FALSE)</f>
        <v>Technology</v>
      </c>
    </row>
    <row r="203" spans="1:14" x14ac:dyDescent="0.3">
      <c r="A203" s="1">
        <v>45770</v>
      </c>
      <c r="B203">
        <v>203.52462768554688</v>
      </c>
      <c r="C203">
        <v>206.90675120105161</v>
      </c>
      <c r="D203">
        <v>201.73408545674309</v>
      </c>
      <c r="E203">
        <v>204.9172632087338</v>
      </c>
      <c r="F203">
        <v>52929200</v>
      </c>
      <c r="G203" s="2" t="s">
        <v>12</v>
      </c>
      <c r="H203">
        <v>2.4331559837067696</v>
      </c>
      <c r="I203">
        <v>92.659741298354461</v>
      </c>
      <c r="J203">
        <v>218.85124084472653</v>
      </c>
      <c r="K203">
        <v>4.2701256695507421</v>
      </c>
      <c r="L203">
        <v>0</v>
      </c>
      <c r="M203" t="str">
        <f>VLOOKUP(fact_daily_prices[[#This Row],[Ticker]], dim_company[], 2, FALSE)</f>
        <v>Apple Inc.</v>
      </c>
      <c r="N203" t="str">
        <f>VLOOKUP(fact_daily_prices[[#This Row],[Ticker]], dim_company[], 3, FALSE)</f>
        <v>Technology</v>
      </c>
    </row>
    <row r="204" spans="1:14" x14ac:dyDescent="0.3">
      <c r="A204" s="1">
        <v>45771</v>
      </c>
      <c r="B204">
        <v>207.27479553222656</v>
      </c>
      <c r="C204">
        <v>207.73238443559359</v>
      </c>
      <c r="D204">
        <v>201.87334307751465</v>
      </c>
      <c r="E204">
        <v>203.81309077731203</v>
      </c>
      <c r="F204">
        <v>47311000</v>
      </c>
      <c r="G204" s="2" t="s">
        <v>12</v>
      </c>
      <c r="H204">
        <v>1.8426113288234847</v>
      </c>
      <c r="I204">
        <v>94.367100188776462</v>
      </c>
      <c r="J204">
        <v>218.36879028320308</v>
      </c>
      <c r="K204">
        <v>4.2746405956416442</v>
      </c>
      <c r="L204">
        <v>0</v>
      </c>
      <c r="M204" t="str">
        <f>VLOOKUP(fact_daily_prices[[#This Row],[Ticker]], dim_company[], 2, FALSE)</f>
        <v>Apple Inc.</v>
      </c>
      <c r="N204" t="str">
        <f>VLOOKUP(fact_daily_prices[[#This Row],[Ticker]], dim_company[], 3, FALSE)</f>
        <v>Technology</v>
      </c>
    </row>
    <row r="205" spans="1:14" x14ac:dyDescent="0.3">
      <c r="A205" s="1">
        <v>45772</v>
      </c>
      <c r="B205">
        <v>208.18002319335929</v>
      </c>
      <c r="C205">
        <v>208.6475540878433</v>
      </c>
      <c r="D205">
        <v>205.1162098506388</v>
      </c>
      <c r="E205">
        <v>205.28531450927929</v>
      </c>
      <c r="F205">
        <v>38222300</v>
      </c>
      <c r="G205" s="2" t="s">
        <v>12</v>
      </c>
      <c r="H205">
        <v>0.43672828565979316</v>
      </c>
      <c r="I205">
        <v>94.77922800765775</v>
      </c>
      <c r="J205">
        <v>217.81989013671873</v>
      </c>
      <c r="K205">
        <v>4.2290597482353887</v>
      </c>
      <c r="L205">
        <v>0</v>
      </c>
      <c r="M205" t="str">
        <f>VLOOKUP(fact_daily_prices[[#This Row],[Ticker]], dim_company[], 2, FALSE)</f>
        <v>Apple Inc.</v>
      </c>
      <c r="N205" t="str">
        <f>VLOOKUP(fact_daily_prices[[#This Row],[Ticker]], dim_company[], 3, FALSE)</f>
        <v>Technology</v>
      </c>
    </row>
    <row r="206" spans="1:14" x14ac:dyDescent="0.3">
      <c r="A206" s="1">
        <v>45775</v>
      </c>
      <c r="B206">
        <v>209.0355224609375</v>
      </c>
      <c r="C206">
        <v>210.38837503045187</v>
      </c>
      <c r="D206">
        <v>206.36961558551849</v>
      </c>
      <c r="E206">
        <v>208.89625889548407</v>
      </c>
      <c r="F206">
        <v>38743100</v>
      </c>
      <c r="G206" s="2" t="s">
        <v>12</v>
      </c>
      <c r="H206">
        <v>0.41094205604137457</v>
      </c>
      <c r="I206">
        <v>95.168715715932578</v>
      </c>
      <c r="J206">
        <v>217.19539001464841</v>
      </c>
      <c r="K206">
        <v>4.2168970794025489</v>
      </c>
      <c r="L206">
        <v>0</v>
      </c>
      <c r="M206" t="str">
        <f>VLOOKUP(fact_daily_prices[[#This Row],[Ticker]], dim_company[], 2, FALSE)</f>
        <v>Apple Inc.</v>
      </c>
      <c r="N206" t="str">
        <f>VLOOKUP(fact_daily_prices[[#This Row],[Ticker]], dim_company[], 3, FALSE)</f>
        <v>Technology</v>
      </c>
    </row>
    <row r="207" spans="1:14" x14ac:dyDescent="0.3">
      <c r="A207" s="1">
        <v>45776</v>
      </c>
      <c r="B207">
        <v>210.09986877441409</v>
      </c>
      <c r="C207">
        <v>211.1244537916441</v>
      </c>
      <c r="D207">
        <v>207.27478452266001</v>
      </c>
      <c r="E207">
        <v>207.59310986089216</v>
      </c>
      <c r="F207">
        <v>36827600</v>
      </c>
      <c r="G207" s="2" t="s">
        <v>12</v>
      </c>
      <c r="H207">
        <v>0.50917006877406745</v>
      </c>
      <c r="I207">
        <v>95.653286331194792</v>
      </c>
      <c r="J207">
        <v>216.5310998535156</v>
      </c>
      <c r="K207">
        <v>4.2176446581944216</v>
      </c>
      <c r="L207">
        <v>0</v>
      </c>
      <c r="M207" t="str">
        <f>VLOOKUP(fact_daily_prices[[#This Row],[Ticker]], dim_company[], 2, FALSE)</f>
        <v>Apple Inc.</v>
      </c>
      <c r="N207" t="str">
        <f>VLOOKUP(fact_daily_prices[[#This Row],[Ticker]], dim_company[], 3, FALSE)</f>
        <v>Technology</v>
      </c>
    </row>
    <row r="208" spans="1:14" x14ac:dyDescent="0.3">
      <c r="A208" s="1">
        <v>45777</v>
      </c>
      <c r="B208">
        <v>211.38311767578125</v>
      </c>
      <c r="C208">
        <v>212.45744310704663</v>
      </c>
      <c r="D208">
        <v>205.58375784941009</v>
      </c>
      <c r="E208">
        <v>208.19993964532279</v>
      </c>
      <c r="F208">
        <v>52286500</v>
      </c>
      <c r="G208" s="2" t="s">
        <v>12</v>
      </c>
      <c r="H208">
        <v>0.61078043925149039</v>
      </c>
      <c r="I208">
        <v>96.237517893606935</v>
      </c>
      <c r="J208">
        <v>215.8950610351562</v>
      </c>
      <c r="K208">
        <v>4.2170314545927141</v>
      </c>
      <c r="L208">
        <v>0</v>
      </c>
      <c r="M208" t="str">
        <f>VLOOKUP(fact_daily_prices[[#This Row],[Ticker]], dim_company[], 2, FALSE)</f>
        <v>Apple Inc.</v>
      </c>
      <c r="N208" t="str">
        <f>VLOOKUP(fact_daily_prices[[#This Row],[Ticker]], dim_company[], 3, FALSE)</f>
        <v>Technology</v>
      </c>
    </row>
    <row r="209" spans="1:14" x14ac:dyDescent="0.3">
      <c r="A209" s="1">
        <v>45778</v>
      </c>
      <c r="B209">
        <v>212.19880676269531</v>
      </c>
      <c r="C209">
        <v>213.43227966302129</v>
      </c>
      <c r="D209">
        <v>207.80202473083079</v>
      </c>
      <c r="E209">
        <v>207.98108655162656</v>
      </c>
      <c r="F209">
        <v>57365700</v>
      </c>
      <c r="G209" s="2" t="s">
        <v>12</v>
      </c>
      <c r="H209">
        <v>0.38588185087002902</v>
      </c>
      <c r="I209">
        <v>96.608881008886158</v>
      </c>
      <c r="J209">
        <v>215.26737792968746</v>
      </c>
      <c r="K209">
        <v>4.2122090211475003</v>
      </c>
      <c r="L209">
        <v>0</v>
      </c>
      <c r="M209" t="str">
        <f>VLOOKUP(fact_daily_prices[[#This Row],[Ticker]], dim_company[], 2, FALSE)</f>
        <v>Apple Inc.</v>
      </c>
      <c r="N209" t="str">
        <f>VLOOKUP(fact_daily_prices[[#This Row],[Ticker]], dim_company[], 3, FALSE)</f>
        <v>Technology</v>
      </c>
    </row>
    <row r="210" spans="1:14" x14ac:dyDescent="0.3">
      <c r="A210" s="1">
        <v>45779</v>
      </c>
      <c r="B210">
        <v>204.27069091796875</v>
      </c>
      <c r="C210">
        <v>205.9020705063368</v>
      </c>
      <c r="D210">
        <v>201.09745506031999</v>
      </c>
      <c r="E210">
        <v>205.00679177969519</v>
      </c>
      <c r="F210">
        <v>101010600</v>
      </c>
      <c r="G210" s="2" t="s">
        <v>12</v>
      </c>
      <c r="H210">
        <v>-3.7361736221225184</v>
      </c>
      <c r="I210">
        <v>92.999405480004413</v>
      </c>
      <c r="J210">
        <v>214.46203338623044</v>
      </c>
      <c r="K210">
        <v>4.267842779985247</v>
      </c>
      <c r="L210">
        <v>0</v>
      </c>
      <c r="M210" t="str">
        <f>VLOOKUP(fact_daily_prices[[#This Row],[Ticker]], dim_company[], 2, FALSE)</f>
        <v>Apple Inc.</v>
      </c>
      <c r="N210" t="str">
        <f>VLOOKUP(fact_daily_prices[[#This Row],[Ticker]], dim_company[], 3, FALSE)</f>
        <v>Technology</v>
      </c>
    </row>
    <row r="211" spans="1:14" x14ac:dyDescent="0.3">
      <c r="A211" s="1">
        <v>45782</v>
      </c>
      <c r="B211">
        <v>197.84465026855469</v>
      </c>
      <c r="C211">
        <v>203.02727362500849</v>
      </c>
      <c r="D211">
        <v>197.16823157712739</v>
      </c>
      <c r="E211">
        <v>202.03252954096359</v>
      </c>
      <c r="F211">
        <v>69018500</v>
      </c>
      <c r="G211" s="2" t="s">
        <v>12</v>
      </c>
      <c r="H211">
        <v>-3.1458456524213974</v>
      </c>
      <c r="I211">
        <v>90.073787725933968</v>
      </c>
      <c r="J211">
        <v>213.52816802978512</v>
      </c>
      <c r="K211">
        <v>4.2867820540299375</v>
      </c>
      <c r="L211">
        <v>0</v>
      </c>
      <c r="M211" t="str">
        <f>VLOOKUP(fact_daily_prices[[#This Row],[Ticker]], dim_company[], 2, FALSE)</f>
        <v>Apple Inc.</v>
      </c>
      <c r="N211" t="str">
        <f>VLOOKUP(fact_daily_prices[[#This Row],[Ticker]], dim_company[], 3, FALSE)</f>
        <v>Technology</v>
      </c>
    </row>
    <row r="212" spans="1:14" x14ac:dyDescent="0.3">
      <c r="A212" s="1">
        <v>45783</v>
      </c>
      <c r="B212">
        <v>197.46662902832031</v>
      </c>
      <c r="C212">
        <v>199.59538061408489</v>
      </c>
      <c r="D212">
        <v>195.98447015970467</v>
      </c>
      <c r="E212">
        <v>197.16821796657831</v>
      </c>
      <c r="F212">
        <v>51216500</v>
      </c>
      <c r="G212" s="2" t="s">
        <v>12</v>
      </c>
      <c r="H212">
        <v>-0.1910697305796516</v>
      </c>
      <c r="I212">
        <v>89.901683982403142</v>
      </c>
      <c r="J212">
        <v>212.56147583007808</v>
      </c>
      <c r="K212">
        <v>4.2792186088393542</v>
      </c>
      <c r="L212">
        <v>0</v>
      </c>
      <c r="M212" t="str">
        <f>VLOOKUP(fact_daily_prices[[#This Row],[Ticker]], dim_company[], 2, FALSE)</f>
        <v>Apple Inc.</v>
      </c>
      <c r="N212" t="str">
        <f>VLOOKUP(fact_daily_prices[[#This Row],[Ticker]], dim_company[], 3, FALSE)</f>
        <v>Technology</v>
      </c>
    </row>
    <row r="213" spans="1:14" x14ac:dyDescent="0.3">
      <c r="A213" s="1">
        <v>45784</v>
      </c>
      <c r="B213">
        <v>195.21853637695313</v>
      </c>
      <c r="C213">
        <v>198.39177259427919</v>
      </c>
      <c r="D213">
        <v>192.23430397373849</v>
      </c>
      <c r="E213">
        <v>198.12318742798439</v>
      </c>
      <c r="F213">
        <v>68536700</v>
      </c>
      <c r="G213" s="2" t="s">
        <v>12</v>
      </c>
      <c r="H213">
        <v>-1.1384671234979993</v>
      </c>
      <c r="I213">
        <v>88.8781828667924</v>
      </c>
      <c r="J213">
        <v>211.55101562499999</v>
      </c>
      <c r="K213">
        <v>4.2706594491969838</v>
      </c>
      <c r="L213">
        <v>0</v>
      </c>
      <c r="M213" t="str">
        <f>VLOOKUP(fact_daily_prices[[#This Row],[Ticker]], dim_company[], 2, FALSE)</f>
        <v>Apple Inc.</v>
      </c>
      <c r="N213" t="str">
        <f>VLOOKUP(fact_daily_prices[[#This Row],[Ticker]], dim_company[], 3, FALSE)</f>
        <v>Technology</v>
      </c>
    </row>
    <row r="214" spans="1:14" x14ac:dyDescent="0.3">
      <c r="A214" s="1">
        <v>45785</v>
      </c>
      <c r="B214">
        <v>195.21853637695313</v>
      </c>
      <c r="C214">
        <v>198.99853803284543</v>
      </c>
      <c r="D214">
        <v>193.65675249053749</v>
      </c>
      <c r="E214">
        <v>196.68078271707188</v>
      </c>
      <c r="F214">
        <v>50478900</v>
      </c>
      <c r="G214" s="2" t="s">
        <v>12</v>
      </c>
      <c r="H214">
        <v>0</v>
      </c>
      <c r="I214">
        <v>88.8781828667924</v>
      </c>
      <c r="J214">
        <v>210.67345306396484</v>
      </c>
      <c r="K214">
        <v>4.2693583565833979</v>
      </c>
      <c r="L214">
        <v>0</v>
      </c>
      <c r="M214" t="str">
        <f>VLOOKUP(fact_daily_prices[[#This Row],[Ticker]], dim_company[], 2, FALSE)</f>
        <v>Apple Inc.</v>
      </c>
      <c r="N214" t="str">
        <f>VLOOKUP(fact_daily_prices[[#This Row],[Ticker]], dim_company[], 3, FALSE)</f>
        <v>Technology</v>
      </c>
    </row>
    <row r="215" spans="1:14" x14ac:dyDescent="0.3">
      <c r="A215" s="1">
        <v>45786</v>
      </c>
      <c r="B215">
        <v>197.48652648925781</v>
      </c>
      <c r="C215">
        <v>199.48595647897329</v>
      </c>
      <c r="D215">
        <v>196.50172445806649</v>
      </c>
      <c r="E215">
        <v>197.95405738682032</v>
      </c>
      <c r="F215">
        <v>36453900</v>
      </c>
      <c r="G215" s="2" t="s">
        <v>12</v>
      </c>
      <c r="H215">
        <v>1.1617698577174762</v>
      </c>
      <c r="I215">
        <v>89.910742805425826</v>
      </c>
      <c r="J215">
        <v>209.90212799072265</v>
      </c>
      <c r="K215">
        <v>4.2706711937122259</v>
      </c>
      <c r="L215">
        <v>0</v>
      </c>
      <c r="M215" t="str">
        <f>VLOOKUP(fact_daily_prices[[#This Row],[Ticker]], dim_company[], 2, FALSE)</f>
        <v>Apple Inc.</v>
      </c>
      <c r="N215" t="str">
        <f>VLOOKUP(fact_daily_prices[[#This Row],[Ticker]], dim_company[], 3, FALSE)</f>
        <v>Technology</v>
      </c>
    </row>
    <row r="216" spans="1:14" x14ac:dyDescent="0.3">
      <c r="A216" s="1">
        <v>45789</v>
      </c>
      <c r="B216">
        <v>209.95704650878903</v>
      </c>
      <c r="C216">
        <v>210.43516070866201</v>
      </c>
      <c r="D216">
        <v>205.9330174500644</v>
      </c>
      <c r="E216">
        <v>210.13634313336479</v>
      </c>
      <c r="F216">
        <v>63775800</v>
      </c>
      <c r="G216" s="2" t="s">
        <v>12</v>
      </c>
      <c r="H216">
        <v>6.3146181368527676</v>
      </c>
      <c r="I216">
        <v>95.588262877596293</v>
      </c>
      <c r="J216">
        <v>209.28989105224611</v>
      </c>
      <c r="K216">
        <v>4.4126354668464378</v>
      </c>
      <c r="L216">
        <v>0</v>
      </c>
      <c r="M216" t="str">
        <f>VLOOKUP(fact_daily_prices[[#This Row],[Ticker]], dim_company[], 2, FALSE)</f>
        <v>Apple Inc.</v>
      </c>
      <c r="N216" t="str">
        <f>VLOOKUP(fact_daily_prices[[#This Row],[Ticker]], dim_company[], 3, FALSE)</f>
        <v>Technology</v>
      </c>
    </row>
    <row r="217" spans="1:14" x14ac:dyDescent="0.3">
      <c r="A217" s="1">
        <v>45790</v>
      </c>
      <c r="B217">
        <v>212.08860778808599</v>
      </c>
      <c r="C217">
        <v>212.55675181657611</v>
      </c>
      <c r="D217">
        <v>208.17414433110849</v>
      </c>
      <c r="E217">
        <v>209.5984864444124</v>
      </c>
      <c r="F217">
        <v>51909300</v>
      </c>
      <c r="G217" s="2" t="s">
        <v>12</v>
      </c>
      <c r="H217">
        <v>1.0152368376013188</v>
      </c>
      <c r="I217">
        <v>96.558710134752829</v>
      </c>
      <c r="J217">
        <v>208.79608489990235</v>
      </c>
      <c r="K217">
        <v>4.4017098347738246</v>
      </c>
      <c r="L217">
        <v>0</v>
      </c>
      <c r="M217" t="str">
        <f>VLOOKUP(fact_daily_prices[[#This Row],[Ticker]], dim_company[], 2, FALSE)</f>
        <v>Apple Inc.</v>
      </c>
      <c r="N217" t="str">
        <f>VLOOKUP(fact_daily_prices[[#This Row],[Ticker]], dim_company[], 3, FALSE)</f>
        <v>Technology</v>
      </c>
    </row>
    <row r="218" spans="1:14" x14ac:dyDescent="0.3">
      <c r="A218" s="1">
        <v>45791</v>
      </c>
      <c r="B218">
        <v>211.490966796875</v>
      </c>
      <c r="C218">
        <v>213.09460539099959</v>
      </c>
      <c r="D218">
        <v>209.74788202928281</v>
      </c>
      <c r="E218">
        <v>211.5905625216416</v>
      </c>
      <c r="F218">
        <v>49325800</v>
      </c>
      <c r="G218" s="2" t="s">
        <v>12</v>
      </c>
      <c r="H218">
        <v>-0.28178835131406066</v>
      </c>
      <c r="I218">
        <v>96.286618937413991</v>
      </c>
      <c r="J218">
        <v>208.33210540771483</v>
      </c>
      <c r="K218">
        <v>4.4007852798904352</v>
      </c>
      <c r="L218">
        <v>0</v>
      </c>
      <c r="M218" t="str">
        <f>VLOOKUP(fact_daily_prices[[#This Row],[Ticker]], dim_company[], 2, FALSE)</f>
        <v>Apple Inc.</v>
      </c>
      <c r="N218" t="str">
        <f>VLOOKUP(fact_daily_prices[[#This Row],[Ticker]], dim_company[], 3, FALSE)</f>
        <v>Technology</v>
      </c>
    </row>
    <row r="219" spans="1:14" x14ac:dyDescent="0.3">
      <c r="A219" s="1">
        <v>45792</v>
      </c>
      <c r="B219">
        <v>210.61444091796875</v>
      </c>
      <c r="C219">
        <v>212.11848379882832</v>
      </c>
      <c r="D219">
        <v>208.71198473800999</v>
      </c>
      <c r="E219">
        <v>210.11641669484823</v>
      </c>
      <c r="F219">
        <v>45029500</v>
      </c>
      <c r="G219" s="2" t="s">
        <v>12</v>
      </c>
      <c r="H219">
        <v>-0.41445074093784395</v>
      </c>
      <c r="I219">
        <v>95.887558331803874</v>
      </c>
      <c r="J219">
        <v>207.854375</v>
      </c>
      <c r="K219">
        <v>4.4006018309967665</v>
      </c>
      <c r="L219">
        <v>0</v>
      </c>
      <c r="M219" t="str">
        <f>VLOOKUP(fact_daily_prices[[#This Row],[Ticker]], dim_company[], 2, FALSE)</f>
        <v>Apple Inc.</v>
      </c>
      <c r="N219" t="str">
        <f>VLOOKUP(fact_daily_prices[[#This Row],[Ticker]], dim_company[], 3, FALSE)</f>
        <v>Technology</v>
      </c>
    </row>
    <row r="220" spans="1:14" x14ac:dyDescent="0.3">
      <c r="A220" s="1">
        <v>45793</v>
      </c>
      <c r="B220">
        <v>210.4252014160156</v>
      </c>
      <c r="C220">
        <v>211.73003772257164</v>
      </c>
      <c r="D220">
        <v>208.94109887256835</v>
      </c>
      <c r="E220">
        <v>211.52086084946143</v>
      </c>
      <c r="F220">
        <v>54737900</v>
      </c>
      <c r="G220" s="2" t="s">
        <v>12</v>
      </c>
      <c r="H220">
        <v>-8.9851152242148569E-2</v>
      </c>
      <c r="I220">
        <v>95.801402255785888</v>
      </c>
      <c r="J220">
        <v>207.3810171508789</v>
      </c>
      <c r="K220">
        <v>4.0473927807550947</v>
      </c>
      <c r="L220">
        <v>0</v>
      </c>
      <c r="M220" t="str">
        <f>VLOOKUP(fact_daily_prices[[#This Row],[Ticker]], dim_company[], 2, FALSE)</f>
        <v>Apple Inc.</v>
      </c>
      <c r="N220" t="str">
        <f>VLOOKUP(fact_daily_prices[[#This Row],[Ticker]], dim_company[], 3, FALSE)</f>
        <v>Technology</v>
      </c>
    </row>
    <row r="221" spans="1:14" x14ac:dyDescent="0.3">
      <c r="A221" s="1">
        <v>45796</v>
      </c>
      <c r="B221">
        <v>210.4252014160156</v>
      </c>
      <c r="C221">
        <v>208.65224804197359</v>
      </c>
      <c r="D221">
        <v>203.45287334417097</v>
      </c>
      <c r="E221">
        <v>207.08845970637489</v>
      </c>
      <c r="F221">
        <v>46140500</v>
      </c>
      <c r="G221" s="2" t="s">
        <v>12</v>
      </c>
      <c r="H221">
        <v>0</v>
      </c>
      <c r="I221">
        <v>95.801402255785888</v>
      </c>
      <c r="J221">
        <v>206.83325225830077</v>
      </c>
      <c r="K221">
        <v>3.7924390909093741</v>
      </c>
      <c r="L221">
        <v>0</v>
      </c>
      <c r="M221" t="str">
        <f>VLOOKUP(fact_daily_prices[[#This Row],[Ticker]], dim_company[], 2, FALSE)</f>
        <v>Apple Inc.</v>
      </c>
      <c r="N221" t="str">
        <f>VLOOKUP(fact_daily_prices[[#This Row],[Ticker]], dim_company[], 3, FALSE)</f>
        <v>Technology</v>
      </c>
    </row>
    <row r="222" spans="1:14" x14ac:dyDescent="0.3">
      <c r="A222" s="1">
        <v>45797</v>
      </c>
      <c r="B222">
        <v>206.04258728027344</v>
      </c>
      <c r="C222">
        <v>207.64622592622169</v>
      </c>
      <c r="D222">
        <v>204.2198167548668</v>
      </c>
      <c r="E222">
        <v>206.84938410987283</v>
      </c>
      <c r="F222">
        <v>42496600</v>
      </c>
      <c r="G222" s="2" t="s">
        <v>12</v>
      </c>
      <c r="H222">
        <v>-2.0827420414713638</v>
      </c>
      <c r="I222">
        <v>93.806106174685539</v>
      </c>
      <c r="J222">
        <v>206.42841674804689</v>
      </c>
      <c r="K222">
        <v>3.7435551542526788</v>
      </c>
      <c r="L222">
        <v>0</v>
      </c>
      <c r="M222" t="str">
        <f>VLOOKUP(fact_daily_prices[[#This Row],[Ticker]], dim_company[], 2, FALSE)</f>
        <v>Apple Inc.</v>
      </c>
      <c r="N222" t="str">
        <f>VLOOKUP(fact_daily_prices[[#This Row],[Ticker]], dim_company[], 3, FALSE)</f>
        <v>Technology</v>
      </c>
    </row>
    <row r="223" spans="1:14" x14ac:dyDescent="0.3">
      <c r="A223" s="1">
        <v>45798</v>
      </c>
      <c r="B223">
        <v>201.29142761230469</v>
      </c>
      <c r="C223">
        <v>206.22186440009239</v>
      </c>
      <c r="D223">
        <v>199.91689108628387</v>
      </c>
      <c r="E223">
        <v>204.35925866211539</v>
      </c>
      <c r="F223">
        <v>59211800</v>
      </c>
      <c r="G223" s="2" t="s">
        <v>12</v>
      </c>
      <c r="H223">
        <v>-2.305911477177236</v>
      </c>
      <c r="I223">
        <v>91.643020406110409</v>
      </c>
      <c r="J223">
        <v>206.06066009521484</v>
      </c>
      <c r="K223">
        <v>3.6386882902604305</v>
      </c>
      <c r="L223">
        <v>0</v>
      </c>
      <c r="M223" t="str">
        <f>VLOOKUP(fact_daily_prices[[#This Row],[Ticker]], dim_company[], 2, FALSE)</f>
        <v>Apple Inc.</v>
      </c>
      <c r="N223" t="str">
        <f>VLOOKUP(fact_daily_prices[[#This Row],[Ticker]], dim_company[], 3, FALSE)</f>
        <v>Technology</v>
      </c>
    </row>
    <row r="224" spans="1:14" x14ac:dyDescent="0.3">
      <c r="A224" s="1">
        <v>45799</v>
      </c>
      <c r="B224">
        <v>200.56431579589844</v>
      </c>
      <c r="C224">
        <v>201.94882252859867</v>
      </c>
      <c r="D224">
        <v>198.91087172706409</v>
      </c>
      <c r="E224">
        <v>199.9168903850684</v>
      </c>
      <c r="F224">
        <v>46742400</v>
      </c>
      <c r="G224" s="2" t="s">
        <v>12</v>
      </c>
      <c r="H224">
        <v>-0.36122343858909778</v>
      </c>
      <c r="I224">
        <v>91.31198433657255</v>
      </c>
      <c r="J224">
        <v>205.75515502929687</v>
      </c>
      <c r="K224">
        <v>2.3459785884745212</v>
      </c>
      <c r="L224">
        <v>0</v>
      </c>
      <c r="M224" t="str">
        <f>VLOOKUP(fact_daily_prices[[#This Row],[Ticker]], dim_company[], 2, FALSE)</f>
        <v>Apple Inc.</v>
      </c>
      <c r="N224" t="str">
        <f>VLOOKUP(fact_daily_prices[[#This Row],[Ticker]], dim_company[], 3, FALSE)</f>
        <v>Technology</v>
      </c>
    </row>
    <row r="225" spans="1:14" x14ac:dyDescent="0.3">
      <c r="A225" s="1">
        <v>45800</v>
      </c>
      <c r="B225">
        <v>194.49838256835929</v>
      </c>
      <c r="C225">
        <v>196.91877297523905</v>
      </c>
      <c r="D225">
        <v>192.6955373289648</v>
      </c>
      <c r="E225">
        <v>192.90469898960001</v>
      </c>
      <c r="F225">
        <v>78432900</v>
      </c>
      <c r="G225" s="2" t="s">
        <v>12</v>
      </c>
      <c r="H225">
        <v>-3.0244329373686152</v>
      </c>
      <c r="I225">
        <v>88.550314606532382</v>
      </c>
      <c r="J225">
        <v>205.47356445312499</v>
      </c>
      <c r="K225">
        <v>2.2784896125254277</v>
      </c>
      <c r="L225">
        <v>0</v>
      </c>
      <c r="M225" t="str">
        <f>VLOOKUP(fact_daily_prices[[#This Row],[Ticker]], dim_company[], 2, FALSE)</f>
        <v>Apple Inc.</v>
      </c>
      <c r="N225" t="str">
        <f>VLOOKUP(fact_daily_prices[[#This Row],[Ticker]], dim_company[], 3, FALSE)</f>
        <v>Technology</v>
      </c>
    </row>
    <row r="226" spans="1:14" x14ac:dyDescent="0.3">
      <c r="A226" s="1">
        <v>45804</v>
      </c>
      <c r="B226">
        <v>199.41886901855469</v>
      </c>
      <c r="C226">
        <v>199.94677348688447</v>
      </c>
      <c r="D226">
        <v>196.64984031499387</v>
      </c>
      <c r="E226">
        <v>197.51641281084125</v>
      </c>
      <c r="F226">
        <v>56288500</v>
      </c>
      <c r="G226" s="2" t="s">
        <v>12</v>
      </c>
      <c r="H226">
        <v>2.5298341226390519</v>
      </c>
      <c r="I226">
        <v>90.790490681152676</v>
      </c>
      <c r="J226">
        <v>205.21458404541016</v>
      </c>
      <c r="K226">
        <v>2.2030000391051119</v>
      </c>
      <c r="L226">
        <v>0</v>
      </c>
      <c r="M226" t="str">
        <f>VLOOKUP(fact_daily_prices[[#This Row],[Ticker]], dim_company[], 2, FALSE)</f>
        <v>Apple Inc.</v>
      </c>
      <c r="N226" t="str">
        <f>VLOOKUP(fact_daily_prices[[#This Row],[Ticker]], dim_company[], 3, FALSE)</f>
        <v>Technology</v>
      </c>
    </row>
    <row r="227" spans="1:14" x14ac:dyDescent="0.3">
      <c r="A227" s="1">
        <v>45805</v>
      </c>
      <c r="B227">
        <v>199.62803649902344</v>
      </c>
      <c r="C227">
        <v>201.92890607866931</v>
      </c>
      <c r="D227">
        <v>199.11008702875665</v>
      </c>
      <c r="E227">
        <v>199.79736291846771</v>
      </c>
      <c r="F227">
        <v>45339700</v>
      </c>
      <c r="G227" s="2" t="s">
        <v>12</v>
      </c>
      <c r="H227">
        <v>0.10488851004830657</v>
      </c>
      <c r="I227">
        <v>90.885719474093676</v>
      </c>
      <c r="J227">
        <v>204.9496405029297</v>
      </c>
      <c r="K227">
        <v>2.1655966840918977</v>
      </c>
      <c r="L227">
        <v>0</v>
      </c>
      <c r="M227" t="str">
        <f>VLOOKUP(fact_daily_prices[[#This Row],[Ticker]], dim_company[], 2, FALSE)</f>
        <v>Apple Inc.</v>
      </c>
      <c r="N227" t="str">
        <f>VLOOKUP(fact_daily_prices[[#This Row],[Ticker]], dim_company[], 3, FALSE)</f>
        <v>Technology</v>
      </c>
    </row>
    <row r="228" spans="1:14" x14ac:dyDescent="0.3">
      <c r="A228" s="1">
        <v>45806</v>
      </c>
      <c r="B228">
        <v>199.15988159179688</v>
      </c>
      <c r="C228">
        <v>203.00462915986449</v>
      </c>
      <c r="D228">
        <v>197.72556941325453</v>
      </c>
      <c r="E228">
        <v>202.77554227533128</v>
      </c>
      <c r="F228">
        <v>51396800</v>
      </c>
      <c r="G228" s="2" t="s">
        <v>12</v>
      </c>
      <c r="H228">
        <v>-0.23451360612307681</v>
      </c>
      <c r="I228">
        <v>90.672580095904081</v>
      </c>
      <c r="J228">
        <v>204.70139617919921</v>
      </c>
      <c r="K228">
        <v>2.1657478160871557</v>
      </c>
      <c r="L228">
        <v>0</v>
      </c>
      <c r="M228" t="str">
        <f>VLOOKUP(fact_daily_prices[[#This Row],[Ticker]], dim_company[], 2, FALSE)</f>
        <v>Apple Inc.</v>
      </c>
      <c r="N228" t="str">
        <f>VLOOKUP(fact_daily_prices[[#This Row],[Ticker]], dim_company[], 3, FALSE)</f>
        <v>Technology</v>
      </c>
    </row>
    <row r="229" spans="1:14" x14ac:dyDescent="0.3">
      <c r="A229" s="1">
        <v>45807</v>
      </c>
      <c r="B229">
        <v>200.05633544921875</v>
      </c>
      <c r="C229">
        <v>201.16194982664069</v>
      </c>
      <c r="D229">
        <v>196.002410999174</v>
      </c>
      <c r="E229">
        <v>198.5821728136608</v>
      </c>
      <c r="F229">
        <v>70819900</v>
      </c>
      <c r="G229" s="2" t="s">
        <v>12</v>
      </c>
      <c r="H229">
        <v>0.45011768949494435</v>
      </c>
      <c r="I229">
        <v>91.080713418437213</v>
      </c>
      <c r="J229">
        <v>204.4203485107422</v>
      </c>
      <c r="K229">
        <v>2.03860020256317</v>
      </c>
      <c r="L229">
        <v>0</v>
      </c>
      <c r="M229" t="str">
        <f>VLOOKUP(fact_daily_prices[[#This Row],[Ticker]], dim_company[], 2, FALSE)</f>
        <v>Apple Inc.</v>
      </c>
      <c r="N229" t="str">
        <f>VLOOKUP(fact_daily_prices[[#This Row],[Ticker]], dim_company[], 3, FALSE)</f>
        <v>Technology</v>
      </c>
    </row>
    <row r="230" spans="1:14" x14ac:dyDescent="0.3">
      <c r="A230" s="1">
        <v>45810</v>
      </c>
      <c r="B230">
        <v>200.90298461914065</v>
      </c>
      <c r="C230">
        <v>201.33129338846231</v>
      </c>
      <c r="D230">
        <v>199.3292261245183</v>
      </c>
      <c r="E230">
        <v>199.48859753628889</v>
      </c>
      <c r="F230">
        <v>35423300</v>
      </c>
      <c r="G230" s="2" t="s">
        <v>12</v>
      </c>
      <c r="H230">
        <v>0.42320537763564925</v>
      </c>
      <c r="I230">
        <v>91.466171895612959</v>
      </c>
      <c r="J230">
        <v>204.17891418457032</v>
      </c>
      <c r="K230">
        <v>2.0255750001523003</v>
      </c>
      <c r="L230">
        <v>0</v>
      </c>
      <c r="M230" t="str">
        <f>VLOOKUP(fact_daily_prices[[#This Row],[Ticker]], dim_company[], 2, FALSE)</f>
        <v>Apple Inc.</v>
      </c>
      <c r="N230" t="str">
        <f>VLOOKUP(fact_daily_prices[[#This Row],[Ticker]], dim_company[], 3, FALSE)</f>
        <v>Technology</v>
      </c>
    </row>
    <row r="231" spans="1:14" x14ac:dyDescent="0.3">
      <c r="A231" s="1">
        <v>45811</v>
      </c>
      <c r="B231">
        <v>200.90298461914065</v>
      </c>
      <c r="C231">
        <v>202.96480586317463</v>
      </c>
      <c r="D231">
        <v>200.16591202699755</v>
      </c>
      <c r="E231">
        <v>200.55437033168948</v>
      </c>
      <c r="F231">
        <v>46381600</v>
      </c>
      <c r="G231" s="2" t="s">
        <v>12</v>
      </c>
      <c r="H231">
        <v>0</v>
      </c>
      <c r="I231">
        <v>91.466171895612959</v>
      </c>
      <c r="J231">
        <v>203.8545184326172</v>
      </c>
      <c r="K231">
        <v>1.9887620269017903</v>
      </c>
      <c r="L231">
        <v>0</v>
      </c>
      <c r="M231" t="str">
        <f>VLOOKUP(fact_daily_prices[[#This Row],[Ticker]], dim_company[], 2, FALSE)</f>
        <v>Apple Inc.</v>
      </c>
      <c r="N231" t="str">
        <f>VLOOKUP(fact_daily_prices[[#This Row],[Ticker]], dim_company[], 3, FALSE)</f>
        <v>Technology</v>
      </c>
    </row>
    <row r="232" spans="1:14" x14ac:dyDescent="0.3">
      <c r="A232" s="1">
        <v>45812</v>
      </c>
      <c r="B232">
        <v>202.0185546875</v>
      </c>
      <c r="C232">
        <v>205.42503857555045</v>
      </c>
      <c r="D232">
        <v>201.3013985849112</v>
      </c>
      <c r="E232">
        <v>202.10819540070028</v>
      </c>
      <c r="F232">
        <v>43604000</v>
      </c>
      <c r="G232" s="2" t="s">
        <v>12</v>
      </c>
      <c r="H232">
        <v>0.55527799672772105</v>
      </c>
      <c r="I232">
        <v>91.974063422598434</v>
      </c>
      <c r="J232">
        <v>203.50349243164064</v>
      </c>
      <c r="K232">
        <v>1.8945387314493367</v>
      </c>
      <c r="L232">
        <v>0</v>
      </c>
      <c r="M232" t="str">
        <f>VLOOKUP(fact_daily_prices[[#This Row],[Ticker]], dim_company[], 2, FALSE)</f>
        <v>Apple Inc.</v>
      </c>
      <c r="N232" t="str">
        <f>VLOOKUP(fact_daily_prices[[#This Row],[Ticker]], dim_company[], 3, FALSE)</f>
        <v>Technology</v>
      </c>
    </row>
    <row r="233" spans="1:14" x14ac:dyDescent="0.3">
      <c r="A233" s="1">
        <v>45813</v>
      </c>
      <c r="B233">
        <v>199.83720397949219</v>
      </c>
      <c r="C233">
        <v>203.94091870107039</v>
      </c>
      <c r="D233">
        <v>199.35908978394465</v>
      </c>
      <c r="E233">
        <v>202.69585814733983</v>
      </c>
      <c r="F233">
        <v>55126100</v>
      </c>
      <c r="G233" s="2" t="s">
        <v>12</v>
      </c>
      <c r="H233">
        <v>-1.0797774052893838</v>
      </c>
      <c r="I233">
        <v>90.980948267034691</v>
      </c>
      <c r="J233">
        <v>203.04875732421874</v>
      </c>
      <c r="K233">
        <v>1.8516848498821243</v>
      </c>
      <c r="L233">
        <v>0</v>
      </c>
      <c r="M233" t="str">
        <f>VLOOKUP(fact_daily_prices[[#This Row],[Ticker]], dim_company[], 2, FALSE)</f>
        <v>Apple Inc.</v>
      </c>
      <c r="N233" t="str">
        <f>VLOOKUP(fact_daily_prices[[#This Row],[Ticker]], dim_company[], 3, FALSE)</f>
        <v>Technology</v>
      </c>
    </row>
    <row r="234" spans="1:14" x14ac:dyDescent="0.3">
      <c r="A234" s="1">
        <v>45814</v>
      </c>
      <c r="B234">
        <v>199.83720397949219</v>
      </c>
      <c r="C234">
        <v>204.88716179091739</v>
      </c>
      <c r="D234">
        <v>201.25159105149231</v>
      </c>
      <c r="E234">
        <v>202.19783403313104</v>
      </c>
      <c r="F234">
        <v>46607700</v>
      </c>
      <c r="G234" s="2" t="s">
        <v>12</v>
      </c>
      <c r="H234">
        <v>0</v>
      </c>
      <c r="I234">
        <v>90.980948267034691</v>
      </c>
      <c r="J234">
        <v>202.63818878173828</v>
      </c>
      <c r="K234">
        <v>1.8171687073949627</v>
      </c>
      <c r="L234">
        <v>0</v>
      </c>
      <c r="M234" t="str">
        <f>VLOOKUP(fact_daily_prices[[#This Row],[Ticker]], dim_company[], 2, FALSE)</f>
        <v>Apple Inc.</v>
      </c>
      <c r="N234" t="str">
        <f>VLOOKUP(fact_daily_prices[[#This Row],[Ticker]], dim_company[], 3, FALSE)</f>
        <v>Technology</v>
      </c>
    </row>
    <row r="235" spans="1:14" x14ac:dyDescent="0.3">
      <c r="A235" s="1">
        <v>45817</v>
      </c>
      <c r="B235">
        <v>200.65396118164065</v>
      </c>
      <c r="C235">
        <v>205.18598475848049</v>
      </c>
      <c r="D235">
        <v>199.22961916524449</v>
      </c>
      <c r="E235">
        <v>203.58234611432161</v>
      </c>
      <c r="F235">
        <v>72862600</v>
      </c>
      <c r="G235" s="2" t="s">
        <v>12</v>
      </c>
      <c r="H235">
        <v>0.40871128392703238</v>
      </c>
      <c r="I235">
        <v>91.352797668825872</v>
      </c>
      <c r="J235">
        <v>202.19779907226564</v>
      </c>
      <c r="K235">
        <v>1.8168873808696162</v>
      </c>
      <c r="L235">
        <v>0</v>
      </c>
      <c r="M235" t="str">
        <f>VLOOKUP(fact_daily_prices[[#This Row],[Ticker]], dim_company[], 2, FALSE)</f>
        <v>Apple Inc.</v>
      </c>
      <c r="N235" t="str">
        <f>VLOOKUP(fact_daily_prices[[#This Row],[Ticker]], dim_company[], 3, FALSE)</f>
        <v>Technology</v>
      </c>
    </row>
    <row r="236" spans="1:14" x14ac:dyDescent="0.3">
      <c r="A236" s="1">
        <v>45818</v>
      </c>
      <c r="B236">
        <v>201.86912536621091</v>
      </c>
      <c r="C236">
        <v>203.54249456453348</v>
      </c>
      <c r="D236">
        <v>199.77743286642308</v>
      </c>
      <c r="E236">
        <v>199.80731310224203</v>
      </c>
      <c r="F236">
        <v>54672600</v>
      </c>
      <c r="G236" s="2" t="s">
        <v>12</v>
      </c>
      <c r="H236">
        <v>0.60560189164182709</v>
      </c>
      <c r="I236">
        <v>91.90603193957601</v>
      </c>
      <c r="J236">
        <v>201.90008697509765</v>
      </c>
      <c r="K236">
        <v>1.8191465690754447</v>
      </c>
      <c r="L236">
        <v>0</v>
      </c>
      <c r="M236" t="str">
        <f>VLOOKUP(fact_daily_prices[[#This Row],[Ticker]], dim_company[], 2, FALSE)</f>
        <v>Apple Inc.</v>
      </c>
      <c r="N236" t="str">
        <f>VLOOKUP(fact_daily_prices[[#This Row],[Ticker]], dim_company[], 3, FALSE)</f>
        <v>Technology</v>
      </c>
    </row>
    <row r="237" spans="1:14" x14ac:dyDescent="0.3">
      <c r="A237" s="1">
        <v>45819</v>
      </c>
      <c r="B237">
        <v>197.99452209472656</v>
      </c>
      <c r="C237">
        <v>203.69192080198684</v>
      </c>
      <c r="D237">
        <v>197.62598900862736</v>
      </c>
      <c r="E237">
        <v>202.69587228950769</v>
      </c>
      <c r="F237">
        <v>60989900</v>
      </c>
      <c r="G237" s="2" t="s">
        <v>12</v>
      </c>
      <c r="H237">
        <v>-1.9193639762670078</v>
      </c>
      <c r="I237">
        <v>90.142020670511329</v>
      </c>
      <c r="J237">
        <v>201.44072753906249</v>
      </c>
      <c r="K237">
        <v>1.8449383854876744</v>
      </c>
      <c r="L237">
        <v>0</v>
      </c>
      <c r="M237" t="str">
        <f>VLOOKUP(fact_daily_prices[[#This Row],[Ticker]], dim_company[], 2, FALSE)</f>
        <v>Apple Inc.</v>
      </c>
      <c r="N237" t="str">
        <f>VLOOKUP(fact_daily_prices[[#This Row],[Ticker]], dim_company[], 3, FALSE)</f>
        <v>Technology</v>
      </c>
    </row>
    <row r="238" spans="1:14" x14ac:dyDescent="0.3">
      <c r="A238" s="1">
        <v>45820</v>
      </c>
      <c r="B238">
        <v>198.41285705566409</v>
      </c>
      <c r="C238">
        <v>198.89095607742399</v>
      </c>
      <c r="D238">
        <v>196.58013147350607</v>
      </c>
      <c r="E238">
        <v>198.29333609984755</v>
      </c>
      <c r="F238">
        <v>43904600</v>
      </c>
      <c r="G238" s="2" t="s">
        <v>12</v>
      </c>
      <c r="H238">
        <v>0.21128612878360542</v>
      </c>
      <c r="I238">
        <v>90.332478256393358</v>
      </c>
      <c r="J238">
        <v>200.96864654541017</v>
      </c>
      <c r="K238">
        <v>1.8404602687709148</v>
      </c>
      <c r="L238">
        <v>0</v>
      </c>
      <c r="M238" t="str">
        <f>VLOOKUP(fact_daily_prices[[#This Row],[Ticker]], dim_company[], 2, FALSE)</f>
        <v>Apple Inc.</v>
      </c>
      <c r="N238" t="str">
        <f>VLOOKUP(fact_daily_prices[[#This Row],[Ticker]], dim_company[], 3, FALSE)</f>
        <v>Technology</v>
      </c>
    </row>
    <row r="239" spans="1:14" x14ac:dyDescent="0.3">
      <c r="A239" s="1">
        <v>45821</v>
      </c>
      <c r="B239">
        <v>195.67372131347656</v>
      </c>
      <c r="C239">
        <v>199.57822954037988</v>
      </c>
      <c r="D239">
        <v>194.9266849517312</v>
      </c>
      <c r="E239">
        <v>198.94075911963023</v>
      </c>
      <c r="F239">
        <v>51447300</v>
      </c>
      <c r="G239" s="2" t="s">
        <v>12</v>
      </c>
      <c r="H239">
        <v>-1.3805233102505365</v>
      </c>
      <c r="I239">
        <v>89.08541733733685</v>
      </c>
      <c r="J239">
        <v>200.4278564453125</v>
      </c>
      <c r="K239">
        <v>1.8494811533692614</v>
      </c>
      <c r="L239">
        <v>0</v>
      </c>
      <c r="M239" t="str">
        <f>VLOOKUP(fact_daily_prices[[#This Row],[Ticker]], dim_company[], 2, FALSE)</f>
        <v>Apple Inc.</v>
      </c>
      <c r="N239" t="str">
        <f>VLOOKUP(fact_daily_prices[[#This Row],[Ticker]], dim_company[], 3, FALSE)</f>
        <v>Technology</v>
      </c>
    </row>
    <row r="240" spans="1:14" x14ac:dyDescent="0.3">
      <c r="A240" s="1">
        <v>45824</v>
      </c>
      <c r="B240">
        <v>197.63594055175781</v>
      </c>
      <c r="C240">
        <v>197.90487790098291</v>
      </c>
      <c r="D240">
        <v>195.78328974313985</v>
      </c>
      <c r="E240">
        <v>196.52037110088887</v>
      </c>
      <c r="F240">
        <v>43020700</v>
      </c>
      <c r="G240" s="2" t="s">
        <v>12</v>
      </c>
      <c r="H240">
        <v>1.0028016154186137</v>
      </c>
      <c r="I240">
        <v>89.97876734149807</v>
      </c>
      <c r="J240">
        <v>200.33813446044923</v>
      </c>
      <c r="K240">
        <v>1.7409638918733223</v>
      </c>
      <c r="L240">
        <v>0</v>
      </c>
      <c r="M240" t="str">
        <f>VLOOKUP(fact_daily_prices[[#This Row],[Ticker]], dim_company[], 2, FALSE)</f>
        <v>Apple Inc.</v>
      </c>
      <c r="N240" t="str">
        <f>VLOOKUP(fact_daily_prices[[#This Row],[Ticker]], dim_company[], 3, FALSE)</f>
        <v>Technology</v>
      </c>
    </row>
    <row r="241" spans="1:14" x14ac:dyDescent="0.3">
      <c r="A241" s="1">
        <v>45825</v>
      </c>
      <c r="B241">
        <v>194.86692810058599</v>
      </c>
      <c r="C241">
        <v>197.6060614779548</v>
      </c>
      <c r="D241">
        <v>194.43863454049264</v>
      </c>
      <c r="E241">
        <v>196.42076133017071</v>
      </c>
      <c r="F241">
        <v>38856200</v>
      </c>
      <c r="G241" s="2" t="s">
        <v>12</v>
      </c>
      <c r="H241">
        <v>-1.4010672570187954</v>
      </c>
      <c r="I241">
        <v>88.718104294007219</v>
      </c>
      <c r="J241">
        <v>200.48767517089843</v>
      </c>
      <c r="K241">
        <v>1.6629462073386836</v>
      </c>
      <c r="L241">
        <v>0</v>
      </c>
      <c r="M241" t="str">
        <f>VLOOKUP(fact_daily_prices[[#This Row],[Ticker]], dim_company[], 2, FALSE)</f>
        <v>Apple Inc.</v>
      </c>
      <c r="N241" t="str">
        <f>VLOOKUP(fact_daily_prices[[#This Row],[Ticker]], dim_company[], 3, FALSE)</f>
        <v>Technology</v>
      </c>
    </row>
    <row r="242" spans="1:14" x14ac:dyDescent="0.3">
      <c r="A242" s="1">
        <v>45826</v>
      </c>
      <c r="B242">
        <v>195.80320739746091</v>
      </c>
      <c r="C242">
        <v>196.78930084082771</v>
      </c>
      <c r="D242">
        <v>194.29917969964291</v>
      </c>
      <c r="E242">
        <v>195.16573699325733</v>
      </c>
      <c r="F242">
        <v>45394700</v>
      </c>
      <c r="G242" s="2" t="s">
        <v>12</v>
      </c>
      <c r="H242">
        <v>0.48047111226161565</v>
      </c>
      <c r="I242">
        <v>89.14436915648605</v>
      </c>
      <c r="J242">
        <v>200.79361450195313</v>
      </c>
      <c r="K242">
        <v>1.6653243337474042</v>
      </c>
      <c r="L242">
        <v>0</v>
      </c>
      <c r="M242" t="str">
        <f>VLOOKUP(fact_daily_prices[[#This Row],[Ticker]], dim_company[], 2, FALSE)</f>
        <v>Apple Inc.</v>
      </c>
      <c r="N242" t="str">
        <f>VLOOKUP(fact_daily_prices[[#This Row],[Ticker]], dim_company[], 3, FALSE)</f>
        <v>Technology</v>
      </c>
    </row>
    <row r="243" spans="1:14" x14ac:dyDescent="0.3">
      <c r="A243" s="1">
        <v>45828</v>
      </c>
      <c r="B243">
        <v>200.20574951171875</v>
      </c>
      <c r="C243">
        <v>200.90298042554329</v>
      </c>
      <c r="D243">
        <v>196.08210930882009</v>
      </c>
      <c r="E243">
        <v>197.4566611092844</v>
      </c>
      <c r="F243">
        <v>46108400</v>
      </c>
      <c r="G243" s="2" t="s">
        <v>12</v>
      </c>
      <c r="H243">
        <v>2.2484525012509637</v>
      </c>
      <c r="I243">
        <v>91.148737954509457</v>
      </c>
      <c r="J243">
        <v>201.36745422363282</v>
      </c>
      <c r="K243">
        <v>1.7009589551590714</v>
      </c>
      <c r="L243">
        <v>0</v>
      </c>
      <c r="M243" t="str">
        <f>VLOOKUP(fact_daily_prices[[#This Row],[Ticker]], dim_company[], 2, FALSE)</f>
        <v>Apple Inc.</v>
      </c>
      <c r="N243" t="str">
        <f>VLOOKUP(fact_daily_prices[[#This Row],[Ticker]], dim_company[], 3, FALSE)</f>
        <v>Technology</v>
      </c>
    </row>
    <row r="244" spans="1:14" x14ac:dyDescent="0.3">
      <c r="A244" s="1">
        <v>45831</v>
      </c>
      <c r="B244">
        <v>200.70376586914065</v>
      </c>
      <c r="C244">
        <v>201.50060768152079</v>
      </c>
      <c r="D244">
        <v>198.17380945321409</v>
      </c>
      <c r="E244">
        <v>200.83325703321927</v>
      </c>
      <c r="F244">
        <v>55814300</v>
      </c>
      <c r="G244" s="2" t="s">
        <v>12</v>
      </c>
      <c r="H244">
        <v>0.24875227541492073</v>
      </c>
      <c r="I244">
        <v>91.375472514183286</v>
      </c>
      <c r="J244">
        <v>201.42543273925781</v>
      </c>
      <c r="K244">
        <v>1.7010716220366919</v>
      </c>
      <c r="L244">
        <v>0</v>
      </c>
      <c r="M244" t="str">
        <f>VLOOKUP(fact_daily_prices[[#This Row],[Ticker]], dim_company[], 2, FALSE)</f>
        <v>Apple Inc.</v>
      </c>
      <c r="N244" t="str">
        <f>VLOOKUP(fact_daily_prices[[#This Row],[Ticker]], dim_company[], 3, FALSE)</f>
        <v>Technology</v>
      </c>
    </row>
    <row r="245" spans="1:14" x14ac:dyDescent="0.3">
      <c r="A245" s="1">
        <v>45832</v>
      </c>
      <c r="B245">
        <v>199.50849914550781</v>
      </c>
      <c r="C245">
        <v>202.63609053842799</v>
      </c>
      <c r="D245">
        <v>199.40888822531903</v>
      </c>
      <c r="E245">
        <v>201.78944331230144</v>
      </c>
      <c r="F245">
        <v>54064000</v>
      </c>
      <c r="G245" s="2" t="s">
        <v>12</v>
      </c>
      <c r="H245">
        <v>-0.5955377660487704</v>
      </c>
      <c r="I245">
        <v>90.831297066455804</v>
      </c>
      <c r="J245">
        <v>201.62721984863282</v>
      </c>
      <c r="K245">
        <v>1.6937093861453358</v>
      </c>
      <c r="L245">
        <v>0</v>
      </c>
      <c r="M245" t="str">
        <f>VLOOKUP(fact_daily_prices[[#This Row],[Ticker]], dim_company[], 2, FALSE)</f>
        <v>Apple Inc.</v>
      </c>
      <c r="N245" t="str">
        <f>VLOOKUP(fact_daily_prices[[#This Row],[Ticker]], dim_company[], 3, FALSE)</f>
        <v>Technology</v>
      </c>
    </row>
    <row r="246" spans="1:14" x14ac:dyDescent="0.3">
      <c r="A246" s="1">
        <v>45833</v>
      </c>
      <c r="B246">
        <v>200.76351928710929</v>
      </c>
      <c r="C246">
        <v>202.86518208410851</v>
      </c>
      <c r="D246">
        <v>199.82723133036671</v>
      </c>
      <c r="E246">
        <v>200.653953351778</v>
      </c>
      <c r="F246">
        <v>39525700</v>
      </c>
      <c r="G246" s="2" t="s">
        <v>12</v>
      </c>
      <c r="H246">
        <v>0.62905597855564821</v>
      </c>
      <c r="I246">
        <v>91.402676771052001</v>
      </c>
      <c r="J246">
        <v>201.70031982421875</v>
      </c>
      <c r="K246">
        <v>1.2201748675376205</v>
      </c>
      <c r="L246">
        <v>0</v>
      </c>
      <c r="M246" t="str">
        <f>VLOOKUP(fact_daily_prices[[#This Row],[Ticker]], dim_company[], 2, FALSE)</f>
        <v>Apple Inc.</v>
      </c>
      <c r="N246" t="str">
        <f>VLOOKUP(fact_daily_prices[[#This Row],[Ticker]], dim_company[], 3, FALSE)</f>
        <v>Technology</v>
      </c>
    </row>
    <row r="247" spans="1:14" x14ac:dyDescent="0.3">
      <c r="A247" s="1">
        <v>45834</v>
      </c>
      <c r="B247">
        <v>200.20574951171875</v>
      </c>
      <c r="C247">
        <v>201.83926845203379</v>
      </c>
      <c r="D247">
        <v>198.67184150130464</v>
      </c>
      <c r="E247">
        <v>200.63404307360599</v>
      </c>
      <c r="F247">
        <v>50799100</v>
      </c>
      <c r="G247" s="2" t="s">
        <v>12</v>
      </c>
      <c r="H247">
        <v>-0.27782426676475902</v>
      </c>
      <c r="I247">
        <v>91.148737954509457</v>
      </c>
      <c r="J247">
        <v>201.67532409667967</v>
      </c>
      <c r="K247">
        <v>1.2005703880014338</v>
      </c>
      <c r="L247">
        <v>0</v>
      </c>
      <c r="M247" t="str">
        <f>VLOOKUP(fact_daily_prices[[#This Row],[Ticker]], dim_company[], 2, FALSE)</f>
        <v>Apple Inc.</v>
      </c>
      <c r="N247" t="str">
        <f>VLOOKUP(fact_daily_prices[[#This Row],[Ticker]], dim_company[], 3, FALSE)</f>
        <v>Technology</v>
      </c>
    </row>
    <row r="248" spans="1:14" x14ac:dyDescent="0.3">
      <c r="A248" s="1">
        <v>45835</v>
      </c>
      <c r="B248">
        <v>200.28543090820313</v>
      </c>
      <c r="C248">
        <v>202.41697405518968</v>
      </c>
      <c r="D248">
        <v>199.20969672208463</v>
      </c>
      <c r="E248">
        <v>201.09222774816857</v>
      </c>
      <c r="F248">
        <v>73188600</v>
      </c>
      <c r="G248" s="2" t="s">
        <v>12</v>
      </c>
      <c r="H248">
        <v>3.9799754342073612E-2</v>
      </c>
      <c r="I248">
        <v>91.185014928301257</v>
      </c>
      <c r="J248">
        <v>201.65948181152345</v>
      </c>
      <c r="K248">
        <v>1.20111212697833</v>
      </c>
      <c r="L248">
        <v>0</v>
      </c>
      <c r="M248" t="str">
        <f>VLOOKUP(fact_daily_prices[[#This Row],[Ticker]], dim_company[], 2, FALSE)</f>
        <v>Apple Inc.</v>
      </c>
      <c r="N248" t="str">
        <f>VLOOKUP(fact_daily_prices[[#This Row],[Ticker]], dim_company[], 3, FALSE)</f>
        <v>Technology</v>
      </c>
    </row>
    <row r="249" spans="1:14" x14ac:dyDescent="0.3">
      <c r="A249" s="1">
        <v>45838</v>
      </c>
      <c r="B249">
        <v>204.35926818847656</v>
      </c>
      <c r="C249">
        <v>206.570497066428</v>
      </c>
      <c r="D249">
        <v>198.47261792694383</v>
      </c>
      <c r="E249">
        <v>201.21175129212304</v>
      </c>
      <c r="F249">
        <v>91912800</v>
      </c>
      <c r="G249" s="2" t="s">
        <v>12</v>
      </c>
      <c r="H249">
        <v>2.0340157852722696</v>
      </c>
      <c r="I249">
        <v>93.039732525745777</v>
      </c>
      <c r="J249">
        <v>201.88168853759765</v>
      </c>
      <c r="K249">
        <v>1.2656821409178505</v>
      </c>
      <c r="L249">
        <v>0</v>
      </c>
      <c r="M249" t="str">
        <f>VLOOKUP(fact_daily_prices[[#This Row],[Ticker]], dim_company[], 2, FALSE)</f>
        <v>Apple Inc.</v>
      </c>
      <c r="N249" t="str">
        <f>VLOOKUP(fact_daily_prices[[#This Row],[Ticker]], dim_company[], 3, FALSE)</f>
        <v>Technology</v>
      </c>
    </row>
    <row r="250" spans="1:14" x14ac:dyDescent="0.3">
      <c r="A250" s="1">
        <v>45839</v>
      </c>
      <c r="B250">
        <v>206.99879455566409</v>
      </c>
      <c r="C250">
        <v>209.35942450018743</v>
      </c>
      <c r="D250">
        <v>205.32542526953239</v>
      </c>
      <c r="E250">
        <v>205.85332972802505</v>
      </c>
      <c r="F250">
        <v>78788900</v>
      </c>
      <c r="G250" s="2" t="s">
        <v>12</v>
      </c>
      <c r="H250">
        <v>1.2916107943551358</v>
      </c>
      <c r="I250">
        <v>94.241443754087456</v>
      </c>
      <c r="J250">
        <v>202.10277099609374</v>
      </c>
      <c r="K250">
        <v>1.2906725659393616</v>
      </c>
      <c r="L250">
        <v>0</v>
      </c>
      <c r="M250" t="str">
        <f>VLOOKUP(fact_daily_prices[[#This Row],[Ticker]], dim_company[], 2, FALSE)</f>
        <v>Apple Inc.</v>
      </c>
      <c r="N250" t="str">
        <f>VLOOKUP(fact_daily_prices[[#This Row],[Ticker]], dim_company[], 3, FALSE)</f>
        <v>Technology</v>
      </c>
    </row>
    <row r="251" spans="1:14" x14ac:dyDescent="0.3">
      <c r="A251" s="1">
        <v>45840</v>
      </c>
      <c r="B251">
        <v>211.60054016113281</v>
      </c>
      <c r="C251">
        <v>212.49697770796604</v>
      </c>
      <c r="D251">
        <v>207.31752868499885</v>
      </c>
      <c r="E251">
        <v>208.08449026524104</v>
      </c>
      <c r="F251">
        <v>67941800</v>
      </c>
      <c r="G251" s="2" t="s">
        <v>12</v>
      </c>
      <c r="H251">
        <v>2.2230784557691008</v>
      </c>
      <c r="I251">
        <v>96.336504986590342</v>
      </c>
      <c r="J251">
        <v>202.49188659667968</v>
      </c>
      <c r="K251">
        <v>1.3556258339629421</v>
      </c>
      <c r="L251">
        <v>0</v>
      </c>
      <c r="M251" t="str">
        <f>VLOOKUP(fact_daily_prices[[#This Row],[Ticker]], dim_company[], 2, FALSE)</f>
        <v>Apple Inc.</v>
      </c>
      <c r="N251" t="str">
        <f>VLOOKUP(fact_daily_prices[[#This Row],[Ticker]], dim_company[], 3, FALSE)</f>
        <v>Technology</v>
      </c>
    </row>
    <row r="252" spans="1:14" x14ac:dyDescent="0.3">
      <c r="A252" s="1">
        <v>45841</v>
      </c>
      <c r="B252">
        <v>212.70616149902344</v>
      </c>
      <c r="C252">
        <v>213.80180573654249</v>
      </c>
      <c r="D252">
        <v>210.97303162710091</v>
      </c>
      <c r="E252">
        <v>211.31168447150719</v>
      </c>
      <c r="F252">
        <v>34955800</v>
      </c>
      <c r="G252" s="2" t="s">
        <v>12</v>
      </c>
      <c r="H252">
        <v>0.52250402435112253</v>
      </c>
      <c r="I252">
        <v>96.839867102064488</v>
      </c>
      <c r="J252">
        <v>202.77220611572267</v>
      </c>
      <c r="K252">
        <v>1.2980057737047872</v>
      </c>
      <c r="L252">
        <v>0</v>
      </c>
      <c r="M252" t="str">
        <f>VLOOKUP(fact_daily_prices[[#This Row],[Ticker]], dim_company[], 2, FALSE)</f>
        <v>Apple Inc.</v>
      </c>
      <c r="N252" t="str">
        <f>VLOOKUP(fact_daily_prices[[#This Row],[Ticker]], dim_company[], 3, FALSE)</f>
        <v>Technology</v>
      </c>
    </row>
    <row r="253" spans="1:14" x14ac:dyDescent="0.3">
      <c r="A253" s="1">
        <v>45845</v>
      </c>
      <c r="B253">
        <v>209.12037658691409</v>
      </c>
      <c r="C253">
        <v>215.37555986284275</v>
      </c>
      <c r="D253">
        <v>207.97492690746131</v>
      </c>
      <c r="E253">
        <v>211.83958469799765</v>
      </c>
      <c r="F253">
        <v>50229000</v>
      </c>
      <c r="G253" s="2" t="s">
        <v>12</v>
      </c>
      <c r="H253">
        <v>-1.6857926854769612</v>
      </c>
      <c r="I253">
        <v>95.207347705832277</v>
      </c>
      <c r="J253">
        <v>202.88412109375</v>
      </c>
      <c r="K253">
        <v>1.2625894372375794</v>
      </c>
      <c r="L253">
        <v>0</v>
      </c>
      <c r="M253" t="str">
        <f>VLOOKUP(fact_daily_prices[[#This Row],[Ticker]], dim_company[], 2, FALSE)</f>
        <v>Apple Inc.</v>
      </c>
      <c r="N253" t="str">
        <f>VLOOKUP(fact_daily_prices[[#This Row],[Ticker]], dim_company[], 3, FALSE)</f>
        <v>Technology</v>
      </c>
    </row>
    <row r="254" spans="1:14" x14ac:dyDescent="0.3">
      <c r="A254" s="1">
        <v>45846</v>
      </c>
      <c r="B254">
        <v>209.18014526367188</v>
      </c>
      <c r="C254">
        <v>210.59453234535167</v>
      </c>
      <c r="D254">
        <v>207.62631199643187</v>
      </c>
      <c r="E254">
        <v>209.26980118177752</v>
      </c>
      <c r="F254">
        <v>42848900</v>
      </c>
      <c r="G254" s="2" t="s">
        <v>12</v>
      </c>
      <c r="H254">
        <v>2.8580991356874641E-2</v>
      </c>
      <c r="I254">
        <v>95.234558909651199</v>
      </c>
      <c r="J254">
        <v>202.92222808837892</v>
      </c>
      <c r="K254">
        <v>1.2593083525745823</v>
      </c>
      <c r="L254">
        <v>0</v>
      </c>
      <c r="M254" t="str">
        <f>VLOOKUP(fact_daily_prices[[#This Row],[Ticker]], dim_company[], 2, FALSE)</f>
        <v>Apple Inc.</v>
      </c>
      <c r="N254" t="str">
        <f>VLOOKUP(fact_daily_prices[[#This Row],[Ticker]], dim_company[], 3, FALSE)</f>
        <v>Technology</v>
      </c>
    </row>
    <row r="255" spans="1:14" x14ac:dyDescent="0.3">
      <c r="A255" s="1">
        <v>45847</v>
      </c>
      <c r="B255">
        <v>210.30564880371091</v>
      </c>
      <c r="C255">
        <v>210.49490042268289</v>
      </c>
      <c r="D255">
        <v>206.40114108081369</v>
      </c>
      <c r="E255">
        <v>208.7020103462271</v>
      </c>
      <c r="F255">
        <v>48749400</v>
      </c>
      <c r="G255" s="2" t="s">
        <v>12</v>
      </c>
      <c r="H255">
        <v>0.53805466987335571</v>
      </c>
      <c r="I255">
        <v>95.746972901197864</v>
      </c>
      <c r="J255">
        <v>202.96474060058594</v>
      </c>
      <c r="K255">
        <v>1.1088176857059711</v>
      </c>
      <c r="L255">
        <v>0</v>
      </c>
      <c r="M255" t="str">
        <f>VLOOKUP(fact_daily_prices[[#This Row],[Ticker]], dim_company[], 2, FALSE)</f>
        <v>Apple Inc.</v>
      </c>
      <c r="N255" t="str">
        <f>VLOOKUP(fact_daily_prices[[#This Row],[Ticker]], dim_company[], 3, FALSE)</f>
        <v>Technology</v>
      </c>
    </row>
    <row r="256" spans="1:14" x14ac:dyDescent="0.3">
      <c r="A256" s="1">
        <v>45848</v>
      </c>
      <c r="B256">
        <v>211.57066345214844</v>
      </c>
      <c r="C256">
        <v>212.63642743345136</v>
      </c>
      <c r="D256">
        <v>209.2000631819418</v>
      </c>
      <c r="E256">
        <v>209.67816220166208</v>
      </c>
      <c r="F256">
        <v>44443600</v>
      </c>
      <c r="G256" s="2" t="s">
        <v>12</v>
      </c>
      <c r="H256">
        <v>0.60151244421315919</v>
      </c>
      <c r="I256">
        <v>96.322902858155956</v>
      </c>
      <c r="J256">
        <v>203.01544342041015</v>
      </c>
      <c r="K256">
        <v>1.0258938752162139</v>
      </c>
      <c r="L256">
        <v>0</v>
      </c>
      <c r="M256" t="str">
        <f>VLOOKUP(fact_daily_prices[[#This Row],[Ticker]], dim_company[], 2, FALSE)</f>
        <v>Apple Inc.</v>
      </c>
      <c r="N256" t="str">
        <f>VLOOKUP(fact_daily_prices[[#This Row],[Ticker]], dim_company[], 3, FALSE)</f>
        <v>Technology</v>
      </c>
    </row>
    <row r="257" spans="1:14" x14ac:dyDescent="0.3">
      <c r="A257" s="1">
        <v>45849</v>
      </c>
      <c r="B257">
        <v>210.3255920410156</v>
      </c>
      <c r="C257">
        <v>211.29176024278999</v>
      </c>
      <c r="D257">
        <v>209.03072603052999</v>
      </c>
      <c r="E257">
        <v>209.73792710960444</v>
      </c>
      <c r="F257">
        <v>39765800</v>
      </c>
      <c r="G257" s="2" t="s">
        <v>12</v>
      </c>
      <c r="H257">
        <v>-0.58848962839048724</v>
      </c>
      <c r="I257">
        <v>95.756052565071059</v>
      </c>
      <c r="J257">
        <v>203.0199578857422</v>
      </c>
      <c r="K257">
        <v>1.0359291171455214</v>
      </c>
      <c r="L257">
        <v>0</v>
      </c>
      <c r="M257" t="str">
        <f>VLOOKUP(fact_daily_prices[[#This Row],[Ticker]], dim_company[], 2, FALSE)</f>
        <v>Apple Inc.</v>
      </c>
      <c r="N257" t="str">
        <f>VLOOKUP(fact_daily_prices[[#This Row],[Ticker]], dim_company[], 3, FALSE)</f>
        <v>Technology</v>
      </c>
    </row>
    <row r="258" spans="1:14" x14ac:dyDescent="0.3">
      <c r="A258" s="1">
        <v>45852</v>
      </c>
      <c r="B258">
        <v>207.79562377929688</v>
      </c>
      <c r="C258">
        <v>210.07658325197187</v>
      </c>
      <c r="D258">
        <v>206.71988962428105</v>
      </c>
      <c r="E258">
        <v>209.10044482334129</v>
      </c>
      <c r="F258">
        <v>38840100</v>
      </c>
      <c r="G258" s="2" t="s">
        <v>12</v>
      </c>
      <c r="H258">
        <v>-1.2028817972970951</v>
      </c>
      <c r="I258">
        <v>94.604220438955593</v>
      </c>
      <c r="J258">
        <v>202.9482080078125</v>
      </c>
      <c r="K258">
        <v>1.063976219471729</v>
      </c>
      <c r="L258">
        <v>0</v>
      </c>
      <c r="M258" t="str">
        <f>VLOOKUP(fact_daily_prices[[#This Row],[Ticker]], dim_company[], 2, FALSE)</f>
        <v>Apple Inc.</v>
      </c>
      <c r="N258" t="str">
        <f>VLOOKUP(fact_daily_prices[[#This Row],[Ticker]], dim_company[], 3, FALSE)</f>
        <v>Technology</v>
      </c>
    </row>
    <row r="259" spans="1:14" x14ac:dyDescent="0.3">
      <c r="A259" s="1">
        <v>45853</v>
      </c>
      <c r="B259">
        <v>208.28370666503903</v>
      </c>
      <c r="C259">
        <v>211.05272033528999</v>
      </c>
      <c r="D259">
        <v>208.09445501444367</v>
      </c>
      <c r="E259">
        <v>208.39327261019983</v>
      </c>
      <c r="F259">
        <v>42296300</v>
      </c>
      <c r="G259" s="2" t="s">
        <v>12</v>
      </c>
      <c r="H259">
        <v>0.23488602736916331</v>
      </c>
      <c r="I259">
        <v>94.826432534068218</v>
      </c>
      <c r="J259">
        <v>202.86990600585938</v>
      </c>
      <c r="K259">
        <v>1.0625869435239501</v>
      </c>
      <c r="L259">
        <v>0</v>
      </c>
      <c r="M259" t="str">
        <f>VLOOKUP(fact_daily_prices[[#This Row],[Ticker]], dim_company[], 2, FALSE)</f>
        <v>Apple Inc.</v>
      </c>
      <c r="N259" t="str">
        <f>VLOOKUP(fact_daily_prices[[#This Row],[Ticker]], dim_company[], 3, FALSE)</f>
        <v>Technology</v>
      </c>
    </row>
    <row r="260" spans="1:14" x14ac:dyDescent="0.3">
      <c r="A260" s="1">
        <v>45854</v>
      </c>
      <c r="B260">
        <v>209.32952880859369</v>
      </c>
      <c r="C260">
        <v>211.56066742739321</v>
      </c>
      <c r="D260">
        <v>207.81553103262843</v>
      </c>
      <c r="E260">
        <v>209.46897497226871</v>
      </c>
      <c r="F260">
        <v>47490500</v>
      </c>
      <c r="G260" s="2" t="s">
        <v>12</v>
      </c>
      <c r="H260">
        <v>0.50211423653820919</v>
      </c>
      <c r="I260">
        <v>95.302569551823083</v>
      </c>
      <c r="J260">
        <v>202.97108276367189</v>
      </c>
      <c r="K260">
        <v>1.0634098080758223</v>
      </c>
      <c r="L260">
        <v>0</v>
      </c>
      <c r="M260" t="str">
        <f>VLOOKUP(fact_daily_prices[[#This Row],[Ticker]], dim_company[], 2, FALSE)</f>
        <v>Apple Inc.</v>
      </c>
      <c r="N260" t="str">
        <f>VLOOKUP(fact_daily_prices[[#This Row],[Ticker]], dim_company[], 3, FALSE)</f>
        <v>Technology</v>
      </c>
    </row>
    <row r="261" spans="1:14" x14ac:dyDescent="0.3">
      <c r="A261" s="1">
        <v>45855</v>
      </c>
      <c r="B261">
        <v>209.19010925292969</v>
      </c>
      <c r="C261">
        <v>210.96307435880661</v>
      </c>
      <c r="D261">
        <v>208.7618004967043</v>
      </c>
      <c r="E261">
        <v>209.7379389650813</v>
      </c>
      <c r="F261">
        <v>48068100</v>
      </c>
      <c r="G261" s="2" t="s">
        <v>12</v>
      </c>
      <c r="H261">
        <v>-6.6602909038926406E-2</v>
      </c>
      <c r="I261">
        <v>95.23909526811272</v>
      </c>
      <c r="J261">
        <v>203.19799194335937</v>
      </c>
      <c r="K261">
        <v>1.0637870454670086</v>
      </c>
      <c r="L261">
        <v>0</v>
      </c>
      <c r="M261" t="str">
        <f>VLOOKUP(fact_daily_prices[[#This Row],[Ticker]], dim_company[], 2, FALSE)</f>
        <v>Apple Inc.</v>
      </c>
      <c r="N261" t="str">
        <f>VLOOKUP(fact_daily_prices[[#This Row],[Ticker]], dim_company[], 3, FALSE)</f>
        <v>Technology</v>
      </c>
    </row>
    <row r="262" spans="1:14" x14ac:dyDescent="0.3">
      <c r="A262" s="1">
        <v>45856</v>
      </c>
      <c r="B262">
        <v>210.34550476074219</v>
      </c>
      <c r="C262">
        <v>210.95309492429405</v>
      </c>
      <c r="D262">
        <v>208.87135730762199</v>
      </c>
      <c r="E262">
        <v>210.0367321724359</v>
      </c>
      <c r="F262">
        <v>48974600</v>
      </c>
      <c r="G262" s="2" t="s">
        <v>12</v>
      </c>
      <c r="H262">
        <v>0.55231842076028936</v>
      </c>
      <c r="I262">
        <v>95.765118335043937</v>
      </c>
      <c r="J262">
        <v>203.4555694580078</v>
      </c>
      <c r="K262">
        <v>1.0637473701331439</v>
      </c>
      <c r="L262">
        <v>0</v>
      </c>
      <c r="M262" t="str">
        <f>VLOOKUP(fact_daily_prices[[#This Row],[Ticker]], dim_company[], 2, FALSE)</f>
        <v>Apple Inc.</v>
      </c>
      <c r="N262" t="str">
        <f>VLOOKUP(fact_daily_prices[[#This Row],[Ticker]], dim_company[], 3, FALSE)</f>
        <v>Technology</v>
      </c>
    </row>
    <row r="263" spans="1:14" x14ac:dyDescent="0.3">
      <c r="A263" s="1">
        <v>45859</v>
      </c>
      <c r="B263">
        <v>211.64036560058599</v>
      </c>
      <c r="C263">
        <v>214.92732845073888</v>
      </c>
      <c r="D263">
        <v>210.79373355638279</v>
      </c>
      <c r="E263">
        <v>211.26187753314511</v>
      </c>
      <c r="F263">
        <v>51377400</v>
      </c>
      <c r="G263" s="2" t="s">
        <v>12</v>
      </c>
      <c r="H263">
        <v>0.61558759780326877</v>
      </c>
      <c r="I263">
        <v>96.354636526536098</v>
      </c>
      <c r="J263">
        <v>203.78400604248046</v>
      </c>
      <c r="K263">
        <v>1.0415019634551841</v>
      </c>
      <c r="L263">
        <v>0</v>
      </c>
      <c r="M263" t="str">
        <f>VLOOKUP(fact_daily_prices[[#This Row],[Ticker]], dim_company[], 2, FALSE)</f>
        <v>Apple Inc.</v>
      </c>
      <c r="N263" t="str">
        <f>VLOOKUP(fact_daily_prices[[#This Row],[Ticker]], dim_company[], 3, FALSE)</f>
        <v>Technology</v>
      </c>
    </row>
    <row r="264" spans="1:14" x14ac:dyDescent="0.3">
      <c r="A264" s="1">
        <v>45860</v>
      </c>
      <c r="B264">
        <v>213.55278015136719</v>
      </c>
      <c r="C264">
        <v>214.10060983484809</v>
      </c>
      <c r="D264">
        <v>211.39135685335447</v>
      </c>
      <c r="E264">
        <v>212.29776458434165</v>
      </c>
      <c r="F264">
        <v>46404100</v>
      </c>
      <c r="G264" s="2" t="s">
        <v>12</v>
      </c>
      <c r="H264">
        <v>0.90361521789767973</v>
      </c>
      <c r="I264">
        <v>97.225311685339875</v>
      </c>
      <c r="J264">
        <v>204.15069091796875</v>
      </c>
      <c r="K264">
        <v>1.0486588803448937</v>
      </c>
      <c r="L264">
        <v>0</v>
      </c>
      <c r="M264" t="str">
        <f>VLOOKUP(fact_daily_prices[[#This Row],[Ticker]], dim_company[], 2, FALSE)</f>
        <v>Apple Inc.</v>
      </c>
      <c r="N264" t="str">
        <f>VLOOKUP(fact_daily_prices[[#This Row],[Ticker]], dim_company[], 3, FALSE)</f>
        <v>Technology</v>
      </c>
    </row>
    <row r="265" spans="1:14" x14ac:dyDescent="0.3">
      <c r="A265" s="1">
        <v>45861</v>
      </c>
      <c r="B265">
        <v>213.30377197265625</v>
      </c>
      <c r="C265">
        <v>214.29982043425807</v>
      </c>
      <c r="D265">
        <v>211.57065737650467</v>
      </c>
      <c r="E265">
        <v>214.15041924441525</v>
      </c>
      <c r="F265">
        <v>46989300</v>
      </c>
      <c r="G265" s="2" t="s">
        <v>12</v>
      </c>
      <c r="H265">
        <v>-0.11660263965397322</v>
      </c>
      <c r="I265">
        <v>97.111944405502967</v>
      </c>
      <c r="J265">
        <v>204.46703582763672</v>
      </c>
      <c r="K265">
        <v>1.0499021074424322</v>
      </c>
      <c r="L265">
        <v>0</v>
      </c>
      <c r="M265" t="str">
        <f>VLOOKUP(fact_daily_prices[[#This Row],[Ticker]], dim_company[], 2, FALSE)</f>
        <v>Apple Inc.</v>
      </c>
      <c r="N265" t="str">
        <f>VLOOKUP(fact_daily_prices[[#This Row],[Ticker]], dim_company[], 3, FALSE)</f>
        <v>Technology</v>
      </c>
    </row>
    <row r="266" spans="1:14" x14ac:dyDescent="0.3">
      <c r="A266" s="1">
        <v>45862</v>
      </c>
      <c r="B266">
        <v>212.91531372070313</v>
      </c>
      <c r="C266">
        <v>214.83769515517369</v>
      </c>
      <c r="D266">
        <v>212.68622683006964</v>
      </c>
      <c r="E266">
        <v>213.05475989741399</v>
      </c>
      <c r="F266">
        <v>46022600</v>
      </c>
      <c r="G266" s="2" t="s">
        <v>12</v>
      </c>
      <c r="H266">
        <v>-0.18211504107996657</v>
      </c>
      <c r="I266">
        <v>96.935088948055323</v>
      </c>
      <c r="J266">
        <v>204.52620117187499</v>
      </c>
      <c r="K266">
        <v>1.0494995133186988</v>
      </c>
      <c r="L266">
        <v>0</v>
      </c>
      <c r="M266" t="str">
        <f>VLOOKUP(fact_daily_prices[[#This Row],[Ticker]], dim_company[], 2, FALSE)</f>
        <v>Apple Inc.</v>
      </c>
      <c r="N266" t="str">
        <f>VLOOKUP(fact_daily_prices[[#This Row],[Ticker]], dim_company[], 3, FALSE)</f>
        <v>Technology</v>
      </c>
    </row>
    <row r="267" spans="1:14" x14ac:dyDescent="0.3">
      <c r="A267" s="1">
        <v>45863</v>
      </c>
      <c r="B267">
        <v>213.03486633300781</v>
      </c>
      <c r="C267">
        <v>214.38949295365799</v>
      </c>
      <c r="D267">
        <v>212.55675209148805</v>
      </c>
      <c r="E267">
        <v>213.85161823157199</v>
      </c>
      <c r="F267">
        <v>40268800</v>
      </c>
      <c r="G267" s="2" t="s">
        <v>12</v>
      </c>
      <c r="H267">
        <v>5.6150311696945288E-2</v>
      </c>
      <c r="I267">
        <v>96.989518302643361</v>
      </c>
      <c r="J267">
        <v>204.54512634277344</v>
      </c>
      <c r="K267">
        <v>0.97216204408910312</v>
      </c>
      <c r="L267">
        <v>0</v>
      </c>
      <c r="M267" t="str">
        <f>VLOOKUP(fact_daily_prices[[#This Row],[Ticker]], dim_company[], 2, FALSE)</f>
        <v>Apple Inc.</v>
      </c>
      <c r="N267" t="str">
        <f>VLOOKUP(fact_daily_prices[[#This Row],[Ticker]], dim_company[], 3, FALSE)</f>
        <v>Technology</v>
      </c>
    </row>
    <row r="268" spans="1:14" x14ac:dyDescent="0.3">
      <c r="A268" s="1">
        <v>45866</v>
      </c>
      <c r="B268">
        <v>213.20416259765625</v>
      </c>
      <c r="C268">
        <v>214.00100435562788</v>
      </c>
      <c r="D268">
        <v>212.21806921233599</v>
      </c>
      <c r="E268">
        <v>213.18423737412155</v>
      </c>
      <c r="F268">
        <v>37858000</v>
      </c>
      <c r="G268" s="2" t="s">
        <v>12</v>
      </c>
      <c r="H268">
        <v>7.9468806004645565E-2</v>
      </c>
      <c r="I268">
        <v>97.066594714788138</v>
      </c>
      <c r="J268">
        <v>204.57939025878906</v>
      </c>
      <c r="K268">
        <v>0.97263571779340596</v>
      </c>
      <c r="L268">
        <v>0</v>
      </c>
      <c r="M268" t="str">
        <f>VLOOKUP(fact_daily_prices[[#This Row],[Ticker]], dim_company[], 2, FALSE)</f>
        <v>Apple Inc.</v>
      </c>
      <c r="N268" t="str">
        <f>VLOOKUP(fact_daily_prices[[#This Row],[Ticker]], dim_company[], 3, FALSE)</f>
        <v>Technology</v>
      </c>
    </row>
    <row r="269" spans="1:14" x14ac:dyDescent="0.3">
      <c r="A269" s="1">
        <v>45867</v>
      </c>
      <c r="B269">
        <v>210.43516540527344</v>
      </c>
      <c r="C269">
        <v>213.96117031669576</v>
      </c>
      <c r="D269">
        <v>209.9869466315705</v>
      </c>
      <c r="E269">
        <v>213.33365491441555</v>
      </c>
      <c r="F269">
        <v>51411700</v>
      </c>
      <c r="G269" s="2" t="s">
        <v>12</v>
      </c>
      <c r="H269">
        <v>-1.2987538135492582</v>
      </c>
      <c r="I269">
        <v>95.805938614247424</v>
      </c>
      <c r="J269">
        <v>204.57580474853515</v>
      </c>
      <c r="K269">
        <v>0.96802845318633302</v>
      </c>
      <c r="L269">
        <v>0</v>
      </c>
      <c r="M269" t="str">
        <f>VLOOKUP(fact_daily_prices[[#This Row],[Ticker]], dim_company[], 2, FALSE)</f>
        <v>Apple Inc.</v>
      </c>
      <c r="N269" t="str">
        <f>VLOOKUP(fact_daily_prices[[#This Row],[Ticker]], dim_company[], 3, FALSE)</f>
        <v>Technology</v>
      </c>
    </row>
    <row r="270" spans="1:14" x14ac:dyDescent="0.3">
      <c r="A270" s="1">
        <v>45868</v>
      </c>
      <c r="B270">
        <v>208.22392272949219</v>
      </c>
      <c r="C270">
        <v>211.5507207645324</v>
      </c>
      <c r="D270">
        <v>206.89917652304968</v>
      </c>
      <c r="E270">
        <v>211.06265157316119</v>
      </c>
      <c r="F270">
        <v>45512500</v>
      </c>
      <c r="G270" s="2" t="s">
        <v>12</v>
      </c>
      <c r="H270">
        <v>-1.0507952278425825</v>
      </c>
      <c r="I270">
        <v>94.79921438329913</v>
      </c>
      <c r="J270">
        <v>204.53177917480468</v>
      </c>
      <c r="K270">
        <v>0.98521370389794771</v>
      </c>
      <c r="L270">
        <v>0</v>
      </c>
      <c r="M270" t="str">
        <f>VLOOKUP(fact_daily_prices[[#This Row],[Ticker]], dim_company[], 2, FALSE)</f>
        <v>Apple Inc.</v>
      </c>
      <c r="N270" t="str">
        <f>VLOOKUP(fact_daily_prices[[#This Row],[Ticker]], dim_company[], 3, FALSE)</f>
        <v>Technology</v>
      </c>
    </row>
    <row r="271" spans="1:14" x14ac:dyDescent="0.3">
      <c r="A271" s="1">
        <v>45869</v>
      </c>
      <c r="B271">
        <v>206.74977111816409</v>
      </c>
      <c r="C271">
        <v>209.01079001519739</v>
      </c>
      <c r="D271">
        <v>206.34138763159265</v>
      </c>
      <c r="E271">
        <v>207.66613381097579</v>
      </c>
      <c r="F271">
        <v>80698400</v>
      </c>
      <c r="G271" s="2" t="s">
        <v>12</v>
      </c>
      <c r="H271">
        <v>-0.70796457582983363</v>
      </c>
      <c r="I271">
        <v>94.128069527300383</v>
      </c>
      <c r="J271">
        <v>204.45827056884767</v>
      </c>
      <c r="K271">
        <v>0.95453749557979195</v>
      </c>
      <c r="L271">
        <v>0</v>
      </c>
      <c r="M271" t="str">
        <f>VLOOKUP(fact_daily_prices[[#This Row],[Ticker]], dim_company[], 2, FALSE)</f>
        <v>Apple Inc.</v>
      </c>
      <c r="N271" t="str">
        <f>VLOOKUP(fact_daily_prices[[#This Row],[Ticker]], dim_company[], 3, FALSE)</f>
        <v>Technology</v>
      </c>
    </row>
    <row r="272" spans="1:14" x14ac:dyDescent="0.3">
      <c r="A272" s="1">
        <v>45870</v>
      </c>
      <c r="B272">
        <v>201.58030700683599</v>
      </c>
      <c r="C272">
        <v>212.73604753866169</v>
      </c>
      <c r="D272">
        <v>200.70377943412649</v>
      </c>
      <c r="E272">
        <v>210.03674932642843</v>
      </c>
      <c r="F272">
        <v>104434500</v>
      </c>
      <c r="G272" s="2" t="s">
        <v>12</v>
      </c>
      <c r="H272">
        <v>-2.5003481664671701</v>
      </c>
      <c r="I272">
        <v>91.774540066743583</v>
      </c>
      <c r="J272">
        <v>204.36902496337891</v>
      </c>
      <c r="K272">
        <v>1.0724032708904538</v>
      </c>
      <c r="L272">
        <v>0</v>
      </c>
      <c r="M272" t="str">
        <f>VLOOKUP(fact_daily_prices[[#This Row],[Ticker]], dim_company[], 2, FALSE)</f>
        <v>Apple Inc.</v>
      </c>
      <c r="N272" t="str">
        <f>VLOOKUP(fact_daily_prices[[#This Row],[Ticker]], dim_company[], 3, FALSE)</f>
        <v>Technology</v>
      </c>
    </row>
    <row r="273" spans="1:14" x14ac:dyDescent="0.3">
      <c r="A273" s="1">
        <v>45873</v>
      </c>
      <c r="B273">
        <v>202.54646301269531</v>
      </c>
      <c r="C273">
        <v>207.05856137836409</v>
      </c>
      <c r="D273">
        <v>200.88304868853191</v>
      </c>
      <c r="E273">
        <v>203.70186769022783</v>
      </c>
      <c r="F273">
        <v>75109300</v>
      </c>
      <c r="G273" s="2" t="s">
        <v>12</v>
      </c>
      <c r="H273">
        <v>0.47929086933404808</v>
      </c>
      <c r="I273">
        <v>92.2144070576568</v>
      </c>
      <c r="J273">
        <v>204.39412567138672</v>
      </c>
      <c r="K273">
        <v>0.99626964288468223</v>
      </c>
      <c r="L273">
        <v>0</v>
      </c>
      <c r="M273" t="str">
        <f>VLOOKUP(fact_daily_prices[[#This Row],[Ticker]], dim_company[], 2, FALSE)</f>
        <v>Apple Inc.</v>
      </c>
      <c r="N273" t="str">
        <f>VLOOKUP(fact_daily_prices[[#This Row],[Ticker]], dim_company[], 3, FALSE)</f>
        <v>Technology</v>
      </c>
    </row>
    <row r="274" spans="1:14" x14ac:dyDescent="0.3">
      <c r="A274" s="1">
        <v>45874</v>
      </c>
      <c r="B274">
        <v>202.11814880371091</v>
      </c>
      <c r="C274">
        <v>204.52858421879685</v>
      </c>
      <c r="D274">
        <v>201.36115745633879</v>
      </c>
      <c r="E274">
        <v>202.59624780213056</v>
      </c>
      <c r="F274">
        <v>44155100</v>
      </c>
      <c r="G274" s="2" t="s">
        <v>12</v>
      </c>
      <c r="H274">
        <v>-0.21146466969287347</v>
      </c>
      <c r="I274">
        <v>92.019406166363083</v>
      </c>
      <c r="J274">
        <v>204.42520233154298</v>
      </c>
      <c r="K274">
        <v>0.99654425531373447</v>
      </c>
      <c r="L274">
        <v>0</v>
      </c>
      <c r="M274" t="str">
        <f>VLOOKUP(fact_daily_prices[[#This Row],[Ticker]], dim_company[], 2, FALSE)</f>
        <v>Apple Inc.</v>
      </c>
      <c r="N274" t="str">
        <f>VLOOKUP(fact_daily_prices[[#This Row],[Ticker]], dim_company[], 3, FALSE)</f>
        <v>Technology</v>
      </c>
    </row>
    <row r="275" spans="1:14" x14ac:dyDescent="0.3">
      <c r="A275" s="1">
        <v>45875</v>
      </c>
      <c r="B275">
        <v>212.40733337402344</v>
      </c>
      <c r="C275">
        <v>214.52892145013999</v>
      </c>
      <c r="D275">
        <v>204.77759854868279</v>
      </c>
      <c r="E275">
        <v>204.81744899810371</v>
      </c>
      <c r="F275">
        <v>108483100</v>
      </c>
      <c r="G275" s="2" t="s">
        <v>12</v>
      </c>
      <c r="H275">
        <v>5.0906782152972285</v>
      </c>
      <c r="I275">
        <v>96.703818029920001</v>
      </c>
      <c r="J275">
        <v>204.78338134765625</v>
      </c>
      <c r="K275">
        <v>1.351392678608911</v>
      </c>
      <c r="L275">
        <v>0</v>
      </c>
      <c r="M275" t="str">
        <f>VLOOKUP(fact_daily_prices[[#This Row],[Ticker]], dim_company[], 2, FALSE)</f>
        <v>Apple Inc.</v>
      </c>
      <c r="N275" t="str">
        <f>VLOOKUP(fact_daily_prices[[#This Row],[Ticker]], dim_company[], 3, FALSE)</f>
        <v>Technology</v>
      </c>
    </row>
    <row r="276" spans="1:14" x14ac:dyDescent="0.3">
      <c r="A276" s="1">
        <v>45876</v>
      </c>
      <c r="B276">
        <v>219.1605529785156</v>
      </c>
      <c r="C276">
        <v>219.97732005400189</v>
      </c>
      <c r="D276">
        <v>215.7241886502616</v>
      </c>
      <c r="E276">
        <v>218.01510326859565</v>
      </c>
      <c r="F276">
        <v>90224800</v>
      </c>
      <c r="G276" s="2" t="s">
        <v>12</v>
      </c>
      <c r="H276">
        <v>3.1793721512432649</v>
      </c>
      <c r="I276">
        <v>99.778392289552244</v>
      </c>
      <c r="J276">
        <v>205.17821502685547</v>
      </c>
      <c r="K276">
        <v>1.4544438510954301</v>
      </c>
      <c r="L276">
        <v>0</v>
      </c>
      <c r="M276" t="str">
        <f>VLOOKUP(fact_daily_prices[[#This Row],[Ticker]], dim_company[], 2, FALSE)</f>
        <v>Apple Inc.</v>
      </c>
      <c r="N276" t="str">
        <f>VLOOKUP(fact_daily_prices[[#This Row],[Ticker]], dim_company[], 3, FALSE)</f>
        <v>Technology</v>
      </c>
    </row>
    <row r="277" spans="1:14" x14ac:dyDescent="0.3">
      <c r="A277" s="1">
        <v>45877</v>
      </c>
      <c r="B277">
        <v>228.4437255859375</v>
      </c>
      <c r="C277">
        <v>230.08719950298999</v>
      </c>
      <c r="D277">
        <v>218.38362983130105</v>
      </c>
      <c r="E277">
        <v>219.95738825778145</v>
      </c>
      <c r="F277">
        <v>113854000</v>
      </c>
      <c r="G277" s="2" t="s">
        <v>12</v>
      </c>
      <c r="H277">
        <v>4.2357862677650404</v>
      </c>
      <c r="I277">
        <v>104.00479172834984</v>
      </c>
      <c r="J277">
        <v>205.75452880859376</v>
      </c>
      <c r="K277">
        <v>1.6167151410352241</v>
      </c>
      <c r="L277">
        <v>0</v>
      </c>
      <c r="M277" t="str">
        <f>VLOOKUP(fact_daily_prices[[#This Row],[Ticker]], dim_company[], 2, FALSE)</f>
        <v>Apple Inc.</v>
      </c>
      <c r="N277" t="str">
        <f>VLOOKUP(fact_daily_prices[[#This Row],[Ticker]], dim_company[], 3, FALSE)</f>
        <v>Technology</v>
      </c>
    </row>
    <row r="278" spans="1:14" x14ac:dyDescent="0.3">
      <c r="A278" s="1">
        <v>45880</v>
      </c>
      <c r="B278">
        <v>226.53909301757807</v>
      </c>
      <c r="C278">
        <v>228.91238364576839</v>
      </c>
      <c r="D278">
        <v>224.12592192869849</v>
      </c>
      <c r="E278">
        <v>227.27701087414155</v>
      </c>
      <c r="F278">
        <v>61806100</v>
      </c>
      <c r="G278" s="2" t="s">
        <v>12</v>
      </c>
      <c r="H278">
        <v>-0.83374256109429723</v>
      </c>
      <c r="I278">
        <v>103.13765951413309</v>
      </c>
      <c r="J278">
        <v>206.30211303710936</v>
      </c>
      <c r="K278">
        <v>1.6322101457904949</v>
      </c>
      <c r="L278">
        <v>0</v>
      </c>
      <c r="M278" t="str">
        <f>VLOOKUP(fact_daily_prices[[#This Row],[Ticker]], dim_company[], 2, FALSE)</f>
        <v>Apple Inc.</v>
      </c>
      <c r="N278" t="str">
        <f>VLOOKUP(fact_daily_prices[[#This Row],[Ticker]], dim_company[], 3, FALSE)</f>
        <v>Technology</v>
      </c>
    </row>
    <row r="279" spans="1:14" x14ac:dyDescent="0.3">
      <c r="A279" s="1">
        <v>45881</v>
      </c>
      <c r="B279">
        <v>229.00210571289065</v>
      </c>
      <c r="C279">
        <v>230.14887046423399</v>
      </c>
      <c r="D279">
        <v>226.42939779448272</v>
      </c>
      <c r="E279">
        <v>227.36673308681239</v>
      </c>
      <c r="F279">
        <v>55626200</v>
      </c>
      <c r="G279" s="2" t="s">
        <v>12</v>
      </c>
      <c r="H279">
        <v>1.0872351709828143</v>
      </c>
      <c r="I279">
        <v>104.25900842289926</v>
      </c>
      <c r="J279">
        <v>206.88102844238281</v>
      </c>
      <c r="K279">
        <v>1.6089966137966158</v>
      </c>
      <c r="L279">
        <v>0</v>
      </c>
      <c r="M279" t="str">
        <f>VLOOKUP(fact_daily_prices[[#This Row],[Ticker]], dim_company[], 2, FALSE)</f>
        <v>Apple Inc.</v>
      </c>
      <c r="N279" t="str">
        <f>VLOOKUP(fact_daily_prices[[#This Row],[Ticker]], dim_company[], 3, FALSE)</f>
        <v>Technology</v>
      </c>
    </row>
    <row r="280" spans="1:14" x14ac:dyDescent="0.3">
      <c r="A280" s="1">
        <v>45882</v>
      </c>
      <c r="B280">
        <v>232.6717529296875</v>
      </c>
      <c r="C280">
        <v>234.3370398551092</v>
      </c>
      <c r="D280">
        <v>229.77992501054072</v>
      </c>
      <c r="E280">
        <v>230.41813410917371</v>
      </c>
      <c r="F280">
        <v>69878500</v>
      </c>
      <c r="G280" s="2" t="s">
        <v>12</v>
      </c>
      <c r="H280">
        <v>1.6024512985909567</v>
      </c>
      <c r="I280">
        <v>105.92970825727006</v>
      </c>
      <c r="J280">
        <v>207.51640380859374</v>
      </c>
      <c r="K280">
        <v>1.6159716564396704</v>
      </c>
      <c r="L280">
        <v>0</v>
      </c>
      <c r="M280" t="str">
        <f>VLOOKUP(fact_daily_prices[[#This Row],[Ticker]], dim_company[], 2, FALSE)</f>
        <v>Apple Inc.</v>
      </c>
      <c r="N280" t="str">
        <f>VLOOKUP(fact_daily_prices[[#This Row],[Ticker]], dim_company[], 3, FALSE)</f>
        <v>Technology</v>
      </c>
    </row>
    <row r="281" spans="1:14" x14ac:dyDescent="0.3">
      <c r="A281" s="1">
        <v>45883</v>
      </c>
      <c r="B281">
        <v>232.12330627441409</v>
      </c>
      <c r="C281">
        <v>234.45670128029761</v>
      </c>
      <c r="D281">
        <v>230.19875827485632</v>
      </c>
      <c r="E281">
        <v>233.39969406647401</v>
      </c>
      <c r="F281">
        <v>51916300</v>
      </c>
      <c r="G281" s="2" t="s">
        <v>12</v>
      </c>
      <c r="H281">
        <v>-0.23571690519696986</v>
      </c>
      <c r="I281">
        <v>105.68001402728184</v>
      </c>
      <c r="J281">
        <v>208.14081024169923</v>
      </c>
      <c r="K281">
        <v>1.5824778523304939</v>
      </c>
      <c r="L281">
        <v>0</v>
      </c>
      <c r="M281" t="str">
        <f>VLOOKUP(fact_daily_prices[[#This Row],[Ticker]], dim_company[], 2, FALSE)</f>
        <v>Apple Inc.</v>
      </c>
      <c r="N281" t="str">
        <f>VLOOKUP(fact_daily_prices[[#This Row],[Ticker]], dim_company[], 3, FALSE)</f>
        <v>Technology</v>
      </c>
    </row>
    <row r="282" spans="1:14" x14ac:dyDescent="0.3">
      <c r="A282" s="1">
        <v>45884</v>
      </c>
      <c r="B282">
        <v>230.93666076660159</v>
      </c>
      <c r="C282">
        <v>233.6190744765876</v>
      </c>
      <c r="D282">
        <v>228.69300821277216</v>
      </c>
      <c r="E282">
        <v>233.33986559825931</v>
      </c>
      <c r="F282">
        <v>56038700</v>
      </c>
      <c r="G282" s="2" t="s">
        <v>12</v>
      </c>
      <c r="H282">
        <v>-0.51121342654393276</v>
      </c>
      <c r="I282">
        <v>105.13976360640088</v>
      </c>
      <c r="J282">
        <v>208.71917236328125</v>
      </c>
      <c r="K282">
        <v>1.5891777317555968</v>
      </c>
      <c r="L282">
        <v>0</v>
      </c>
      <c r="M282" t="str">
        <f>VLOOKUP(fact_daily_prices[[#This Row],[Ticker]], dim_company[], 2, FALSE)</f>
        <v>Apple Inc.</v>
      </c>
      <c r="N282" t="str">
        <f>VLOOKUP(fact_daily_prices[[#This Row],[Ticker]], dim_company[], 3, FALSE)</f>
        <v>Technology</v>
      </c>
    </row>
    <row r="283" spans="1:14" x14ac:dyDescent="0.3">
      <c r="A283" s="1">
        <v>45887</v>
      </c>
      <c r="B283">
        <v>230.23863220214844</v>
      </c>
      <c r="C283">
        <v>232.46233685580373</v>
      </c>
      <c r="D283">
        <v>229.46083388892839</v>
      </c>
      <c r="E283">
        <v>231.04634466466609</v>
      </c>
      <c r="F283">
        <v>37476200</v>
      </c>
      <c r="G283" s="2" t="s">
        <v>12</v>
      </c>
      <c r="H283">
        <v>-0.30225974608623085</v>
      </c>
      <c r="I283">
        <v>104.82196842388849</v>
      </c>
      <c r="J283">
        <v>209.32720092773437</v>
      </c>
      <c r="K283">
        <v>1.5495496493601513</v>
      </c>
      <c r="L283">
        <v>0</v>
      </c>
      <c r="M283" t="str">
        <f>VLOOKUP(fact_daily_prices[[#This Row],[Ticker]], dim_company[], 2, FALSE)</f>
        <v>Apple Inc.</v>
      </c>
      <c r="N283" t="str">
        <f>VLOOKUP(fact_daily_prices[[#This Row],[Ticker]], dim_company[], 3, FALSE)</f>
        <v>Technology</v>
      </c>
    </row>
    <row r="284" spans="1:14" x14ac:dyDescent="0.3">
      <c r="A284" s="1">
        <v>45888</v>
      </c>
      <c r="B284">
        <v>229.9095764160156</v>
      </c>
      <c r="C284">
        <v>232.21305735738468</v>
      </c>
      <c r="D284">
        <v>228.70299840660479</v>
      </c>
      <c r="E284">
        <v>230.62754647770771</v>
      </c>
      <c r="F284">
        <v>39402600</v>
      </c>
      <c r="G284" s="2" t="s">
        <v>12</v>
      </c>
      <c r="H284">
        <v>-0.14291944969684334</v>
      </c>
      <c r="I284">
        <v>104.67215744345569</v>
      </c>
      <c r="J284">
        <v>209.92864837646485</v>
      </c>
      <c r="K284">
        <v>1.5510255991612514</v>
      </c>
      <c r="L284">
        <v>0</v>
      </c>
      <c r="M284" t="str">
        <f>VLOOKUP(fact_daily_prices[[#This Row],[Ticker]], dim_company[], 2, FALSE)</f>
        <v>Apple Inc.</v>
      </c>
      <c r="N284" t="str">
        <f>VLOOKUP(fact_daily_prices[[#This Row],[Ticker]], dim_company[], 3, FALSE)</f>
        <v>Technology</v>
      </c>
    </row>
    <row r="285" spans="1:14" x14ac:dyDescent="0.3">
      <c r="A285" s="1">
        <v>45889</v>
      </c>
      <c r="B285">
        <v>225.37239074707031</v>
      </c>
      <c r="C285">
        <v>229.81981519856649</v>
      </c>
      <c r="D285">
        <v>225.13307755654051</v>
      </c>
      <c r="E285">
        <v>229.33119207499823</v>
      </c>
      <c r="F285">
        <v>42263900</v>
      </c>
      <c r="G285" s="2" t="s">
        <v>12</v>
      </c>
      <c r="H285">
        <v>-1.9734652812962272</v>
      </c>
      <c r="I285">
        <v>102.60648875712535</v>
      </c>
      <c r="J285">
        <v>210.42301696777344</v>
      </c>
      <c r="K285">
        <v>1.6060393545481535</v>
      </c>
      <c r="L285">
        <v>0</v>
      </c>
      <c r="M285" t="str">
        <f>VLOOKUP(fact_daily_prices[[#This Row],[Ticker]], dim_company[], 2, FALSE)</f>
        <v>Apple Inc.</v>
      </c>
      <c r="N285" t="str">
        <f>VLOOKUP(fact_daily_prices[[#This Row],[Ticker]], dim_company[], 3, FALSE)</f>
        <v>Technology</v>
      </c>
    </row>
    <row r="286" spans="1:14" x14ac:dyDescent="0.3">
      <c r="A286" s="1">
        <v>45890</v>
      </c>
      <c r="B286">
        <v>224.26551818847656</v>
      </c>
      <c r="C286">
        <v>225.88095827873423</v>
      </c>
      <c r="D286">
        <v>223.14868274098328</v>
      </c>
      <c r="E286">
        <v>225.63166356522291</v>
      </c>
      <c r="F286">
        <v>30621200</v>
      </c>
      <c r="G286" s="2" t="s">
        <v>12</v>
      </c>
      <c r="H286">
        <v>-0.49113050401811131</v>
      </c>
      <c r="I286">
        <v>102.1025569917372</v>
      </c>
      <c r="J286">
        <v>210.87094482421875</v>
      </c>
      <c r="K286">
        <v>1.6100171815027942</v>
      </c>
      <c r="L286">
        <v>0</v>
      </c>
      <c r="M286" t="str">
        <f>VLOOKUP(fact_daily_prices[[#This Row],[Ticker]], dim_company[], 2, FALSE)</f>
        <v>Apple Inc.</v>
      </c>
      <c r="N286" t="str">
        <f>VLOOKUP(fact_daily_prices[[#This Row],[Ticker]], dim_company[], 3, FALSE)</f>
        <v>Technology</v>
      </c>
    </row>
    <row r="287" spans="1:14" x14ac:dyDescent="0.3">
      <c r="A287" s="1">
        <v>45891</v>
      </c>
      <c r="B287">
        <v>227.11744689941409</v>
      </c>
      <c r="C287">
        <v>228.44369658121065</v>
      </c>
      <c r="D287">
        <v>224.77408575714253</v>
      </c>
      <c r="E287">
        <v>225.53193619713707</v>
      </c>
      <c r="F287">
        <v>42477800</v>
      </c>
      <c r="G287" s="2" t="s">
        <v>12</v>
      </c>
      <c r="H287">
        <v>1.2716750813831057</v>
      </c>
      <c r="I287">
        <v>103.4009697664561</v>
      </c>
      <c r="J287">
        <v>211.4534033203125</v>
      </c>
      <c r="K287">
        <v>1.6141489143378713</v>
      </c>
      <c r="L287">
        <v>0</v>
      </c>
      <c r="M287" t="str">
        <f>VLOOKUP(fact_daily_prices[[#This Row],[Ticker]], dim_company[], 2, FALSE)</f>
        <v>Apple Inc.</v>
      </c>
      <c r="N287" t="str">
        <f>VLOOKUP(fact_daily_prices[[#This Row],[Ticker]], dim_company[], 3, FALSE)</f>
        <v>Technology</v>
      </c>
    </row>
    <row r="288" spans="1:14" x14ac:dyDescent="0.3">
      <c r="A288" s="1">
        <v>45894</v>
      </c>
      <c r="B288">
        <v>226.5191650390625</v>
      </c>
      <c r="C288">
        <v>228.65312729963856</v>
      </c>
      <c r="D288">
        <v>225.5917807397916</v>
      </c>
      <c r="E288">
        <v>225.84107546750249</v>
      </c>
      <c r="F288">
        <v>30983100</v>
      </c>
      <c r="G288" s="2" t="s">
        <v>12</v>
      </c>
      <c r="H288">
        <v>-0.26342399869286881</v>
      </c>
      <c r="I288">
        <v>103.12858679721009</v>
      </c>
      <c r="J288">
        <v>212.01552947998047</v>
      </c>
      <c r="K288">
        <v>1.5935960731359928</v>
      </c>
      <c r="L288">
        <v>0</v>
      </c>
      <c r="M288" t="str">
        <f>VLOOKUP(fact_daily_prices[[#This Row],[Ticker]], dim_company[], 2, FALSE)</f>
        <v>Apple Inc.</v>
      </c>
      <c r="N288" t="str">
        <f>VLOOKUP(fact_daily_prices[[#This Row],[Ticker]], dim_company[], 3, FALSE)</f>
        <v>Technology</v>
      </c>
    </row>
    <row r="289" spans="1:14" x14ac:dyDescent="0.3">
      <c r="A289" s="1">
        <v>45895</v>
      </c>
      <c r="B289">
        <v>228.6630859375</v>
      </c>
      <c r="C289">
        <v>228.84258604761439</v>
      </c>
      <c r="D289">
        <v>224.05612439304167</v>
      </c>
      <c r="E289">
        <v>226.229967042174</v>
      </c>
      <c r="F289">
        <v>54575100</v>
      </c>
      <c r="G289" s="2" t="s">
        <v>12</v>
      </c>
      <c r="H289">
        <v>0.94646335910155699</v>
      </c>
      <c r="I289">
        <v>104.10466108400493</v>
      </c>
      <c r="J289">
        <v>212.67531677246095</v>
      </c>
      <c r="K289">
        <v>1.5978822377155306</v>
      </c>
      <c r="L289">
        <v>0</v>
      </c>
      <c r="M289" t="str">
        <f>VLOOKUP(fact_daily_prices[[#This Row],[Ticker]], dim_company[], 2, FALSE)</f>
        <v>Apple Inc.</v>
      </c>
      <c r="N289" t="str">
        <f>VLOOKUP(fact_daily_prices[[#This Row],[Ticker]], dim_company[], 3, FALSE)</f>
        <v>Technology</v>
      </c>
    </row>
    <row r="290" spans="1:14" x14ac:dyDescent="0.3">
      <c r="A290" s="1">
        <v>45896</v>
      </c>
      <c r="B290">
        <v>229.83976745605469</v>
      </c>
      <c r="C290">
        <v>230.24859923631865</v>
      </c>
      <c r="D290">
        <v>227.61604757967461</v>
      </c>
      <c r="E290">
        <v>227.965066276898</v>
      </c>
      <c r="F290">
        <v>31259500</v>
      </c>
      <c r="G290" s="2" t="s">
        <v>12</v>
      </c>
      <c r="H290">
        <v>0.5145918125483151</v>
      </c>
      <c r="I290">
        <v>104.64037514642439</v>
      </c>
      <c r="J290">
        <v>213.31939331054687</v>
      </c>
      <c r="K290">
        <v>1.5979318782810426</v>
      </c>
      <c r="L290">
        <v>0</v>
      </c>
      <c r="M290" t="str">
        <f>VLOOKUP(fact_daily_prices[[#This Row],[Ticker]], dim_company[], 2, FALSE)</f>
        <v>Apple Inc.</v>
      </c>
      <c r="N290" t="str">
        <f>VLOOKUP(fact_daily_prices[[#This Row],[Ticker]], dim_company[], 3, FALSE)</f>
        <v>Technology</v>
      </c>
    </row>
    <row r="291" spans="1:14" x14ac:dyDescent="0.3">
      <c r="A291" s="1">
        <v>45897</v>
      </c>
      <c r="B291">
        <v>231.90391540527344</v>
      </c>
      <c r="C291">
        <v>232.7515235304584</v>
      </c>
      <c r="D291">
        <v>228.692998228932</v>
      </c>
      <c r="E291">
        <v>230.16883391080088</v>
      </c>
      <c r="F291">
        <v>38074700</v>
      </c>
      <c r="G291" s="2" t="s">
        <v>12</v>
      </c>
      <c r="H291">
        <v>0.89808129031170303</v>
      </c>
      <c r="I291">
        <v>105.5801307777264</v>
      </c>
      <c r="J291">
        <v>214.06013305664064</v>
      </c>
      <c r="K291">
        <v>1.5995019051029815</v>
      </c>
      <c r="L291">
        <v>0</v>
      </c>
      <c r="M291" t="str">
        <f>VLOOKUP(fact_daily_prices[[#This Row],[Ticker]], dim_company[], 2, FALSE)</f>
        <v>Apple Inc.</v>
      </c>
      <c r="N291" t="str">
        <f>VLOOKUP(fact_daily_prices[[#This Row],[Ticker]], dim_company[], 3, FALSE)</f>
        <v>Technology</v>
      </c>
    </row>
    <row r="292" spans="1:14" x14ac:dyDescent="0.3">
      <c r="A292" s="1">
        <v>45898</v>
      </c>
      <c r="B292">
        <v>231.485107421875</v>
      </c>
      <c r="C292">
        <v>232.7216147258446</v>
      </c>
      <c r="D292">
        <v>230.71727541448905</v>
      </c>
      <c r="E292">
        <v>231.85405874294369</v>
      </c>
      <c r="F292">
        <v>39418400</v>
      </c>
      <c r="G292" s="2" t="s">
        <v>12</v>
      </c>
      <c r="H292">
        <v>-0.1805954775134011</v>
      </c>
      <c r="I292">
        <v>105.38945783638908</v>
      </c>
      <c r="J292">
        <v>214.7737710571289</v>
      </c>
      <c r="K292">
        <v>1.6020009307425822</v>
      </c>
      <c r="L292">
        <v>0</v>
      </c>
      <c r="M292" t="str">
        <f>VLOOKUP(fact_daily_prices[[#This Row],[Ticker]], dim_company[], 2, FALSE)</f>
        <v>Apple Inc.</v>
      </c>
      <c r="N292" t="str">
        <f>VLOOKUP(fact_daily_prices[[#This Row],[Ticker]], dim_company[], 3, FALSE)</f>
        <v>Technology</v>
      </c>
    </row>
    <row r="293" spans="1:14" x14ac:dyDescent="0.3">
      <c r="A293" s="1">
        <v>45902</v>
      </c>
      <c r="B293">
        <v>229.07192993164065</v>
      </c>
      <c r="C293">
        <v>230.19874691737337</v>
      </c>
      <c r="D293">
        <v>226.3296880547272</v>
      </c>
      <c r="E293">
        <v>228.6032546481452</v>
      </c>
      <c r="F293">
        <v>44075600</v>
      </c>
      <c r="G293" s="2" t="s">
        <v>12</v>
      </c>
      <c r="H293">
        <v>-1.0424763463665943</v>
      </c>
      <c r="I293">
        <v>104.29079766688074</v>
      </c>
      <c r="J293">
        <v>215.35109466552734</v>
      </c>
      <c r="K293">
        <v>1.6203735034220472</v>
      </c>
      <c r="L293">
        <v>0</v>
      </c>
      <c r="M293" t="str">
        <f>VLOOKUP(fact_daily_prices[[#This Row],[Ticker]], dim_company[], 2, FALSE)</f>
        <v>Apple Inc.</v>
      </c>
      <c r="N293" t="str">
        <f>VLOOKUP(fact_daily_prices[[#This Row],[Ticker]], dim_company[], 3, FALSE)</f>
        <v>Technology</v>
      </c>
    </row>
    <row r="294" spans="1:14" x14ac:dyDescent="0.3">
      <c r="A294" s="1">
        <v>45903</v>
      </c>
      <c r="B294">
        <v>237.79725646972656</v>
      </c>
      <c r="C294">
        <v>238.17618932549604</v>
      </c>
      <c r="D294">
        <v>233.69885053091849</v>
      </c>
      <c r="E294">
        <v>236.5408165177042</v>
      </c>
      <c r="F294">
        <v>66427800</v>
      </c>
      <c r="G294" s="2" t="s">
        <v>12</v>
      </c>
      <c r="H294">
        <v>3.8089898403046218</v>
      </c>
      <c r="I294">
        <v>108.26322355438487</v>
      </c>
      <c r="J294">
        <v>216.09296447753906</v>
      </c>
      <c r="K294">
        <v>1.7414380932176727</v>
      </c>
      <c r="L294">
        <v>0</v>
      </c>
      <c r="M294" t="str">
        <f>VLOOKUP(fact_daily_prices[[#This Row],[Ticker]], dim_company[], 2, FALSE)</f>
        <v>Apple Inc.</v>
      </c>
      <c r="N294" t="str">
        <f>VLOOKUP(fact_daily_prices[[#This Row],[Ticker]], dim_company[], 3, FALSE)</f>
        <v>Technology</v>
      </c>
    </row>
    <row r="295" spans="1:14" x14ac:dyDescent="0.3">
      <c r="A295" s="1">
        <v>45904</v>
      </c>
      <c r="B295">
        <v>239.10356140136719</v>
      </c>
      <c r="C295">
        <v>239.22321800332051</v>
      </c>
      <c r="D295">
        <v>236.07214416452069</v>
      </c>
      <c r="E295">
        <v>237.77731160532721</v>
      </c>
      <c r="F295">
        <v>47549400</v>
      </c>
      <c r="G295" s="2" t="s">
        <v>12</v>
      </c>
      <c r="H295">
        <v>0.54933557730383331</v>
      </c>
      <c r="I295">
        <v>108.85795195850507</v>
      </c>
      <c r="J295">
        <v>216.88486572265626</v>
      </c>
      <c r="K295">
        <v>1.7392181803673896</v>
      </c>
      <c r="L295">
        <v>0</v>
      </c>
      <c r="M295" t="str">
        <f>VLOOKUP(fact_daily_prices[[#This Row],[Ticker]], dim_company[], 2, FALSE)</f>
        <v>Apple Inc.</v>
      </c>
      <c r="N295" t="str">
        <f>VLOOKUP(fact_daily_prices[[#This Row],[Ticker]], dim_company[], 3, FALSE)</f>
        <v>Technology</v>
      </c>
    </row>
    <row r="296" spans="1:14" x14ac:dyDescent="0.3">
      <c r="A296" s="1">
        <v>45905</v>
      </c>
      <c r="B296">
        <v>239.0137939453125</v>
      </c>
      <c r="C296">
        <v>240.63920029193571</v>
      </c>
      <c r="D296">
        <v>237.81718240373485</v>
      </c>
      <c r="E296">
        <v>239.32291694518145</v>
      </c>
      <c r="F296">
        <v>54870400</v>
      </c>
      <c r="G296" s="2" t="s">
        <v>12</v>
      </c>
      <c r="H296">
        <v>-3.75433370914946E-2</v>
      </c>
      <c r="I296">
        <v>108.81708305065038</v>
      </c>
      <c r="J296">
        <v>217.64987121582033</v>
      </c>
      <c r="K296">
        <v>1.737761615880153</v>
      </c>
      <c r="L296">
        <v>0</v>
      </c>
      <c r="M296" t="str">
        <f>VLOOKUP(fact_daily_prices[[#This Row],[Ticker]], dim_company[], 2, FALSE)</f>
        <v>Apple Inc.</v>
      </c>
      <c r="N296" t="str">
        <f>VLOOKUP(fact_daily_prices[[#This Row],[Ticker]], dim_company[], 3, FALSE)</f>
        <v>Technology</v>
      </c>
    </row>
    <row r="297" spans="1:14" x14ac:dyDescent="0.3">
      <c r="A297" s="1">
        <v>45908</v>
      </c>
      <c r="B297">
        <v>237.20890808105469</v>
      </c>
      <c r="C297">
        <v>239.47249309970456</v>
      </c>
      <c r="D297">
        <v>235.67324414176576</v>
      </c>
      <c r="E297">
        <v>238.62490021245955</v>
      </c>
      <c r="F297">
        <v>48999500</v>
      </c>
      <c r="G297" s="2" t="s">
        <v>12</v>
      </c>
      <c r="H297">
        <v>-0.75513878695669945</v>
      </c>
      <c r="I297">
        <v>107.99536304970006</v>
      </c>
      <c r="J297">
        <v>218.38993438720703</v>
      </c>
      <c r="K297">
        <v>1.7495780094763469</v>
      </c>
      <c r="L297">
        <v>0</v>
      </c>
      <c r="M297" t="str">
        <f>VLOOKUP(fact_daily_prices[[#This Row],[Ticker]], dim_company[], 2, FALSE)</f>
        <v>Apple Inc.</v>
      </c>
      <c r="N297" t="str">
        <f>VLOOKUP(fact_daily_prices[[#This Row],[Ticker]], dim_company[], 3, FALSE)</f>
        <v>Technology</v>
      </c>
    </row>
    <row r="298" spans="1:14" x14ac:dyDescent="0.3">
      <c r="A298" s="1">
        <v>45909</v>
      </c>
      <c r="B298">
        <v>233.6888732910156</v>
      </c>
      <c r="C298">
        <v>238.10636836303831</v>
      </c>
      <c r="D298">
        <v>232.70166073618759</v>
      </c>
      <c r="E298">
        <v>236.3313911991396</v>
      </c>
      <c r="F298">
        <v>66313900</v>
      </c>
      <c r="G298" s="2" t="s">
        <v>12</v>
      </c>
      <c r="H298">
        <v>-1.4839387013392824</v>
      </c>
      <c r="I298">
        <v>106.39277806175369</v>
      </c>
      <c r="J298">
        <v>219.05800323486329</v>
      </c>
      <c r="K298">
        <v>1.781628149599914</v>
      </c>
      <c r="L298">
        <v>0</v>
      </c>
      <c r="M298" t="str">
        <f>VLOOKUP(fact_daily_prices[[#This Row],[Ticker]], dim_company[], 2, FALSE)</f>
        <v>Apple Inc.</v>
      </c>
      <c r="N298" t="str">
        <f>VLOOKUP(fact_daily_prices[[#This Row],[Ticker]], dim_company[], 3, FALSE)</f>
        <v>Technology</v>
      </c>
    </row>
    <row r="299" spans="1:14" x14ac:dyDescent="0.3">
      <c r="A299" s="1">
        <v>45910</v>
      </c>
      <c r="B299">
        <v>226.15020751953125</v>
      </c>
      <c r="C299">
        <v>231.7643298806428</v>
      </c>
      <c r="D299">
        <v>225.31258085277639</v>
      </c>
      <c r="E299">
        <v>231.53498298240493</v>
      </c>
      <c r="F299">
        <v>83440800</v>
      </c>
      <c r="G299" s="2" t="s">
        <v>12</v>
      </c>
      <c r="H299">
        <v>-3.2259412548479971</v>
      </c>
      <c r="I299">
        <v>102.9606095420807</v>
      </c>
      <c r="J299">
        <v>219.49382202148436</v>
      </c>
      <c r="K299">
        <v>1.8743879566461901</v>
      </c>
      <c r="L299">
        <v>0</v>
      </c>
      <c r="M299" t="str">
        <f>VLOOKUP(fact_daily_prices[[#This Row],[Ticker]], dim_company[], 2, FALSE)</f>
        <v>Apple Inc.</v>
      </c>
      <c r="N299" t="str">
        <f>VLOOKUP(fact_daily_prices[[#This Row],[Ticker]], dim_company[], 3, FALSE)</f>
        <v>Technology</v>
      </c>
    </row>
    <row r="300" spans="1:14" x14ac:dyDescent="0.3">
      <c r="A300" s="1">
        <v>45911</v>
      </c>
      <c r="B300">
        <v>229.38105773925781</v>
      </c>
      <c r="C300">
        <v>229.79987104514171</v>
      </c>
      <c r="D300">
        <v>226.01058823833301</v>
      </c>
      <c r="E300">
        <v>226.23995033725743</v>
      </c>
      <c r="F300">
        <v>50208600</v>
      </c>
      <c r="G300" s="2" t="s">
        <v>12</v>
      </c>
      <c r="H300">
        <v>1.4286302255316352</v>
      </c>
      <c r="I300">
        <v>104.4315359303905</v>
      </c>
      <c r="J300">
        <v>219.94146728515625</v>
      </c>
      <c r="K300">
        <v>1.8693849875206421</v>
      </c>
      <c r="L300">
        <v>0</v>
      </c>
      <c r="M300" t="str">
        <f>VLOOKUP(fact_daily_prices[[#This Row],[Ticker]], dim_company[], 2, FALSE)</f>
        <v>Apple Inc.</v>
      </c>
      <c r="N300" t="str">
        <f>VLOOKUP(fact_daily_prices[[#This Row],[Ticker]], dim_company[], 3, FALSE)</f>
        <v>Technology</v>
      </c>
    </row>
    <row r="301" spans="1:14" x14ac:dyDescent="0.3">
      <c r="A301" s="1">
        <v>45912</v>
      </c>
      <c r="B301">
        <v>233.40966796875</v>
      </c>
      <c r="C301">
        <v>233.84841389514688</v>
      </c>
      <c r="D301">
        <v>228.3739115767776</v>
      </c>
      <c r="E301">
        <v>228.57334430982019</v>
      </c>
      <c r="F301">
        <v>55824200</v>
      </c>
      <c r="G301" s="2" t="s">
        <v>12</v>
      </c>
      <c r="H301">
        <v>1.7562959510246889</v>
      </c>
      <c r="I301">
        <v>106.26566276752882</v>
      </c>
      <c r="J301">
        <v>220.3776498413086</v>
      </c>
      <c r="K301">
        <v>1.8758883218822597</v>
      </c>
      <c r="L301">
        <v>0</v>
      </c>
      <c r="M301" t="str">
        <f>VLOOKUP(fact_daily_prices[[#This Row],[Ticker]], dim_company[], 2, FALSE)</f>
        <v>Apple Inc.</v>
      </c>
      <c r="N301" t="str">
        <f>VLOOKUP(fact_daily_prices[[#This Row],[Ticker]], dim_company[], 3, FALSE)</f>
        <v>Technology</v>
      </c>
    </row>
    <row r="302" spans="1:14" x14ac:dyDescent="0.3">
      <c r="A302" s="1">
        <v>45915</v>
      </c>
      <c r="B302">
        <v>236.03224182128903</v>
      </c>
      <c r="C302">
        <v>237.51804385513719</v>
      </c>
      <c r="D302">
        <v>234.36695488957943</v>
      </c>
      <c r="E302">
        <v>236.33139853346725</v>
      </c>
      <c r="F302">
        <v>42699500</v>
      </c>
      <c r="G302" s="2" t="s">
        <v>12</v>
      </c>
      <c r="H302">
        <v>1.1235926409398633</v>
      </c>
      <c r="I302">
        <v>107.45965593423075</v>
      </c>
      <c r="J302">
        <v>220.84417144775389</v>
      </c>
      <c r="K302">
        <v>1.7962095269351497</v>
      </c>
      <c r="L302">
        <v>0</v>
      </c>
      <c r="M302" t="str">
        <f>VLOOKUP(fact_daily_prices[[#This Row],[Ticker]], dim_company[], 2, FALSE)</f>
        <v>Apple Inc.</v>
      </c>
      <c r="N302" t="str">
        <f>VLOOKUP(fact_daily_prices[[#This Row],[Ticker]], dim_company[], 3, FALSE)</f>
        <v>Technology</v>
      </c>
    </row>
    <row r="303" spans="1:14" x14ac:dyDescent="0.3">
      <c r="A303" s="1">
        <v>45916</v>
      </c>
      <c r="B303">
        <v>237.4781494140625</v>
      </c>
      <c r="C303">
        <v>240.53949594661788</v>
      </c>
      <c r="D303">
        <v>235.65332541334001</v>
      </c>
      <c r="E303">
        <v>236.51088466190768</v>
      </c>
      <c r="F303">
        <v>63421100</v>
      </c>
      <c r="G303" s="2" t="s">
        <v>12</v>
      </c>
      <c r="H303">
        <v>0.61258901818517231</v>
      </c>
      <c r="I303">
        <v>108.1179419854634</v>
      </c>
      <c r="J303">
        <v>221.41132690429689</v>
      </c>
      <c r="K303">
        <v>1.7962120901857646</v>
      </c>
      <c r="L303">
        <v>0</v>
      </c>
      <c r="M303" t="str">
        <f>VLOOKUP(fact_daily_prices[[#This Row],[Ticker]], dim_company[], 2, FALSE)</f>
        <v>Apple Inc.</v>
      </c>
      <c r="N303" t="str">
        <f>VLOOKUP(fact_daily_prices[[#This Row],[Ticker]], dim_company[], 3, FALSE)</f>
        <v>Technology</v>
      </c>
    </row>
    <row r="304" spans="1:14" x14ac:dyDescent="0.3">
      <c r="A304" s="1">
        <v>45917</v>
      </c>
      <c r="B304">
        <v>238.3157958984375</v>
      </c>
      <c r="C304">
        <v>239.42266510979977</v>
      </c>
      <c r="D304">
        <v>237.05934071942244</v>
      </c>
      <c r="E304">
        <v>238.29584805960189</v>
      </c>
      <c r="F304">
        <v>46508000</v>
      </c>
      <c r="G304" s="2" t="s">
        <v>12</v>
      </c>
      <c r="H304">
        <v>0.3527257082143187</v>
      </c>
      <c r="I304">
        <v>108.49930176203837</v>
      </c>
      <c r="J304">
        <v>221.99403991699219</v>
      </c>
      <c r="K304">
        <v>1.7909412027127634</v>
      </c>
      <c r="L304">
        <v>0</v>
      </c>
      <c r="M304" t="str">
        <f>VLOOKUP(fact_daily_prices[[#This Row],[Ticker]], dim_company[], 2, FALSE)</f>
        <v>Apple Inc.</v>
      </c>
      <c r="N304" t="str">
        <f>VLOOKUP(fact_daily_prices[[#This Row],[Ticker]], dim_company[], 3, FALSE)</f>
        <v>Technology</v>
      </c>
    </row>
    <row r="305" spans="1:14" x14ac:dyDescent="0.3">
      <c r="A305" s="1">
        <v>45918</v>
      </c>
      <c r="B305">
        <v>237.20890808105469</v>
      </c>
      <c r="C305">
        <v>240.51953392817583</v>
      </c>
      <c r="D305">
        <v>235.98236714862816</v>
      </c>
      <c r="E305">
        <v>239.2930082114909</v>
      </c>
      <c r="F305">
        <v>44249600</v>
      </c>
      <c r="G305" s="2" t="s">
        <v>12</v>
      </c>
      <c r="H305">
        <v>-0.46446263169837021</v>
      </c>
      <c r="I305">
        <v>107.99536304970006</v>
      </c>
      <c r="J305">
        <v>222.53210510253905</v>
      </c>
      <c r="K305">
        <v>1.5819755632142498</v>
      </c>
      <c r="L305">
        <v>0</v>
      </c>
      <c r="M305" t="str">
        <f>VLOOKUP(fact_daily_prices[[#This Row],[Ticker]], dim_company[], 2, FALSE)</f>
        <v>Apple Inc.</v>
      </c>
      <c r="N305" t="str">
        <f>VLOOKUP(fact_daily_prices[[#This Row],[Ticker]], dim_company[], 3, FALSE)</f>
        <v>Technology</v>
      </c>
    </row>
    <row r="306" spans="1:14" x14ac:dyDescent="0.3">
      <c r="A306" s="1">
        <v>45919</v>
      </c>
      <c r="B306">
        <v>244.80740356445313</v>
      </c>
      <c r="C306">
        <v>245.60514967420656</v>
      </c>
      <c r="D306">
        <v>239.53233423145289</v>
      </c>
      <c r="E306">
        <v>240.54944568604057</v>
      </c>
      <c r="F306">
        <v>163741300</v>
      </c>
      <c r="G306" s="2" t="s">
        <v>12</v>
      </c>
      <c r="H306">
        <v>3.2032926355371139</v>
      </c>
      <c r="I306">
        <v>111.45477056099267</v>
      </c>
      <c r="J306">
        <v>223.19683990478515</v>
      </c>
      <c r="K306">
        <v>1.5834400956470387</v>
      </c>
      <c r="L306">
        <v>1</v>
      </c>
      <c r="M306" t="str">
        <f>VLOOKUP(fact_daily_prices[[#This Row],[Ticker]], dim_company[], 2, FALSE)</f>
        <v>Apple Inc.</v>
      </c>
      <c r="N306" t="str">
        <f>VLOOKUP(fact_daily_prices[[#This Row],[Ticker]], dim_company[], 3, FALSE)</f>
        <v>Technology</v>
      </c>
    </row>
    <row r="307" spans="1:14" x14ac:dyDescent="0.3">
      <c r="A307" s="1">
        <v>45922</v>
      </c>
      <c r="B307">
        <v>255.35755920410159</v>
      </c>
      <c r="C307">
        <v>255.9160073848096</v>
      </c>
      <c r="D307">
        <v>247.42002368458668</v>
      </c>
      <c r="E307">
        <v>247.5995237986898</v>
      </c>
      <c r="F307">
        <v>105517400</v>
      </c>
      <c r="G307" s="2" t="s">
        <v>12</v>
      </c>
      <c r="H307">
        <v>4.3095737653501276</v>
      </c>
      <c r="I307">
        <v>116.25799611332037</v>
      </c>
      <c r="J307">
        <v>224.09747924804688</v>
      </c>
      <c r="K307">
        <v>1.5896783379968091</v>
      </c>
      <c r="L307">
        <v>0</v>
      </c>
      <c r="M307" t="str">
        <f>VLOOKUP(fact_daily_prices[[#This Row],[Ticker]], dim_company[], 2, FALSE)</f>
        <v>Apple Inc.</v>
      </c>
      <c r="N307" t="str">
        <f>VLOOKUP(fact_daily_prices[[#This Row],[Ticker]], dim_company[], 3, FALSE)</f>
        <v>Technology</v>
      </c>
    </row>
    <row r="308" spans="1:14" x14ac:dyDescent="0.3">
      <c r="A308" s="1">
        <v>45923</v>
      </c>
      <c r="B308">
        <v>253.71221923828125</v>
      </c>
      <c r="C308">
        <v>256.61401347779179</v>
      </c>
      <c r="D308">
        <v>252.86462630601795</v>
      </c>
      <c r="E308">
        <v>255.15814081026079</v>
      </c>
      <c r="F308">
        <v>60275200</v>
      </c>
      <c r="G308" s="2" t="s">
        <v>12</v>
      </c>
      <c r="H308">
        <v>-0.64432788711974442</v>
      </c>
      <c r="I308">
        <v>115.50891342335565</v>
      </c>
      <c r="J308">
        <v>225.01581115722655</v>
      </c>
      <c r="K308">
        <v>1.585044164104898</v>
      </c>
      <c r="L308">
        <v>0</v>
      </c>
      <c r="M308" t="str">
        <f>VLOOKUP(fact_daily_prices[[#This Row],[Ticker]], dim_company[], 2, FALSE)</f>
        <v>Apple Inc.</v>
      </c>
      <c r="N308" t="str">
        <f>VLOOKUP(fact_daily_prices[[#This Row],[Ticker]], dim_company[], 3, FALSE)</f>
        <v>Technology</v>
      </c>
    </row>
    <row r="309" spans="1:14" x14ac:dyDescent="0.3">
      <c r="A309" s="1">
        <v>45924</v>
      </c>
      <c r="B309">
        <v>251.59820556640625</v>
      </c>
      <c r="C309">
        <v>255.018537102084</v>
      </c>
      <c r="D309">
        <v>250.33178410429736</v>
      </c>
      <c r="E309">
        <v>254.499999814208</v>
      </c>
      <c r="F309">
        <v>42303700</v>
      </c>
      <c r="G309" s="2" t="s">
        <v>12</v>
      </c>
      <c r="H309">
        <v>-0.83323289600394368</v>
      </c>
      <c r="I309">
        <v>114.54645515889554</v>
      </c>
      <c r="J309">
        <v>225.88210113525392</v>
      </c>
      <c r="K309">
        <v>1.5946809369922765</v>
      </c>
      <c r="L309">
        <v>0</v>
      </c>
      <c r="M309" t="str">
        <f>VLOOKUP(fact_daily_prices[[#This Row],[Ticker]], dim_company[], 2, FALSE)</f>
        <v>Apple Inc.</v>
      </c>
      <c r="N309" t="str">
        <f>VLOOKUP(fact_daily_prices[[#This Row],[Ticker]], dim_company[], 3, FALSE)</f>
        <v>Technology</v>
      </c>
    </row>
    <row r="310" spans="1:14" x14ac:dyDescent="0.3">
      <c r="A310" s="1">
        <v>45925</v>
      </c>
      <c r="B310">
        <v>256.14535522460938</v>
      </c>
      <c r="C310">
        <v>256.44452717224715</v>
      </c>
      <c r="D310">
        <v>250.99992334214929</v>
      </c>
      <c r="E310">
        <v>252.49569178587751</v>
      </c>
      <c r="F310">
        <v>55202100</v>
      </c>
      <c r="G310" s="2" t="s">
        <v>12</v>
      </c>
      <c r="H310">
        <v>1.8073060767529903</v>
      </c>
      <c r="I310">
        <v>116.61666020368739</v>
      </c>
      <c r="J310">
        <v>226.81841766357422</v>
      </c>
      <c r="K310">
        <v>1.6007606913650347</v>
      </c>
      <c r="L310">
        <v>0</v>
      </c>
      <c r="M310" t="str">
        <f>VLOOKUP(fact_daily_prices[[#This Row],[Ticker]], dim_company[], 2, FALSE)</f>
        <v>Apple Inc.</v>
      </c>
      <c r="N310" t="str">
        <f>VLOOKUP(fact_daily_prices[[#This Row],[Ticker]], dim_company[], 3, FALSE)</f>
        <v>Technology</v>
      </c>
    </row>
    <row r="311" spans="1:14" x14ac:dyDescent="0.3">
      <c r="A311" s="1">
        <v>45926</v>
      </c>
      <c r="B311">
        <v>254.73931884765625</v>
      </c>
      <c r="C311">
        <v>256.87328100426123</v>
      </c>
      <c r="D311">
        <v>253.06405044687503</v>
      </c>
      <c r="E311">
        <v>253.38315498635407</v>
      </c>
      <c r="F311">
        <v>46076300</v>
      </c>
      <c r="G311" s="2" t="s">
        <v>12</v>
      </c>
      <c r="H311">
        <v>-0.5489212856193304</v>
      </c>
      <c r="I311">
        <v>115.97652653325099</v>
      </c>
      <c r="J311">
        <v>227.72940185546875</v>
      </c>
      <c r="K311">
        <v>1.6056129683305571</v>
      </c>
      <c r="L311">
        <v>0</v>
      </c>
      <c r="M311" t="str">
        <f>VLOOKUP(fact_daily_prices[[#This Row],[Ticker]], dim_company[], 2, FALSE)</f>
        <v>Apple Inc.</v>
      </c>
      <c r="N311" t="str">
        <f>VLOOKUP(fact_daily_prices[[#This Row],[Ticker]], dim_company[], 3, FALSE)</f>
        <v>Technology</v>
      </c>
    </row>
    <row r="312" spans="1:14" x14ac:dyDescent="0.3">
      <c r="A312" s="1">
        <v>45929</v>
      </c>
      <c r="B312">
        <v>253.71221923828125</v>
      </c>
      <c r="C312">
        <v>254.28061851263053</v>
      </c>
      <c r="D312">
        <v>252.29622703166865</v>
      </c>
      <c r="E312">
        <v>253.84185736381545</v>
      </c>
      <c r="F312">
        <v>40127700</v>
      </c>
      <c r="G312" s="2" t="s">
        <v>12</v>
      </c>
      <c r="H312">
        <v>-0.40319633970178348</v>
      </c>
      <c r="I312">
        <v>115.50891342335565</v>
      </c>
      <c r="J312">
        <v>228.59673614501952</v>
      </c>
      <c r="K312">
        <v>1.6037984415512687</v>
      </c>
      <c r="L312">
        <v>0</v>
      </c>
      <c r="M312" t="str">
        <f>VLOOKUP(fact_daily_prices[[#This Row],[Ticker]], dim_company[], 2, FALSE)</f>
        <v>Apple Inc.</v>
      </c>
      <c r="N312" t="str">
        <f>VLOOKUP(fact_daily_prices[[#This Row],[Ticker]], dim_company[], 3, FALSE)</f>
        <v>Technology</v>
      </c>
    </row>
    <row r="313" spans="1:14" x14ac:dyDescent="0.3">
      <c r="A313" s="1">
        <v>45930</v>
      </c>
      <c r="B313">
        <v>253.91166687011719</v>
      </c>
      <c r="C313">
        <v>255.1980209495745</v>
      </c>
      <c r="D313">
        <v>252.39595068950493</v>
      </c>
      <c r="E313">
        <v>254.14101375552971</v>
      </c>
      <c r="F313">
        <v>37704300</v>
      </c>
      <c r="G313" s="2" t="s">
        <v>12</v>
      </c>
      <c r="H313">
        <v>7.8611756435997826E-2</v>
      </c>
      <c r="I313">
        <v>115.59971700903789</v>
      </c>
      <c r="J313">
        <v>229.44216217041014</v>
      </c>
      <c r="K313">
        <v>1.6001542035967466</v>
      </c>
      <c r="L313">
        <v>0</v>
      </c>
      <c r="M313" t="str">
        <f>VLOOKUP(fact_daily_prices[[#This Row],[Ticker]], dim_company[], 2, FALSE)</f>
        <v>Apple Inc.</v>
      </c>
      <c r="N313" t="str">
        <f>VLOOKUP(fact_daily_prices[[#This Row],[Ticker]], dim_company[], 3, FALSE)</f>
        <v>Technology</v>
      </c>
    </row>
    <row r="314" spans="1:14" x14ac:dyDescent="0.3">
      <c r="A314" s="1">
        <v>45931</v>
      </c>
      <c r="B314">
        <v>254.72935485839844</v>
      </c>
      <c r="C314">
        <v>258.05994405161016</v>
      </c>
      <c r="D314">
        <v>254.21081755391603</v>
      </c>
      <c r="E314">
        <v>254.32050784494609</v>
      </c>
      <c r="F314">
        <v>48713900</v>
      </c>
      <c r="G314" s="2" t="s">
        <v>12</v>
      </c>
      <c r="H314">
        <v>0.32203639886287938</v>
      </c>
      <c r="I314">
        <v>115.97199017478947</v>
      </c>
      <c r="J314">
        <v>230.26569366455078</v>
      </c>
      <c r="K314">
        <v>1.5975748194171011</v>
      </c>
      <c r="L314">
        <v>0</v>
      </c>
      <c r="M314" t="str">
        <f>VLOOKUP(fact_daily_prices[[#This Row],[Ticker]], dim_company[], 2, FALSE)</f>
        <v>Apple Inc.</v>
      </c>
      <c r="N314" t="str">
        <f>VLOOKUP(fact_daily_prices[[#This Row],[Ticker]], dim_company[], 3, FALSE)</f>
        <v>Technology</v>
      </c>
    </row>
    <row r="315" spans="1:14" x14ac:dyDescent="0.3">
      <c r="A315" s="1">
        <v>45932</v>
      </c>
      <c r="B315">
        <v>256.40460205078125</v>
      </c>
      <c r="C315">
        <v>257.45162766856959</v>
      </c>
      <c r="D315">
        <v>253.43299812845933</v>
      </c>
      <c r="E315">
        <v>255.85613542550084</v>
      </c>
      <c r="F315">
        <v>42630200</v>
      </c>
      <c r="G315" s="2" t="s">
        <v>12</v>
      </c>
      <c r="H315">
        <v>0.65765769057675172</v>
      </c>
      <c r="I315">
        <v>116.73468888708891</v>
      </c>
      <c r="J315">
        <v>231.12771026611327</v>
      </c>
      <c r="K315">
        <v>1.5364161275367725</v>
      </c>
      <c r="L315">
        <v>0</v>
      </c>
      <c r="M315" t="str">
        <f>VLOOKUP(fact_daily_prices[[#This Row],[Ticker]], dim_company[], 2, FALSE)</f>
        <v>Apple Inc.</v>
      </c>
      <c r="N315" t="str">
        <f>VLOOKUP(fact_daily_prices[[#This Row],[Ticker]], dim_company[], 3, FALSE)</f>
        <v>Technology</v>
      </c>
    </row>
    <row r="316" spans="1:14" x14ac:dyDescent="0.3">
      <c r="A316" s="1">
        <v>45933</v>
      </c>
      <c r="B316">
        <v>257.29208374023438</v>
      </c>
      <c r="C316">
        <v>258.5086431914624</v>
      </c>
      <c r="D316">
        <v>253.23357360959045</v>
      </c>
      <c r="E316">
        <v>253.95154362066739</v>
      </c>
      <c r="F316">
        <v>49155600</v>
      </c>
      <c r="G316" s="2" t="s">
        <v>12</v>
      </c>
      <c r="H316">
        <v>0.34612549164674267</v>
      </c>
      <c r="I316">
        <v>117.13873740292162</v>
      </c>
      <c r="J316">
        <v>232.01524566650392</v>
      </c>
      <c r="K316">
        <v>1.5264490730494711</v>
      </c>
      <c r="L316">
        <v>0</v>
      </c>
      <c r="M316" t="str">
        <f>VLOOKUP(fact_daily_prices[[#This Row],[Ticker]], dim_company[], 2, FALSE)</f>
        <v>Apple Inc.</v>
      </c>
      <c r="N316" t="str">
        <f>VLOOKUP(fact_daily_prices[[#This Row],[Ticker]], dim_company[], 3, FALSE)</f>
        <v>Technology</v>
      </c>
    </row>
    <row r="317" spans="1:14" x14ac:dyDescent="0.3">
      <c r="A317" s="1">
        <v>45936</v>
      </c>
      <c r="B317">
        <v>255.96585083007807</v>
      </c>
      <c r="C317">
        <v>258.33914144916992</v>
      </c>
      <c r="D317">
        <v>254.33047806472084</v>
      </c>
      <c r="E317">
        <v>257.26217121003492</v>
      </c>
      <c r="F317">
        <v>44664100</v>
      </c>
      <c r="G317" s="2" t="s">
        <v>12</v>
      </c>
      <c r="H317">
        <v>-0.51545810927291491</v>
      </c>
      <c r="I317">
        <v>116.53493628187836</v>
      </c>
      <c r="J317">
        <v>232.87386535644532</v>
      </c>
      <c r="K317">
        <v>1.5289602162744245</v>
      </c>
      <c r="L317">
        <v>0</v>
      </c>
      <c r="M317" t="str">
        <f>VLOOKUP(fact_daily_prices[[#This Row],[Ticker]], dim_company[], 2, FALSE)</f>
        <v>Apple Inc.</v>
      </c>
      <c r="N317" t="str">
        <f>VLOOKUP(fact_daily_prices[[#This Row],[Ticker]], dim_company[], 3, FALSE)</f>
        <v>Technology</v>
      </c>
    </row>
    <row r="318" spans="1:14" x14ac:dyDescent="0.3">
      <c r="A318" s="1">
        <v>45937</v>
      </c>
      <c r="B318">
        <v>255.7564392089844</v>
      </c>
      <c r="C318">
        <v>256.67382669789566</v>
      </c>
      <c r="D318">
        <v>254.70938317067183</v>
      </c>
      <c r="E318">
        <v>256.08549483552179</v>
      </c>
      <c r="F318">
        <v>31955800</v>
      </c>
      <c r="G318" s="2" t="s">
        <v>12</v>
      </c>
      <c r="H318">
        <v>-8.1812327861141565E-2</v>
      </c>
      <c r="I318">
        <v>116.43959633773466</v>
      </c>
      <c r="J318">
        <v>233.72491088867187</v>
      </c>
      <c r="K318">
        <v>1.5265572291690157</v>
      </c>
      <c r="L318">
        <v>0</v>
      </c>
      <c r="M318" t="str">
        <f>VLOOKUP(fact_daily_prices[[#This Row],[Ticker]], dim_company[], 2, FALSE)</f>
        <v>Apple Inc.</v>
      </c>
      <c r="N318" t="str">
        <f>VLOOKUP(fact_daily_prices[[#This Row],[Ticker]], dim_company[], 3, FALSE)</f>
        <v>Technology</v>
      </c>
    </row>
    <row r="319" spans="1:14" x14ac:dyDescent="0.3">
      <c r="A319" s="1">
        <v>45938</v>
      </c>
      <c r="B319">
        <v>255.7564392089844</v>
      </c>
      <c r="C319">
        <v>257.79069453454127</v>
      </c>
      <c r="D319">
        <v>255.38748958216479</v>
      </c>
      <c r="E319">
        <v>255.79633660873367</v>
      </c>
      <c r="F319">
        <v>36496900</v>
      </c>
      <c r="G319" s="2" t="s">
        <v>12</v>
      </c>
      <c r="H319">
        <v>0</v>
      </c>
      <c r="I319">
        <v>116.43959633773466</v>
      </c>
      <c r="J319">
        <v>234.63133636474609</v>
      </c>
      <c r="K319">
        <v>1.5250090642794574</v>
      </c>
      <c r="L319">
        <v>0</v>
      </c>
      <c r="M319" t="str">
        <f>VLOOKUP(fact_daily_prices[[#This Row],[Ticker]], dim_company[], 2, FALSE)</f>
        <v>Apple Inc.</v>
      </c>
      <c r="N319" t="str">
        <f>VLOOKUP(fact_daily_prices[[#This Row],[Ticker]], dim_company[], 3, FALSE)</f>
        <v>Technology</v>
      </c>
    </row>
    <row r="320" spans="1:14" x14ac:dyDescent="0.3">
      <c r="A320" s="1">
        <v>45939</v>
      </c>
      <c r="B320">
        <v>253.32331848144531</v>
      </c>
      <c r="C320">
        <v>257.27215358016042</v>
      </c>
      <c r="D320">
        <v>252.42586356688119</v>
      </c>
      <c r="E320">
        <v>257.08268715657101</v>
      </c>
      <c r="F320">
        <v>38322000</v>
      </c>
      <c r="G320" s="2" t="s">
        <v>12</v>
      </c>
      <c r="H320">
        <v>-0.95134290071614558</v>
      </c>
      <c r="I320">
        <v>115.33185650435307</v>
      </c>
      <c r="J320">
        <v>235.53332427978515</v>
      </c>
      <c r="K320">
        <v>1.5440826594417989</v>
      </c>
      <c r="L320">
        <v>0</v>
      </c>
      <c r="M320" t="str">
        <f>VLOOKUP(fact_daily_prices[[#This Row],[Ticker]], dim_company[], 2, FALSE)</f>
        <v>Apple Inc.</v>
      </c>
      <c r="N320" t="str">
        <f>VLOOKUP(fact_daily_prices[[#This Row],[Ticker]], dim_company[], 3, FALSE)</f>
        <v>Technology</v>
      </c>
    </row>
    <row r="321" spans="1:14" x14ac:dyDescent="0.3">
      <c r="A321" s="1">
        <v>45940</v>
      </c>
      <c r="B321">
        <v>244.57806396484369</v>
      </c>
      <c r="C321">
        <v>255.6567217403356</v>
      </c>
      <c r="D321">
        <v>243.31164254854809</v>
      </c>
      <c r="E321">
        <v>254.22078174323531</v>
      </c>
      <c r="F321">
        <v>61999100</v>
      </c>
      <c r="G321" s="2" t="s">
        <v>12</v>
      </c>
      <c r="H321">
        <v>-3.4522106251510198</v>
      </c>
      <c r="I321">
        <v>111.35035789992587</v>
      </c>
      <c r="J321">
        <v>236.28989013671875</v>
      </c>
      <c r="K321">
        <v>1.6871439703604927</v>
      </c>
      <c r="L321">
        <v>0</v>
      </c>
      <c r="M321" t="str">
        <f>VLOOKUP(fact_daily_prices[[#This Row],[Ticker]], dim_company[], 2, FALSE)</f>
        <v>Apple Inc.</v>
      </c>
      <c r="N321" t="str">
        <f>VLOOKUP(fact_daily_prices[[#This Row],[Ticker]], dim_company[], 3, FALSE)</f>
        <v>Technology</v>
      </c>
    </row>
    <row r="322" spans="1:14" x14ac:dyDescent="0.3">
      <c r="A322" s="1">
        <v>45943</v>
      </c>
      <c r="B322">
        <v>246.96131896972656</v>
      </c>
      <c r="C322">
        <v>248.98559082884384</v>
      </c>
      <c r="D322">
        <v>244.86723728717817</v>
      </c>
      <c r="E322">
        <v>248.67646781820159</v>
      </c>
      <c r="F322">
        <v>38142900</v>
      </c>
      <c r="G322" s="2" t="s">
        <v>12</v>
      </c>
      <c r="H322">
        <v>0.97443530554131019</v>
      </c>
      <c r="I322">
        <v>112.43539510014938</v>
      </c>
      <c r="J322">
        <v>237.19751037597655</v>
      </c>
      <c r="K322">
        <v>1.6915401236042442</v>
      </c>
      <c r="L322">
        <v>0</v>
      </c>
      <c r="M322" t="str">
        <f>VLOOKUP(fact_daily_prices[[#This Row],[Ticker]], dim_company[], 2, FALSE)</f>
        <v>Apple Inc.</v>
      </c>
      <c r="N322" t="str">
        <f>VLOOKUP(fact_daily_prices[[#This Row],[Ticker]], dim_company[], 3, FALSE)</f>
        <v>Technology</v>
      </c>
    </row>
    <row r="323" spans="1:14" x14ac:dyDescent="0.3">
      <c r="A323" s="1">
        <v>45944</v>
      </c>
      <c r="B323">
        <v>247.07101440429688</v>
      </c>
      <c r="C323">
        <v>248.14796941642879</v>
      </c>
      <c r="D323">
        <v>244.00966795095763</v>
      </c>
      <c r="E323">
        <v>245.90431694508948</v>
      </c>
      <c r="F323">
        <v>35478000</v>
      </c>
      <c r="G323" s="2" t="s">
        <v>12</v>
      </c>
      <c r="H323">
        <v>4.4418063131490548E-2</v>
      </c>
      <c r="I323">
        <v>112.48533672492709</v>
      </c>
      <c r="J323">
        <v>238.08800140380859</v>
      </c>
      <c r="K323">
        <v>1.6749105622714533</v>
      </c>
      <c r="L323">
        <v>0</v>
      </c>
      <c r="M323" t="str">
        <f>VLOOKUP(fact_daily_prices[[#This Row],[Ticker]], dim_company[], 2, FALSE)</f>
        <v>Apple Inc.</v>
      </c>
      <c r="N323" t="str">
        <f>VLOOKUP(fact_daily_prices[[#This Row],[Ticker]], dim_company[], 3, FALSE)</f>
        <v>Technology</v>
      </c>
    </row>
    <row r="324" spans="1:14" x14ac:dyDescent="0.3">
      <c r="A324" s="1">
        <v>45945</v>
      </c>
      <c r="B324">
        <v>248.63658142089844</v>
      </c>
      <c r="C324">
        <v>251.10959602979929</v>
      </c>
      <c r="D324">
        <v>246.77186176083561</v>
      </c>
      <c r="E324">
        <v>248.78616738422889</v>
      </c>
      <c r="F324">
        <v>33893600</v>
      </c>
      <c r="G324" s="2" t="s">
        <v>12</v>
      </c>
      <c r="H324">
        <v>0.63365062080480428</v>
      </c>
      <c r="I324">
        <v>113.19810075939895</v>
      </c>
      <c r="J324">
        <v>239.01837005615235</v>
      </c>
      <c r="K324">
        <v>1.5380275003526771</v>
      </c>
      <c r="L324">
        <v>0</v>
      </c>
      <c r="M324" t="str">
        <f>VLOOKUP(fact_daily_prices[[#This Row],[Ticker]], dim_company[], 2, FALSE)</f>
        <v>Apple Inc.</v>
      </c>
      <c r="N324" t="str">
        <f>VLOOKUP(fact_daily_prices[[#This Row],[Ticker]], dim_company[], 3, FALSE)</f>
        <v>Technology</v>
      </c>
    </row>
    <row r="325" spans="1:14" x14ac:dyDescent="0.3">
      <c r="A325" s="1">
        <v>45946</v>
      </c>
      <c r="B325">
        <v>246.75192260742188</v>
      </c>
      <c r="C325">
        <v>248.33743345063007</v>
      </c>
      <c r="D325">
        <v>244.43847540742669</v>
      </c>
      <c r="E325">
        <v>247.54966879270205</v>
      </c>
      <c r="F325">
        <v>39777000</v>
      </c>
      <c r="G325" s="2" t="s">
        <v>12</v>
      </c>
      <c r="H325">
        <v>-0.75799739632285146</v>
      </c>
      <c r="I325">
        <v>112.3400621029558</v>
      </c>
      <c r="J325">
        <v>239.7052618408203</v>
      </c>
      <c r="K325">
        <v>1.5451228631556526</v>
      </c>
      <c r="L325">
        <v>0</v>
      </c>
      <c r="M325" t="str">
        <f>VLOOKUP(fact_daily_prices[[#This Row],[Ticker]], dim_company[], 2, FALSE)</f>
        <v>Apple Inc.</v>
      </c>
      <c r="N325" t="str">
        <f>VLOOKUP(fact_daily_prices[[#This Row],[Ticker]], dim_company[], 3, FALSE)</f>
        <v>Technology</v>
      </c>
    </row>
    <row r="326" spans="1:14" x14ac:dyDescent="0.3">
      <c r="A326" s="1">
        <v>45947</v>
      </c>
      <c r="B326">
        <v>251.5782470703125</v>
      </c>
      <c r="C326">
        <v>252.66518358811555</v>
      </c>
      <c r="D326">
        <v>246.5724201648456</v>
      </c>
      <c r="E326">
        <v>247.3203043073955</v>
      </c>
      <c r="F326">
        <v>49147000</v>
      </c>
      <c r="G326" s="2" t="s">
        <v>12</v>
      </c>
      <c r="H326">
        <v>1.9559419889786378</v>
      </c>
      <c r="I326">
        <v>114.53736854807217</v>
      </c>
      <c r="J326">
        <v>240.35361572265626</v>
      </c>
      <c r="K326">
        <v>1.5807247482258511</v>
      </c>
      <c r="L326">
        <v>0</v>
      </c>
      <c r="M326" t="str">
        <f>VLOOKUP(fact_daily_prices[[#This Row],[Ticker]], dim_company[], 2, FALSE)</f>
        <v>Apple Inc.</v>
      </c>
      <c r="N326" t="str">
        <f>VLOOKUP(fact_daily_prices[[#This Row],[Ticker]], dim_company[], 3, FALSE)</f>
        <v>Technology</v>
      </c>
    </row>
    <row r="327" spans="1:14" x14ac:dyDescent="0.3">
      <c r="A327" s="1">
        <v>45950</v>
      </c>
      <c r="B327">
        <v>261.50018310546875</v>
      </c>
      <c r="C327">
        <v>263.63416054313814</v>
      </c>
      <c r="D327">
        <v>254.90884523128253</v>
      </c>
      <c r="E327">
        <v>255.168106265739</v>
      </c>
      <c r="F327">
        <v>90483000</v>
      </c>
      <c r="G327" s="2" t="s">
        <v>12</v>
      </c>
      <c r="H327">
        <v>3.9438767662544505</v>
      </c>
      <c r="I327">
        <v>119.05458121491881</v>
      </c>
      <c r="J327">
        <v>241.01474487304688</v>
      </c>
      <c r="K327">
        <v>1.7119301450918738</v>
      </c>
      <c r="L327">
        <v>0</v>
      </c>
      <c r="M327" t="str">
        <f>VLOOKUP(fact_daily_prices[[#This Row],[Ticker]], dim_company[], 2, FALSE)</f>
        <v>Apple Inc.</v>
      </c>
      <c r="N327" t="str">
        <f>VLOOKUP(fact_daily_prices[[#This Row],[Ticker]], dim_company[], 3, FALSE)</f>
        <v>Technology</v>
      </c>
    </row>
    <row r="328" spans="1:14" x14ac:dyDescent="0.3">
      <c r="A328" s="1">
        <v>45951</v>
      </c>
      <c r="B328">
        <v>262.02871704101563</v>
      </c>
      <c r="C328">
        <v>264.54162761794373</v>
      </c>
      <c r="D328">
        <v>261.09136633874692</v>
      </c>
      <c r="E328">
        <v>261.1412435480521</v>
      </c>
      <c r="F328">
        <v>46695900</v>
      </c>
      <c r="G328" s="2" t="s">
        <v>12</v>
      </c>
      <c r="H328">
        <v>0.20211608621845123</v>
      </c>
      <c r="I328">
        <v>119.29520967493418</v>
      </c>
      <c r="J328">
        <v>241.72453735351561</v>
      </c>
      <c r="K328">
        <v>1.6773264661463143</v>
      </c>
      <c r="L328">
        <v>0</v>
      </c>
      <c r="M328" t="str">
        <f>VLOOKUP(fact_daily_prices[[#This Row],[Ticker]], dim_company[], 2, FALSE)</f>
        <v>Apple Inc.</v>
      </c>
      <c r="N328" t="str">
        <f>VLOOKUP(fact_daily_prices[[#This Row],[Ticker]], dim_company[], 3, FALSE)</f>
        <v>Technology</v>
      </c>
    </row>
    <row r="329" spans="1:14" x14ac:dyDescent="0.3">
      <c r="A329" s="1">
        <v>45952</v>
      </c>
      <c r="B329">
        <v>257.72088623046875</v>
      </c>
      <c r="C329">
        <v>262.10846708886021</v>
      </c>
      <c r="D329">
        <v>254.7093866241016</v>
      </c>
      <c r="E329">
        <v>261.90901914605371</v>
      </c>
      <c r="F329">
        <v>45015300</v>
      </c>
      <c r="G329" s="2" t="s">
        <v>12</v>
      </c>
      <c r="H329">
        <v>-1.6440300357890014</v>
      </c>
      <c r="I329">
        <v>117.3339605966208</v>
      </c>
      <c r="J329">
        <v>242.2989129638672</v>
      </c>
      <c r="K329">
        <v>1.5816815923860474</v>
      </c>
      <c r="L329">
        <v>0</v>
      </c>
      <c r="M329" t="str">
        <f>VLOOKUP(fact_daily_prices[[#This Row],[Ticker]], dim_company[], 2, FALSE)</f>
        <v>Apple Inc.</v>
      </c>
      <c r="N329" t="str">
        <f>VLOOKUP(fact_daily_prices[[#This Row],[Ticker]], dim_company[], 3, FALSE)</f>
        <v>Technology</v>
      </c>
    </row>
    <row r="330" spans="1:14" x14ac:dyDescent="0.3">
      <c r="A330" s="1">
        <v>45953</v>
      </c>
      <c r="B330">
        <v>258.84768676757813</v>
      </c>
      <c r="C330">
        <v>259.8847613495841</v>
      </c>
      <c r="D330">
        <v>257.28213901467177</v>
      </c>
      <c r="E330">
        <v>259.206686997747</v>
      </c>
      <c r="F330">
        <v>32754900</v>
      </c>
      <c r="G330" s="2" t="s">
        <v>12</v>
      </c>
      <c r="H330">
        <v>0.43721739188096187</v>
      </c>
      <c r="I330">
        <v>117.846965078932</v>
      </c>
      <c r="J330">
        <v>242.82243164062501</v>
      </c>
      <c r="K330">
        <v>1.5708173829508139</v>
      </c>
      <c r="L330">
        <v>0</v>
      </c>
      <c r="M330" t="str">
        <f>VLOOKUP(fact_daily_prices[[#This Row],[Ticker]], dim_company[], 2, FALSE)</f>
        <v>Apple Inc.</v>
      </c>
      <c r="N330" t="str">
        <f>VLOOKUP(fact_daily_prices[[#This Row],[Ticker]], dim_company[], 3, FALSE)</f>
        <v>Technology</v>
      </c>
    </row>
    <row r="331" spans="1:14" x14ac:dyDescent="0.3">
      <c r="A331" s="1">
        <v>45954</v>
      </c>
      <c r="B331">
        <v>262.07855224609369</v>
      </c>
      <c r="C331">
        <v>263.38485410300922</v>
      </c>
      <c r="D331">
        <v>258.44880663072195</v>
      </c>
      <c r="E331">
        <v>260.45314585412689</v>
      </c>
      <c r="F331">
        <v>38253700</v>
      </c>
      <c r="G331" s="2" t="s">
        <v>12</v>
      </c>
      <c r="H331">
        <v>1.248172436409134</v>
      </c>
      <c r="I331">
        <v>119.31789841419192</v>
      </c>
      <c r="J331">
        <v>243.4215365600586</v>
      </c>
      <c r="K331">
        <v>1.5585529941488279</v>
      </c>
      <c r="L331">
        <v>0</v>
      </c>
      <c r="M331" t="str">
        <f>VLOOKUP(fact_daily_prices[[#This Row],[Ticker]], dim_company[], 2, FALSE)</f>
        <v>Apple Inc.</v>
      </c>
      <c r="N331" t="str">
        <f>VLOOKUP(fact_daily_prices[[#This Row],[Ticker]], dim_company[], 3, FALSE)</f>
        <v>Technology</v>
      </c>
    </row>
    <row r="332" spans="1:14" x14ac:dyDescent="0.3">
      <c r="A332" s="1">
        <v>45957</v>
      </c>
      <c r="B332">
        <v>268.05166625976563</v>
      </c>
      <c r="C332">
        <v>268.36078929414754</v>
      </c>
      <c r="D332">
        <v>263.90339825112483</v>
      </c>
      <c r="E332">
        <v>264.13276036080543</v>
      </c>
      <c r="F332">
        <v>44888200</v>
      </c>
      <c r="G332" s="2" t="s">
        <v>12</v>
      </c>
      <c r="H332">
        <v>2.2791311850895557</v>
      </c>
      <c r="I332">
        <v>122.03730984634325</v>
      </c>
      <c r="J332">
        <v>244.16383666992186</v>
      </c>
      <c r="K332">
        <v>1.5910302146254642</v>
      </c>
      <c r="L332">
        <v>0</v>
      </c>
      <c r="M332" t="str">
        <f>VLOOKUP(fact_daily_prices[[#This Row],[Ticker]], dim_company[], 2, FALSE)</f>
        <v>Apple Inc.</v>
      </c>
      <c r="N332" t="str">
        <f>VLOOKUP(fact_daily_prices[[#This Row],[Ticker]], dim_company[], 3, FALSE)</f>
        <v>Technology</v>
      </c>
    </row>
    <row r="333" spans="1:14" x14ac:dyDescent="0.3">
      <c r="A333" s="1">
        <v>45958</v>
      </c>
      <c r="B333">
        <v>268.24111938476563</v>
      </c>
      <c r="C333">
        <v>269.12862319727753</v>
      </c>
      <c r="D333">
        <v>267.39351124836816</v>
      </c>
      <c r="E333">
        <v>268.23113785786586</v>
      </c>
      <c r="F333">
        <v>41534800</v>
      </c>
      <c r="G333" s="2" t="s">
        <v>12</v>
      </c>
      <c r="H333">
        <v>7.0677838956756389E-2</v>
      </c>
      <c r="I333">
        <v>122.12356317966359</v>
      </c>
      <c r="J333">
        <v>244.92388641357422</v>
      </c>
      <c r="K333">
        <v>1.5920446277356517</v>
      </c>
      <c r="L333">
        <v>0</v>
      </c>
      <c r="M333" t="str">
        <f>VLOOKUP(fact_daily_prices[[#This Row],[Ticker]], dim_company[], 2, FALSE)</f>
        <v>Apple Inc.</v>
      </c>
      <c r="N333" t="str">
        <f>VLOOKUP(fact_daily_prices[[#This Row],[Ticker]], dim_company[], 3, FALSE)</f>
        <v>Technology</v>
      </c>
    </row>
    <row r="334" spans="1:14" x14ac:dyDescent="0.3">
      <c r="A334" s="1">
        <v>45959</v>
      </c>
      <c r="B334">
        <v>268.93914794921875</v>
      </c>
      <c r="C334">
        <v>270.6443152614699</v>
      </c>
      <c r="D334">
        <v>266.35642794866993</v>
      </c>
      <c r="E334">
        <v>268.5203194424725</v>
      </c>
      <c r="F334">
        <v>51086700</v>
      </c>
      <c r="G334" s="2" t="s">
        <v>12</v>
      </c>
      <c r="H334">
        <v>0.26022429598195895</v>
      </c>
      <c r="I334">
        <v>122.44135836217596</v>
      </c>
      <c r="J334">
        <v>245.70447784423828</v>
      </c>
      <c r="K334">
        <v>1.5922669685418083</v>
      </c>
      <c r="L334">
        <v>0</v>
      </c>
      <c r="M334" t="str">
        <f>VLOOKUP(fact_daily_prices[[#This Row],[Ticker]], dim_company[], 2, FALSE)</f>
        <v>Apple Inc.</v>
      </c>
      <c r="N334" t="str">
        <f>VLOOKUP(fact_daily_prices[[#This Row],[Ticker]], dim_company[], 3, FALSE)</f>
        <v>Technology</v>
      </c>
    </row>
    <row r="335" spans="1:14" x14ac:dyDescent="0.3">
      <c r="A335" s="1">
        <v>45960</v>
      </c>
      <c r="B335">
        <v>270.63433837890625</v>
      </c>
      <c r="C335">
        <v>273.36662916750566</v>
      </c>
      <c r="D335">
        <v>267.72259312931254</v>
      </c>
      <c r="E335">
        <v>271.22267025857423</v>
      </c>
      <c r="F335">
        <v>69886500</v>
      </c>
      <c r="G335" s="2" t="s">
        <v>12</v>
      </c>
      <c r="H335">
        <v>0.63032490532304308</v>
      </c>
      <c r="I335">
        <v>123.2131367383486</v>
      </c>
      <c r="J335">
        <v>246.60971679687501</v>
      </c>
      <c r="K335">
        <v>1.5839176878069254</v>
      </c>
      <c r="L335">
        <v>0</v>
      </c>
      <c r="M335" t="str">
        <f>VLOOKUP(fact_daily_prices[[#This Row],[Ticker]], dim_company[], 2, FALSE)</f>
        <v>Apple Inc.</v>
      </c>
      <c r="N335" t="str">
        <f>VLOOKUP(fact_daily_prices[[#This Row],[Ticker]], dim_company[], 3, FALSE)</f>
        <v>Technology</v>
      </c>
    </row>
    <row r="336" spans="1:14" x14ac:dyDescent="0.3">
      <c r="A336" s="1">
        <v>45961</v>
      </c>
      <c r="B336">
        <v>269.60726928710938</v>
      </c>
      <c r="C336">
        <v>276.53767519933945</v>
      </c>
      <c r="D336">
        <v>268.40069127196034</v>
      </c>
      <c r="E336">
        <v>276.20858910244363</v>
      </c>
      <c r="F336">
        <v>86167100</v>
      </c>
      <c r="G336" s="2" t="s">
        <v>12</v>
      </c>
      <c r="H336">
        <v>-0.37950435186790976</v>
      </c>
      <c r="I336">
        <v>122.7455375223536</v>
      </c>
      <c r="J336">
        <v>247.51655181884766</v>
      </c>
      <c r="K336">
        <v>1.5023188713267432</v>
      </c>
      <c r="L336">
        <v>0</v>
      </c>
      <c r="M336" t="str">
        <f>VLOOKUP(fact_daily_prices[[#This Row],[Ticker]], dim_company[], 2, FALSE)</f>
        <v>Apple Inc.</v>
      </c>
      <c r="N336" t="str">
        <f>VLOOKUP(fact_daily_prices[[#This Row],[Ticker]], dim_company[], 3, FALSE)</f>
        <v>Technology</v>
      </c>
    </row>
    <row r="337" spans="1:14" x14ac:dyDescent="0.3">
      <c r="A337" s="1">
        <v>45964</v>
      </c>
      <c r="B337">
        <v>268.29095458984369</v>
      </c>
      <c r="C337">
        <v>270.08589475979994</v>
      </c>
      <c r="D337">
        <v>265.49886601188945</v>
      </c>
      <c r="E337">
        <v>269.65711516237894</v>
      </c>
      <c r="F337">
        <v>50194600</v>
      </c>
      <c r="G337" s="2" t="s">
        <v>12</v>
      </c>
      <c r="H337">
        <v>-0.48823412690105483</v>
      </c>
      <c r="I337">
        <v>122.14625191892132</v>
      </c>
      <c r="J337">
        <v>248.34002197265625</v>
      </c>
      <c r="K337">
        <v>1.3070856522413181</v>
      </c>
      <c r="L337">
        <v>0</v>
      </c>
      <c r="M337" t="str">
        <f>VLOOKUP(fact_daily_prices[[#This Row],[Ticker]], dim_company[], 2, FALSE)</f>
        <v>Apple Inc.</v>
      </c>
      <c r="N337" t="str">
        <f>VLOOKUP(fact_daily_prices[[#This Row],[Ticker]], dim_company[], 3, FALSE)</f>
        <v>Technology</v>
      </c>
    </row>
    <row r="338" spans="1:14" x14ac:dyDescent="0.3">
      <c r="A338" s="1">
        <v>45965</v>
      </c>
      <c r="B338">
        <v>269.2781982421875</v>
      </c>
      <c r="C338">
        <v>270.72408938596283</v>
      </c>
      <c r="D338">
        <v>266.86501191822919</v>
      </c>
      <c r="E338">
        <v>267.5730004152706</v>
      </c>
      <c r="F338">
        <v>49274800</v>
      </c>
      <c r="G338" s="2" t="s">
        <v>12</v>
      </c>
      <c r="H338">
        <v>0.36797500454426313</v>
      </c>
      <c r="I338">
        <v>122.59571959497062</v>
      </c>
      <c r="J338">
        <v>249.19520263671876</v>
      </c>
      <c r="K338">
        <v>1.2982937637537602</v>
      </c>
      <c r="L338">
        <v>0</v>
      </c>
      <c r="M338" t="str">
        <f>VLOOKUP(fact_daily_prices[[#This Row],[Ticker]], dim_company[], 2, FALSE)</f>
        <v>Apple Inc.</v>
      </c>
      <c r="N338" t="str">
        <f>VLOOKUP(fact_daily_prices[[#This Row],[Ticker]], dim_company[], 3, FALSE)</f>
        <v>Technology</v>
      </c>
    </row>
    <row r="339" spans="1:14" x14ac:dyDescent="0.3">
      <c r="A339" s="1">
        <v>45966</v>
      </c>
      <c r="B339">
        <v>269.3779296875</v>
      </c>
      <c r="C339">
        <v>270.93352637760319</v>
      </c>
      <c r="D339">
        <v>266.17696342424256</v>
      </c>
      <c r="E339">
        <v>267.85221671643279</v>
      </c>
      <c r="F339">
        <v>43683100</v>
      </c>
      <c r="G339" s="2" t="s">
        <v>12</v>
      </c>
      <c r="H339">
        <v>3.7036583712879434E-2</v>
      </c>
      <c r="I339">
        <v>122.64112486128683</v>
      </c>
      <c r="J339">
        <v>250.00949951171876</v>
      </c>
      <c r="K339">
        <v>1.2838968451099304</v>
      </c>
      <c r="L339">
        <v>0</v>
      </c>
      <c r="M339" t="str">
        <f>VLOOKUP(fact_daily_prices[[#This Row],[Ticker]], dim_company[], 2, FALSE)</f>
        <v>Apple Inc.</v>
      </c>
      <c r="N339" t="str">
        <f>VLOOKUP(fact_daily_prices[[#This Row],[Ticker]], dim_company[], 3, FALSE)</f>
        <v>Technology</v>
      </c>
    </row>
    <row r="340" spans="1:14" x14ac:dyDescent="0.3">
      <c r="A340" s="1">
        <v>45967</v>
      </c>
      <c r="B340">
        <v>269.00894165039063</v>
      </c>
      <c r="C340">
        <v>272.6287059365568</v>
      </c>
      <c r="D340">
        <v>267.13427087559239</v>
      </c>
      <c r="E340">
        <v>267.13427087559239</v>
      </c>
      <c r="F340">
        <v>51204000</v>
      </c>
      <c r="G340" s="2" t="s">
        <v>12</v>
      </c>
      <c r="H340">
        <v>-0.13697782796735503</v>
      </c>
      <c r="I340">
        <v>122.47313371225709</v>
      </c>
      <c r="J340">
        <v>250.79288299560548</v>
      </c>
      <c r="K340">
        <v>1.2504715762052807</v>
      </c>
      <c r="L340">
        <v>0</v>
      </c>
      <c r="M340" t="str">
        <f>VLOOKUP(fact_daily_prices[[#This Row],[Ticker]], dim_company[], 2, FALSE)</f>
        <v>Apple Inc.</v>
      </c>
      <c r="N340" t="str">
        <f>VLOOKUP(fact_daily_prices[[#This Row],[Ticker]], dim_company[], 3, FALSE)</f>
        <v>Technology</v>
      </c>
    </row>
    <row r="341" spans="1:14" x14ac:dyDescent="0.3">
      <c r="A341" s="1">
        <v>45968</v>
      </c>
      <c r="B341">
        <v>267.71261596679688</v>
      </c>
      <c r="C341">
        <v>271.52184660384751</v>
      </c>
      <c r="D341">
        <v>266.01739969290981</v>
      </c>
      <c r="E341">
        <v>269.03885049148494</v>
      </c>
      <c r="F341">
        <v>48227400</v>
      </c>
      <c r="G341" s="2" t="s">
        <v>12</v>
      </c>
      <c r="H341">
        <v>-0.4818894404181151</v>
      </c>
      <c r="I341">
        <v>121.88294861354858</v>
      </c>
      <c r="J341">
        <v>251.50905700683595</v>
      </c>
      <c r="K341">
        <v>1.2492000772967489</v>
      </c>
      <c r="L341">
        <v>0</v>
      </c>
      <c r="M341" t="str">
        <f>VLOOKUP(fact_daily_prices[[#This Row],[Ticker]], dim_company[], 2, FALSE)</f>
        <v>Apple Inc.</v>
      </c>
      <c r="N341" t="str">
        <f>VLOOKUP(fact_daily_prices[[#This Row],[Ticker]], dim_company[], 3, FALSE)</f>
        <v>Technology</v>
      </c>
    </row>
    <row r="342" spans="1:14" x14ac:dyDescent="0.3">
      <c r="A342" s="1">
        <v>45971</v>
      </c>
      <c r="B342">
        <v>268.93035888671875</v>
      </c>
      <c r="C342">
        <v>273.22240319845355</v>
      </c>
      <c r="D342">
        <v>266.96401085682999</v>
      </c>
      <c r="E342">
        <v>268.46122924118225</v>
      </c>
      <c r="F342">
        <v>41312400</v>
      </c>
      <c r="G342" s="2" t="s">
        <v>12</v>
      </c>
      <c r="H342">
        <v>0.45486945601134199</v>
      </c>
      <c r="I342">
        <v>122.43735691887758</v>
      </c>
      <c r="J342">
        <v>252.25796203613282</v>
      </c>
      <c r="K342">
        <v>1.245364240978504</v>
      </c>
      <c r="L342">
        <v>0</v>
      </c>
      <c r="M342" t="str">
        <f>VLOOKUP(fact_daily_prices[[#This Row],[Ticker]], dim_company[], 2, FALSE)</f>
        <v>Apple Inc.</v>
      </c>
      <c r="N342" t="str">
        <f>VLOOKUP(fact_daily_prices[[#This Row],[Ticker]], dim_company[], 3, FALSE)</f>
        <v>Technology</v>
      </c>
    </row>
    <row r="343" spans="1:14" x14ac:dyDescent="0.3">
      <c r="A343" s="1">
        <v>45972</v>
      </c>
      <c r="B343">
        <v>274.73956298828125</v>
      </c>
      <c r="C343">
        <v>275.39834270744052</v>
      </c>
      <c r="D343">
        <v>269.2996575494418</v>
      </c>
      <c r="E343">
        <v>269.30964875246968</v>
      </c>
      <c r="F343">
        <v>46208300</v>
      </c>
      <c r="G343" s="2" t="s">
        <v>12</v>
      </c>
      <c r="H343">
        <v>2.1601146577912012</v>
      </c>
      <c r="I343">
        <v>125.08214421229439</v>
      </c>
      <c r="J343">
        <v>253.17131469726561</v>
      </c>
      <c r="K343">
        <v>1.2952470836161105</v>
      </c>
      <c r="L343">
        <v>0</v>
      </c>
      <c r="M343" t="str">
        <f>VLOOKUP(fact_daily_prices[[#This Row],[Ticker]], dim_company[], 2, FALSE)</f>
        <v>Apple Inc.</v>
      </c>
      <c r="N343" t="str">
        <f>VLOOKUP(fact_daily_prices[[#This Row],[Ticker]], dim_company[], 3, FALSE)</f>
        <v>Technology</v>
      </c>
    </row>
    <row r="344" spans="1:14" x14ac:dyDescent="0.3">
      <c r="A344" s="1">
        <v>45973</v>
      </c>
      <c r="B344">
        <v>272.96286010742188</v>
      </c>
      <c r="C344">
        <v>275.2186787593472</v>
      </c>
      <c r="D344">
        <v>271.19615348009904</v>
      </c>
      <c r="E344">
        <v>274.49002155435767</v>
      </c>
      <c r="F344">
        <v>48398000</v>
      </c>
      <c r="G344" s="2" t="s">
        <v>12</v>
      </c>
      <c r="H344">
        <v>-0.64668621495010958</v>
      </c>
      <c r="I344">
        <v>124.27325522830948</v>
      </c>
      <c r="J344">
        <v>253.87462677001952</v>
      </c>
      <c r="K344">
        <v>1.3059673439461532</v>
      </c>
      <c r="L344">
        <v>0</v>
      </c>
      <c r="M344" t="str">
        <f>VLOOKUP(fact_daily_prices[[#This Row],[Ticker]], dim_company[], 2, FALSE)</f>
        <v>Apple Inc.</v>
      </c>
      <c r="N344" t="str">
        <f>VLOOKUP(fact_daily_prices[[#This Row],[Ticker]], dim_company[], 3, FALSE)</f>
        <v>Technology</v>
      </c>
    </row>
    <row r="345" spans="1:14" x14ac:dyDescent="0.3">
      <c r="A345" s="1">
        <v>45974</v>
      </c>
      <c r="B345">
        <v>272.44384765625</v>
      </c>
      <c r="C345">
        <v>276.18689357315588</v>
      </c>
      <c r="D345">
        <v>271.5854266195937</v>
      </c>
      <c r="E345">
        <v>273.60166972087882</v>
      </c>
      <c r="F345">
        <v>49602800</v>
      </c>
      <c r="G345" s="2" t="s">
        <v>12</v>
      </c>
      <c r="H345">
        <v>-0.19014031834500011</v>
      </c>
      <c r="I345">
        <v>124.03696166520068</v>
      </c>
      <c r="J345">
        <v>254.54143249511719</v>
      </c>
      <c r="K345">
        <v>1.305766728898361</v>
      </c>
      <c r="L345">
        <v>0</v>
      </c>
      <c r="M345" t="str">
        <f>VLOOKUP(fact_daily_prices[[#This Row],[Ticker]], dim_company[], 2, FALSE)</f>
        <v>Apple Inc.</v>
      </c>
      <c r="N345" t="str">
        <f>VLOOKUP(fact_daily_prices[[#This Row],[Ticker]], dim_company[], 3, FALSE)</f>
        <v>Technology</v>
      </c>
    </row>
    <row r="346" spans="1:14" x14ac:dyDescent="0.3">
      <c r="A346" s="1">
        <v>45975</v>
      </c>
      <c r="B346">
        <v>271.90481567382813</v>
      </c>
      <c r="C346">
        <v>275.44821996704485</v>
      </c>
      <c r="D346">
        <v>269.10002929321843</v>
      </c>
      <c r="E346">
        <v>270.54732197227213</v>
      </c>
      <c r="F346">
        <v>47431300</v>
      </c>
      <c r="G346" s="2" t="s">
        <v>12</v>
      </c>
      <c r="H346">
        <v>-0.19785067163711201</v>
      </c>
      <c r="I346">
        <v>123.79155370346781</v>
      </c>
      <c r="J346">
        <v>255.1992529296875</v>
      </c>
      <c r="K346">
        <v>1.3075965092246995</v>
      </c>
      <c r="L346">
        <v>0</v>
      </c>
      <c r="M346" t="str">
        <f>VLOOKUP(fact_daily_prices[[#This Row],[Ticker]], dim_company[], 2, FALSE)</f>
        <v>Apple Inc.</v>
      </c>
      <c r="N346" t="str">
        <f>VLOOKUP(fact_daily_prices[[#This Row],[Ticker]], dim_company[], 3, FALSE)</f>
        <v>Technology</v>
      </c>
    </row>
    <row r="347" spans="1:14" x14ac:dyDescent="0.3">
      <c r="A347" s="1">
        <v>45978</v>
      </c>
      <c r="B347">
        <v>266.9639892578125</v>
      </c>
      <c r="C347">
        <v>269.98836893107386</v>
      </c>
      <c r="D347">
        <v>265.23721702259701</v>
      </c>
      <c r="E347">
        <v>268.32148298950841</v>
      </c>
      <c r="F347">
        <v>45018300</v>
      </c>
      <c r="G347" s="2" t="s">
        <v>12</v>
      </c>
      <c r="H347">
        <v>-1.8171161859606544</v>
      </c>
      <c r="I347">
        <v>121.54211734426991</v>
      </c>
      <c r="J347">
        <v>255.79435455322266</v>
      </c>
      <c r="K347">
        <v>1.3527165091016218</v>
      </c>
      <c r="L347">
        <v>0</v>
      </c>
      <c r="M347" t="str">
        <f>VLOOKUP(fact_daily_prices[[#This Row],[Ticker]], dim_company[], 2, FALSE)</f>
        <v>Apple Inc.</v>
      </c>
      <c r="N347" t="str">
        <f>VLOOKUP(fact_daily_prices[[#This Row],[Ticker]], dim_company[], 3, FALSE)</f>
        <v>Technology</v>
      </c>
    </row>
    <row r="348" spans="1:14" x14ac:dyDescent="0.3">
      <c r="A348" s="1">
        <v>45979</v>
      </c>
      <c r="B348">
        <v>266.94406127929688</v>
      </c>
      <c r="C348">
        <v>270.20798642018713</v>
      </c>
      <c r="D348">
        <v>264.82799748439658</v>
      </c>
      <c r="E348">
        <v>269.48932037088264</v>
      </c>
      <c r="F348">
        <v>45677300</v>
      </c>
      <c r="G348" s="2" t="s">
        <v>12</v>
      </c>
      <c r="H348">
        <v>-7.4646691379687269E-3</v>
      </c>
      <c r="I348">
        <v>121.53304462734688</v>
      </c>
      <c r="J348">
        <v>256.45945831298826</v>
      </c>
      <c r="K348">
        <v>1.3523468428231098</v>
      </c>
      <c r="L348">
        <v>0</v>
      </c>
      <c r="M348" t="str">
        <f>VLOOKUP(fact_daily_prices[[#This Row],[Ticker]], dim_company[], 2, FALSE)</f>
        <v>Apple Inc.</v>
      </c>
      <c r="N348" t="str">
        <f>VLOOKUP(fact_daily_prices[[#This Row],[Ticker]], dim_company[], 3, FALSE)</f>
        <v>Technology</v>
      </c>
    </row>
    <row r="349" spans="1:14" x14ac:dyDescent="0.3">
      <c r="A349" s="1">
        <v>45980</v>
      </c>
      <c r="B349">
        <v>268.06195068359369</v>
      </c>
      <c r="C349">
        <v>271.70517563432878</v>
      </c>
      <c r="D349">
        <v>265.00762791735707</v>
      </c>
      <c r="E349">
        <v>265.03757106365418</v>
      </c>
      <c r="F349">
        <v>40424500</v>
      </c>
      <c r="G349" s="2" t="s">
        <v>12</v>
      </c>
      <c r="H349">
        <v>0.41877290655558674</v>
      </c>
      <c r="I349">
        <v>122.04199209075833</v>
      </c>
      <c r="J349">
        <v>257.29769317626955</v>
      </c>
      <c r="K349">
        <v>1.3528889908750263</v>
      </c>
      <c r="L349">
        <v>0</v>
      </c>
      <c r="M349" t="str">
        <f>VLOOKUP(fact_daily_prices[[#This Row],[Ticker]], dim_company[], 2, FALSE)</f>
        <v>Apple Inc.</v>
      </c>
      <c r="N349" t="str">
        <f>VLOOKUP(fact_daily_prices[[#This Row],[Ticker]], dim_company[], 3, FALSE)</f>
        <v>Technology</v>
      </c>
    </row>
    <row r="350" spans="1:14" x14ac:dyDescent="0.3">
      <c r="A350" s="1">
        <v>45981</v>
      </c>
      <c r="B350">
        <v>265.75625610351563</v>
      </c>
      <c r="C350">
        <v>274.91922505965954</v>
      </c>
      <c r="D350">
        <v>265.42688147061523</v>
      </c>
      <c r="E350">
        <v>270.32774937844403</v>
      </c>
      <c r="F350">
        <v>45823600</v>
      </c>
      <c r="G350" s="2" t="s">
        <v>12</v>
      </c>
      <c r="H350">
        <v>-0.86013497036719899</v>
      </c>
      <c r="I350">
        <v>120.99226623825292</v>
      </c>
      <c r="J350">
        <v>258.02519714355469</v>
      </c>
      <c r="K350">
        <v>1.3503926184132171</v>
      </c>
      <c r="L350">
        <v>0</v>
      </c>
      <c r="M350" t="str">
        <f>VLOOKUP(fact_daily_prices[[#This Row],[Ticker]], dim_company[], 2, FALSE)</f>
        <v>Apple Inc.</v>
      </c>
      <c r="N350" t="str">
        <f>VLOOKUP(fact_daily_prices[[#This Row],[Ticker]], dim_company[], 3, FALSE)</f>
        <v>Technology</v>
      </c>
    </row>
    <row r="351" spans="1:14" x14ac:dyDescent="0.3">
      <c r="A351" s="1">
        <v>45982</v>
      </c>
      <c r="B351">
        <v>270.98651123046875</v>
      </c>
      <c r="C351">
        <v>272.82309528961349</v>
      </c>
      <c r="D351">
        <v>265.17732758833057</v>
      </c>
      <c r="E351">
        <v>265.45680710904861</v>
      </c>
      <c r="F351">
        <v>46108400</v>
      </c>
      <c r="G351" s="2" t="s">
        <v>12</v>
      </c>
      <c r="H351">
        <v>1.9680647235321702</v>
      </c>
      <c r="I351">
        <v>123.37347234829012</v>
      </c>
      <c r="J351">
        <v>258.77673400878905</v>
      </c>
      <c r="K351">
        <v>1.2038942226873259</v>
      </c>
      <c r="L351">
        <v>0</v>
      </c>
      <c r="M351" t="str">
        <f>VLOOKUP(fact_daily_prices[[#This Row],[Ticker]], dim_company[], 2, FALSE)</f>
        <v>Apple Inc.</v>
      </c>
      <c r="N351" t="str">
        <f>VLOOKUP(fact_daily_prices[[#This Row],[Ticker]], dim_company[], 3, FALSE)</f>
        <v>Technology</v>
      </c>
    </row>
    <row r="352" spans="1:14" x14ac:dyDescent="0.3">
      <c r="A352" s="1">
        <v>45985</v>
      </c>
      <c r="B352">
        <v>275.4083251953125</v>
      </c>
      <c r="C352">
        <v>276.48630895374328</v>
      </c>
      <c r="D352">
        <v>270.39761519144599</v>
      </c>
      <c r="E352">
        <v>270.39761519144599</v>
      </c>
      <c r="F352">
        <v>65585800</v>
      </c>
      <c r="G352" s="2" t="s">
        <v>12</v>
      </c>
      <c r="H352">
        <v>1.6317468883471742</v>
      </c>
      <c r="I352">
        <v>125.38661514437921</v>
      </c>
      <c r="J352">
        <v>259.56425567626951</v>
      </c>
      <c r="K352">
        <v>1.2215161842961781</v>
      </c>
      <c r="L352">
        <v>0</v>
      </c>
      <c r="M352" t="str">
        <f>VLOOKUP(fact_daily_prices[[#This Row],[Ticker]], dim_company[], 2, FALSE)</f>
        <v>Apple Inc.</v>
      </c>
      <c r="N352" t="str">
        <f>VLOOKUP(fact_daily_prices[[#This Row],[Ticker]], dim_company[], 3, FALSE)</f>
        <v>Technology</v>
      </c>
    </row>
    <row r="353" spans="1:14" x14ac:dyDescent="0.3">
      <c r="A353" s="1">
        <v>45986</v>
      </c>
      <c r="B353">
        <v>276.45639038085938</v>
      </c>
      <c r="C353">
        <v>279.86007056086942</v>
      </c>
      <c r="D353">
        <v>274.73957871594786</v>
      </c>
      <c r="E353">
        <v>274.75953066216096</v>
      </c>
      <c r="F353">
        <v>46914200</v>
      </c>
      <c r="G353" s="2" t="s">
        <v>12</v>
      </c>
      <c r="H353">
        <v>0.3805495657415614</v>
      </c>
      <c r="I353">
        <v>125.86377336380919</v>
      </c>
      <c r="J353">
        <v>260.34382049560548</v>
      </c>
      <c r="K353">
        <v>1.2199559044096713</v>
      </c>
      <c r="L353">
        <v>0</v>
      </c>
      <c r="M353" t="str">
        <f>VLOOKUP(fact_daily_prices[[#This Row],[Ticker]], dim_company[], 2, FALSE)</f>
        <v>Apple Inc.</v>
      </c>
      <c r="N353" t="str">
        <f>VLOOKUP(fact_daily_prices[[#This Row],[Ticker]], dim_company[], 3, FALSE)</f>
        <v>Technology</v>
      </c>
    </row>
    <row r="354" spans="1:14" x14ac:dyDescent="0.3">
      <c r="A354" s="1">
        <v>45987</v>
      </c>
      <c r="B354">
        <v>277.0352783203125</v>
      </c>
      <c r="C354">
        <v>279.01161742605893</v>
      </c>
      <c r="D354">
        <v>276.11700149532783</v>
      </c>
      <c r="E354">
        <v>276.44637611579361</v>
      </c>
      <c r="F354">
        <v>33431400</v>
      </c>
      <c r="G354" s="2" t="s">
        <v>12</v>
      </c>
      <c r="H354">
        <v>0.20939575267391319</v>
      </c>
      <c r="I354">
        <v>126.12732675938811</v>
      </c>
      <c r="J354">
        <v>261.11821014404296</v>
      </c>
      <c r="K354">
        <v>1.2194020025428149</v>
      </c>
      <c r="L354">
        <v>0</v>
      </c>
      <c r="M354" t="str">
        <f>VLOOKUP(fact_daily_prices[[#This Row],[Ticker]], dim_company[], 2, FALSE)</f>
        <v>Apple Inc.</v>
      </c>
      <c r="N354" t="str">
        <f>VLOOKUP(fact_daily_prices[[#This Row],[Ticker]], dim_company[], 3, FALSE)</f>
        <v>Technology</v>
      </c>
    </row>
    <row r="355" spans="1:14" x14ac:dyDescent="0.3">
      <c r="A355" s="1">
        <v>45989</v>
      </c>
      <c r="B355">
        <v>278.3328857421875</v>
      </c>
      <c r="C355">
        <v>278.48260147874271</v>
      </c>
      <c r="D355">
        <v>275.47817370093742</v>
      </c>
      <c r="E355">
        <v>276.74583801273423</v>
      </c>
      <c r="F355">
        <v>20135600</v>
      </c>
      <c r="G355" s="2" t="s">
        <v>12</v>
      </c>
      <c r="H355">
        <v>0.46839067924580036</v>
      </c>
      <c r="I355">
        <v>126.71809540191099</v>
      </c>
      <c r="J355">
        <v>261.94068969726561</v>
      </c>
      <c r="K355">
        <v>1.2007569594317604</v>
      </c>
      <c r="L355">
        <v>0</v>
      </c>
      <c r="M355" t="str">
        <f>VLOOKUP(fact_daily_prices[[#This Row],[Ticker]], dim_company[], 2, FALSE)</f>
        <v>Apple Inc.</v>
      </c>
      <c r="N355" t="str">
        <f>VLOOKUP(fact_daily_prices[[#This Row],[Ticker]], dim_company[], 3, FALSE)</f>
        <v>Technology</v>
      </c>
    </row>
    <row r="356" spans="1:14" x14ac:dyDescent="0.3">
      <c r="A356" s="1">
        <v>45992</v>
      </c>
      <c r="B356">
        <v>282.57501220703125</v>
      </c>
      <c r="C356">
        <v>282.89442609469603</v>
      </c>
      <c r="D356">
        <v>275.62792768573883</v>
      </c>
      <c r="E356">
        <v>277.49445499649107</v>
      </c>
      <c r="F356">
        <v>46587700</v>
      </c>
      <c r="G356" s="2" t="s">
        <v>12</v>
      </c>
      <c r="H356">
        <v>1.5241197437133369</v>
      </c>
      <c r="I356">
        <v>128.64943091278903</v>
      </c>
      <c r="J356">
        <v>262.6960418701172</v>
      </c>
      <c r="K356">
        <v>1.1840474042147868</v>
      </c>
      <c r="L356">
        <v>0</v>
      </c>
      <c r="M356" t="str">
        <f>VLOOKUP(fact_daily_prices[[#This Row],[Ticker]], dim_company[], 2, FALSE)</f>
        <v>Apple Inc.</v>
      </c>
      <c r="N356" t="str">
        <f>VLOOKUP(fact_daily_prices[[#This Row],[Ticker]], dim_company[], 3, FALSE)</f>
        <v>Technology</v>
      </c>
    </row>
    <row r="357" spans="1:14" x14ac:dyDescent="0.3">
      <c r="A357" s="1">
        <v>45993</v>
      </c>
      <c r="B357">
        <v>285.65927124023438</v>
      </c>
      <c r="C357">
        <v>286.86701880065203</v>
      </c>
      <c r="D357">
        <v>282.10587559562896</v>
      </c>
      <c r="E357">
        <v>282.47518456741903</v>
      </c>
      <c r="F357">
        <v>53669500</v>
      </c>
      <c r="G357" s="2" t="s">
        <v>12</v>
      </c>
      <c r="H357">
        <v>1.0914832876105063</v>
      </c>
      <c r="I357">
        <v>130.05361795080813</v>
      </c>
      <c r="J357">
        <v>263.30207611083983</v>
      </c>
      <c r="K357">
        <v>0.98742189733195984</v>
      </c>
      <c r="L357">
        <v>0</v>
      </c>
      <c r="M357" t="str">
        <f>VLOOKUP(fact_daily_prices[[#This Row],[Ticker]], dim_company[], 2, FALSE)</f>
        <v>Apple Inc.</v>
      </c>
      <c r="N357" t="str">
        <f>VLOOKUP(fact_daily_prices[[#This Row],[Ticker]], dim_company[], 3, FALSE)</f>
        <v>Technology</v>
      </c>
    </row>
    <row r="358" spans="1:14" x14ac:dyDescent="0.3">
      <c r="A358" s="1">
        <v>45994</v>
      </c>
      <c r="B358">
        <v>283.623046875</v>
      </c>
      <c r="C358">
        <v>288.0847586222564</v>
      </c>
      <c r="D358">
        <v>282.77461708045536</v>
      </c>
      <c r="E358">
        <v>285.66926349254692</v>
      </c>
      <c r="F358">
        <v>43538700</v>
      </c>
      <c r="G358" s="2" t="s">
        <v>12</v>
      </c>
      <c r="H358">
        <v>-0.71281578098053577</v>
      </c>
      <c r="I358">
        <v>129.12657523831865</v>
      </c>
      <c r="J358">
        <v>263.90029266357419</v>
      </c>
      <c r="K358">
        <v>1.0045204889880701</v>
      </c>
      <c r="L358">
        <v>0</v>
      </c>
      <c r="M358" t="str">
        <f>VLOOKUP(fact_daily_prices[[#This Row],[Ticker]], dim_company[], 2, FALSE)</f>
        <v>Apple Inc.</v>
      </c>
      <c r="N358" t="str">
        <f>VLOOKUP(fact_daily_prices[[#This Row],[Ticker]], dim_company[], 3, FALSE)</f>
        <v>Technology</v>
      </c>
    </row>
    <row r="359" spans="1:14" x14ac:dyDescent="0.3">
      <c r="A359" s="1">
        <v>45995</v>
      </c>
      <c r="B359">
        <v>280.179443359375</v>
      </c>
      <c r="C359">
        <v>284.20196835267484</v>
      </c>
      <c r="D359">
        <v>278.07334059490762</v>
      </c>
      <c r="E359">
        <v>283.57313183787659</v>
      </c>
      <c r="F359">
        <v>43989100</v>
      </c>
      <c r="G359" s="2" t="s">
        <v>12</v>
      </c>
      <c r="H359">
        <v>-1.2141479874668626</v>
      </c>
      <c r="I359">
        <v>127.55878752377771</v>
      </c>
      <c r="J359">
        <v>264.47191741943357</v>
      </c>
      <c r="K359">
        <v>0.97903030218230691</v>
      </c>
      <c r="L359">
        <v>0</v>
      </c>
      <c r="M359" t="str">
        <f>VLOOKUP(fact_daily_prices[[#This Row],[Ticker]], dim_company[], 2, FALSE)</f>
        <v>Apple Inc.</v>
      </c>
      <c r="N359" t="str">
        <f>VLOOKUP(fact_daily_prices[[#This Row],[Ticker]], dim_company[], 3, FALSE)</f>
        <v>Technology</v>
      </c>
    </row>
    <row r="360" spans="1:14" x14ac:dyDescent="0.3">
      <c r="A360" s="1">
        <v>45996</v>
      </c>
      <c r="B360">
        <v>278.26300048828125</v>
      </c>
      <c r="C360">
        <v>280.6186397013617</v>
      </c>
      <c r="D360">
        <v>277.53434330937841</v>
      </c>
      <c r="E360">
        <v>280.01974631085085</v>
      </c>
      <c r="F360">
        <v>47265800</v>
      </c>
      <c r="G360" s="2" t="s">
        <v>12</v>
      </c>
      <c r="H360">
        <v>-0.68400552450080809</v>
      </c>
      <c r="I360">
        <v>126.68627837012882</v>
      </c>
      <c r="J360">
        <v>264.91427032470705</v>
      </c>
      <c r="K360">
        <v>0.99424318183762728</v>
      </c>
      <c r="L360">
        <v>0</v>
      </c>
      <c r="M360" t="str">
        <f>VLOOKUP(fact_daily_prices[[#This Row],[Ticker]], dim_company[], 2, FALSE)</f>
        <v>Apple Inc.</v>
      </c>
      <c r="N360" t="str">
        <f>VLOOKUP(fact_daily_prices[[#This Row],[Ticker]], dim_company[], 3, FALSE)</f>
        <v>Technology</v>
      </c>
    </row>
    <row r="361" spans="1:14" x14ac:dyDescent="0.3">
      <c r="A361" s="1">
        <v>45999</v>
      </c>
      <c r="B361">
        <v>277.37466430664063</v>
      </c>
      <c r="C361">
        <v>279.15136205700173</v>
      </c>
      <c r="D361">
        <v>275.63787044389539</v>
      </c>
      <c r="E361">
        <v>277.61420947626772</v>
      </c>
      <c r="F361">
        <v>38211800</v>
      </c>
      <c r="G361" s="2" t="s">
        <v>12</v>
      </c>
      <c r="H361">
        <v>-0.31924337050984741</v>
      </c>
      <c r="I361">
        <v>126.28184082508653</v>
      </c>
      <c r="J361">
        <v>265.3669772338867</v>
      </c>
      <c r="K361">
        <v>0.98086431910457361</v>
      </c>
      <c r="L361">
        <v>0</v>
      </c>
      <c r="M361" t="str">
        <f>VLOOKUP(fact_daily_prices[[#This Row],[Ticker]], dim_company[], 2, FALSE)</f>
        <v>Apple Inc.</v>
      </c>
      <c r="N361" t="str">
        <f>VLOOKUP(fact_daily_prices[[#This Row],[Ticker]], dim_company[], 3, FALSE)</f>
        <v>Technology</v>
      </c>
    </row>
    <row r="362" spans="1:14" x14ac:dyDescent="0.3">
      <c r="A362" s="1">
        <v>46000</v>
      </c>
      <c r="B362">
        <v>276.66595458984369</v>
      </c>
      <c r="C362">
        <v>279.51067527694738</v>
      </c>
      <c r="D362">
        <v>276.40645748061854</v>
      </c>
      <c r="E362">
        <v>277.64414811825674</v>
      </c>
      <c r="F362">
        <v>32193300</v>
      </c>
      <c r="G362" s="2" t="s">
        <v>12</v>
      </c>
      <c r="H362">
        <v>-0.25550629094712729</v>
      </c>
      <c r="I362">
        <v>125.95918277745461</v>
      </c>
      <c r="J362">
        <v>265.82605194091798</v>
      </c>
      <c r="K362">
        <v>0.90096354190294725</v>
      </c>
      <c r="L362">
        <v>0</v>
      </c>
      <c r="M362" t="str">
        <f>VLOOKUP(fact_daily_prices[[#This Row],[Ticker]], dim_company[], 2, FALSE)</f>
        <v>Apple Inc.</v>
      </c>
      <c r="N362" t="str">
        <f>VLOOKUP(fact_daily_prices[[#This Row],[Ticker]], dim_company[], 3, FALSE)</f>
        <v>Technology</v>
      </c>
    </row>
    <row r="363" spans="1:14" x14ac:dyDescent="0.3">
      <c r="A363" s="1">
        <v>46001</v>
      </c>
      <c r="B363">
        <v>278.26300048828125</v>
      </c>
      <c r="C363">
        <v>279.23120283899522</v>
      </c>
      <c r="D363">
        <v>275.92734368017386</v>
      </c>
      <c r="E363">
        <v>277.23491184461454</v>
      </c>
      <c r="F363">
        <v>33038300</v>
      </c>
      <c r="G363" s="2" t="s">
        <v>12</v>
      </c>
      <c r="H363">
        <v>0.57724699116130651</v>
      </c>
      <c r="I363">
        <v>126.68627837012882</v>
      </c>
      <c r="J363">
        <v>266.31307861328128</v>
      </c>
      <c r="K363">
        <v>0.90495095132332315</v>
      </c>
      <c r="L363">
        <v>0</v>
      </c>
      <c r="M363" t="str">
        <f>VLOOKUP(fact_daily_prices[[#This Row],[Ticker]], dim_company[], 2, FALSE)</f>
        <v>Apple Inc.</v>
      </c>
      <c r="N363" t="str">
        <f>VLOOKUP(fact_daily_prices[[#This Row],[Ticker]], dim_company[], 3, FALSE)</f>
        <v>Technology</v>
      </c>
    </row>
    <row r="364" spans="1:14" x14ac:dyDescent="0.3">
      <c r="A364" s="1">
        <v>46002</v>
      </c>
      <c r="B364">
        <v>277.514404296875</v>
      </c>
      <c r="C364">
        <v>279.07150890817053</v>
      </c>
      <c r="D364">
        <v>273.30222888401551</v>
      </c>
      <c r="E364">
        <v>278.58242733927187</v>
      </c>
      <c r="F364">
        <v>33248000</v>
      </c>
      <c r="G364" s="2" t="s">
        <v>12</v>
      </c>
      <c r="H364">
        <v>-0.26902469609422219</v>
      </c>
      <c r="I364">
        <v>126.34546099475052</v>
      </c>
      <c r="J364">
        <v>266.76877960205076</v>
      </c>
      <c r="K364">
        <v>0.90740526991831483</v>
      </c>
      <c r="L364">
        <v>0</v>
      </c>
      <c r="M364" t="str">
        <f>VLOOKUP(fact_daily_prices[[#This Row],[Ticker]], dim_company[], 2, FALSE)</f>
        <v>Apple Inc.</v>
      </c>
      <c r="N364" t="str">
        <f>VLOOKUP(fact_daily_prices[[#This Row],[Ticker]], dim_company[], 3, FALSE)</f>
        <v>Technology</v>
      </c>
    </row>
    <row r="365" spans="1:14" x14ac:dyDescent="0.3">
      <c r="A365" s="1">
        <v>46003</v>
      </c>
      <c r="B365">
        <v>277.76394653320313</v>
      </c>
      <c r="C365">
        <v>278.70220580092337</v>
      </c>
      <c r="D365">
        <v>276.30666253778065</v>
      </c>
      <c r="E365">
        <v>277.38464634485007</v>
      </c>
      <c r="F365">
        <v>39532900</v>
      </c>
      <c r="G365" s="2" t="s">
        <v>12</v>
      </c>
      <c r="H365">
        <v>8.9920462673065416E-2</v>
      </c>
      <c r="I365">
        <v>126.4590714178434</v>
      </c>
      <c r="J365">
        <v>267.19596649169921</v>
      </c>
      <c r="K365">
        <v>0.90204005311892543</v>
      </c>
      <c r="L365">
        <v>0</v>
      </c>
      <c r="M365" t="str">
        <f>VLOOKUP(fact_daily_prices[[#This Row],[Ticker]], dim_company[], 2, FALSE)</f>
        <v>Apple Inc.</v>
      </c>
      <c r="N365" t="str">
        <f>VLOOKUP(fact_daily_prices[[#This Row],[Ticker]], dim_company[], 3, FALSE)</f>
        <v>Technology</v>
      </c>
    </row>
    <row r="366" spans="1:14" x14ac:dyDescent="0.3">
      <c r="A366" s="1">
        <v>46006</v>
      </c>
      <c r="B366">
        <v>273.60165405273438</v>
      </c>
      <c r="C366">
        <v>279.63046152672609</v>
      </c>
      <c r="D366">
        <v>272.33402020742307</v>
      </c>
      <c r="E366">
        <v>279.63046152672609</v>
      </c>
      <c r="F366">
        <v>50409100</v>
      </c>
      <c r="G366" s="2" t="s">
        <v>12</v>
      </c>
      <c r="H366">
        <v>-1.498499906996098</v>
      </c>
      <c r="I366">
        <v>124.56408235025889</v>
      </c>
      <c r="J366">
        <v>267.52215789794923</v>
      </c>
      <c r="K366">
        <v>0.94429656271863083</v>
      </c>
      <c r="L366">
        <v>0</v>
      </c>
      <c r="M366" t="str">
        <f>VLOOKUP(fact_daily_prices[[#This Row],[Ticker]], dim_company[], 2, FALSE)</f>
        <v>Apple Inc.</v>
      </c>
      <c r="N366" t="str">
        <f>VLOOKUP(fact_daily_prices[[#This Row],[Ticker]], dim_company[], 3, FALSE)</f>
        <v>Technology</v>
      </c>
    </row>
    <row r="367" spans="1:14" x14ac:dyDescent="0.3">
      <c r="A367" s="1">
        <v>46007</v>
      </c>
      <c r="B367">
        <v>274.10073852539063</v>
      </c>
      <c r="C367">
        <v>274.98910269802923</v>
      </c>
      <c r="D367">
        <v>271.28599118714249</v>
      </c>
      <c r="E367">
        <v>272.31407989893529</v>
      </c>
      <c r="F367">
        <v>37648600</v>
      </c>
      <c r="G367" s="2" t="s">
        <v>12</v>
      </c>
      <c r="H367">
        <v>0.18241281266524467</v>
      </c>
      <c r="I367">
        <v>124.79130319644464</v>
      </c>
      <c r="J367">
        <v>267.88485565185545</v>
      </c>
      <c r="K367">
        <v>0.93895687167854269</v>
      </c>
      <c r="L367">
        <v>0</v>
      </c>
      <c r="M367" t="str">
        <f>VLOOKUP(fact_daily_prices[[#This Row],[Ticker]], dim_company[], 2, FALSE)</f>
        <v>Apple Inc.</v>
      </c>
      <c r="N367" t="str">
        <f>VLOOKUP(fact_daily_prices[[#This Row],[Ticker]], dim_company[], 3, FALSE)</f>
        <v>Technology</v>
      </c>
    </row>
    <row r="368" spans="1:14" x14ac:dyDescent="0.3">
      <c r="A368" s="1">
        <v>46008</v>
      </c>
      <c r="B368">
        <v>271.33587646484369</v>
      </c>
      <c r="C368">
        <v>275.64787245308111</v>
      </c>
      <c r="D368">
        <v>271.13626563598973</v>
      </c>
      <c r="E368">
        <v>274.50001118897205</v>
      </c>
      <c r="F368">
        <v>50138700</v>
      </c>
      <c r="G368" s="2" t="s">
        <v>12</v>
      </c>
      <c r="H368">
        <v>-1.0087028861802239</v>
      </c>
      <c r="I368">
        <v>123.5325297194002</v>
      </c>
      <c r="J368">
        <v>268.19644439697265</v>
      </c>
      <c r="K368">
        <v>0.95763453717623026</v>
      </c>
      <c r="L368">
        <v>0</v>
      </c>
      <c r="M368" t="str">
        <f>VLOOKUP(fact_daily_prices[[#This Row],[Ticker]], dim_company[], 2, FALSE)</f>
        <v>Apple Inc.</v>
      </c>
      <c r="N368" t="str">
        <f>VLOOKUP(fact_daily_prices[[#This Row],[Ticker]], dim_company[], 3, FALSE)</f>
        <v>Technology</v>
      </c>
    </row>
    <row r="369" spans="1:14" x14ac:dyDescent="0.3">
      <c r="A369" s="1">
        <v>46009</v>
      </c>
      <c r="B369">
        <v>271.68524169921875</v>
      </c>
      <c r="C369">
        <v>273.12257373871984</v>
      </c>
      <c r="D369">
        <v>266.45496872608049</v>
      </c>
      <c r="E369">
        <v>273.10259133254192</v>
      </c>
      <c r="F369">
        <v>51630700</v>
      </c>
      <c r="G369" s="2" t="s">
        <v>12</v>
      </c>
      <c r="H369">
        <v>0.12875747907974411</v>
      </c>
      <c r="I369">
        <v>123.69158709051034</v>
      </c>
      <c r="J369">
        <v>268.51502044677733</v>
      </c>
      <c r="K369">
        <v>0.95780484640739316</v>
      </c>
      <c r="L369">
        <v>0</v>
      </c>
      <c r="M369" t="str">
        <f>VLOOKUP(fact_daily_prices[[#This Row],[Ticker]], dim_company[], 2, FALSE)</f>
        <v>Apple Inc.</v>
      </c>
      <c r="N369" t="str">
        <f>VLOOKUP(fact_daily_prices[[#This Row],[Ticker]], dim_company[], 3, FALSE)</f>
        <v>Technology</v>
      </c>
    </row>
    <row r="370" spans="1:14" x14ac:dyDescent="0.3">
      <c r="A370" s="1">
        <v>46010</v>
      </c>
      <c r="B370">
        <v>273.16250610351563</v>
      </c>
      <c r="C370">
        <v>274.09077415448866</v>
      </c>
      <c r="D370">
        <v>269.39947788454202</v>
      </c>
      <c r="E370">
        <v>271.64530537230661</v>
      </c>
      <c r="F370">
        <v>144632000</v>
      </c>
      <c r="G370" s="2" t="s">
        <v>12</v>
      </c>
      <c r="H370">
        <v>0.54374113038218042</v>
      </c>
      <c r="I370">
        <v>124.36414912434392</v>
      </c>
      <c r="J370">
        <v>268.91180419921875</v>
      </c>
      <c r="K370">
        <v>0.96169802433148333</v>
      </c>
      <c r="L370">
        <v>1</v>
      </c>
      <c r="M370" t="str">
        <f>VLOOKUP(fact_daily_prices[[#This Row],[Ticker]], dim_company[], 2, FALSE)</f>
        <v>Apple Inc.</v>
      </c>
      <c r="N370" t="str">
        <f>VLOOKUP(fact_daily_prices[[#This Row],[Ticker]], dim_company[], 3, FALSE)</f>
        <v>Technology</v>
      </c>
    </row>
    <row r="371" spans="1:14" x14ac:dyDescent="0.3">
      <c r="A371" s="1">
        <v>46013</v>
      </c>
      <c r="B371">
        <v>270.46749877929688</v>
      </c>
      <c r="C371">
        <v>273.37210596231955</v>
      </c>
      <c r="D371">
        <v>270.00836035897595</v>
      </c>
      <c r="E371">
        <v>272.35397801427962</v>
      </c>
      <c r="F371">
        <v>36571800</v>
      </c>
      <c r="G371" s="2" t="s">
        <v>12</v>
      </c>
      <c r="H371">
        <v>-0.98659488912342663</v>
      </c>
      <c r="I371">
        <v>123.13717878518131</v>
      </c>
      <c r="J371">
        <v>269.42959289550782</v>
      </c>
      <c r="K371">
        <v>0.97573595067341057</v>
      </c>
      <c r="L371">
        <v>0</v>
      </c>
      <c r="M371" t="str">
        <f>VLOOKUP(fact_daily_prices[[#This Row],[Ticker]], dim_company[], 2, FALSE)</f>
        <v>Apple Inc.</v>
      </c>
      <c r="N371" t="str">
        <f>VLOOKUP(fact_daily_prices[[#This Row],[Ticker]], dim_company[], 3, FALSE)</f>
        <v>Technology</v>
      </c>
    </row>
    <row r="372" spans="1:14" x14ac:dyDescent="0.3">
      <c r="A372" s="1">
        <v>46014</v>
      </c>
      <c r="B372">
        <v>271.85491943359369</v>
      </c>
      <c r="C372">
        <v>271.99467443806464</v>
      </c>
      <c r="D372">
        <v>269.06012395403746</v>
      </c>
      <c r="E372">
        <v>270.33774909626118</v>
      </c>
      <c r="F372">
        <v>29642000</v>
      </c>
      <c r="G372" s="2" t="s">
        <v>12</v>
      </c>
      <c r="H372">
        <v>0.51297130359790888</v>
      </c>
      <c r="I372">
        <v>123.76883717640933</v>
      </c>
      <c r="J372">
        <v>269.92746490478515</v>
      </c>
      <c r="K372">
        <v>0.9766476779287</v>
      </c>
      <c r="L372">
        <v>0</v>
      </c>
      <c r="M372" t="str">
        <f>VLOOKUP(fact_daily_prices[[#This Row],[Ticker]], dim_company[], 2, FALSE)</f>
        <v>Apple Inc.</v>
      </c>
      <c r="N372" t="str">
        <f>VLOOKUP(fact_daily_prices[[#This Row],[Ticker]], dim_company[], 3, FALSE)</f>
        <v>Technology</v>
      </c>
    </row>
    <row r="373" spans="1:14" x14ac:dyDescent="0.3">
      <c r="A373" s="1">
        <v>46015</v>
      </c>
      <c r="B373">
        <v>273.30221557617188</v>
      </c>
      <c r="C373">
        <v>274.91920640447489</v>
      </c>
      <c r="D373">
        <v>271.69521595033444</v>
      </c>
      <c r="E373">
        <v>271.83494047993707</v>
      </c>
      <c r="F373">
        <v>17910600</v>
      </c>
      <c r="G373" s="2" t="s">
        <v>12</v>
      </c>
      <c r="H373">
        <v>0.53237813227495767</v>
      </c>
      <c r="I373">
        <v>124.42775540010756</v>
      </c>
      <c r="J373">
        <v>270.45208892822268</v>
      </c>
      <c r="K373">
        <v>0.8967903699844717</v>
      </c>
      <c r="L373">
        <v>0</v>
      </c>
      <c r="M373" t="str">
        <f>VLOOKUP(fact_daily_prices[[#This Row],[Ticker]], dim_company[], 2, FALSE)</f>
        <v>Apple Inc.</v>
      </c>
      <c r="N373" t="str">
        <f>VLOOKUP(fact_daily_prices[[#This Row],[Ticker]], dim_company[], 3, FALSE)</f>
        <v>Technology</v>
      </c>
    </row>
    <row r="374" spans="1:14" x14ac:dyDescent="0.3">
      <c r="A374" s="1">
        <v>46017</v>
      </c>
      <c r="B374">
        <v>272.89297485351563</v>
      </c>
      <c r="C374">
        <v>274.859322715931</v>
      </c>
      <c r="D374">
        <v>272.35396775197984</v>
      </c>
      <c r="E374">
        <v>273.65157518449314</v>
      </c>
      <c r="F374">
        <v>21521800</v>
      </c>
      <c r="G374" s="2" t="s">
        <v>12</v>
      </c>
      <c r="H374">
        <v>-0.14973926274014504</v>
      </c>
      <c r="I374">
        <v>124.24143819652733</v>
      </c>
      <c r="J374">
        <v>270.93721679687502</v>
      </c>
      <c r="K374">
        <v>0.88925112529067862</v>
      </c>
      <c r="L374">
        <v>0</v>
      </c>
      <c r="M374" t="str">
        <f>VLOOKUP(fact_daily_prices[[#This Row],[Ticker]], dim_company[], 2, FALSE)</f>
        <v>Apple Inc.</v>
      </c>
      <c r="N374" t="str">
        <f>VLOOKUP(fact_daily_prices[[#This Row],[Ticker]], dim_company[], 3, FALSE)</f>
        <v>Technology</v>
      </c>
    </row>
    <row r="375" spans="1:14" x14ac:dyDescent="0.3">
      <c r="A375" s="1">
        <v>46020</v>
      </c>
      <c r="B375">
        <v>273.25234985351563</v>
      </c>
      <c r="C375">
        <v>273.8512128461511</v>
      </c>
      <c r="D375">
        <v>271.84496089884942</v>
      </c>
      <c r="E375">
        <v>272.18432674833832</v>
      </c>
      <c r="F375">
        <v>23715200</v>
      </c>
      <c r="G375" s="2" t="s">
        <v>12</v>
      </c>
      <c r="H375">
        <v>0.13169082135329191</v>
      </c>
      <c r="I375">
        <v>124.40505276694947</v>
      </c>
      <c r="J375">
        <v>271.46722534179685</v>
      </c>
      <c r="K375">
        <v>0.88878233642694993</v>
      </c>
      <c r="L375">
        <v>0</v>
      </c>
      <c r="M375" t="str">
        <f>VLOOKUP(fact_daily_prices[[#This Row],[Ticker]], dim_company[], 2, FALSE)</f>
        <v>Apple Inc.</v>
      </c>
      <c r="N375" t="str">
        <f>VLOOKUP(fact_daily_prices[[#This Row],[Ticker]], dim_company[], 3, FALSE)</f>
        <v>Technology</v>
      </c>
    </row>
    <row r="376" spans="1:14" x14ac:dyDescent="0.3">
      <c r="A376" s="1">
        <v>46021</v>
      </c>
      <c r="B376">
        <v>272.57357788085938</v>
      </c>
      <c r="C376">
        <v>273.57172344730031</v>
      </c>
      <c r="D376">
        <v>271.77507361210075</v>
      </c>
      <c r="E376">
        <v>272.30408954387502</v>
      </c>
      <c r="F376">
        <v>22139600</v>
      </c>
      <c r="G376" s="2" t="s">
        <v>12</v>
      </c>
      <c r="H376">
        <v>-0.24840480713893553</v>
      </c>
      <c r="I376">
        <v>124.09602463555262</v>
      </c>
      <c r="J376">
        <v>271.88713195800779</v>
      </c>
      <c r="K376">
        <v>0.88924506083637944</v>
      </c>
      <c r="L376">
        <v>0</v>
      </c>
      <c r="M376" t="str">
        <f>VLOOKUP(fact_daily_prices[[#This Row],[Ticker]], dim_company[], 2, FALSE)</f>
        <v>Apple Inc.</v>
      </c>
      <c r="N376" t="str">
        <f>VLOOKUP(fact_daily_prices[[#This Row],[Ticker]], dim_company[], 3, FALSE)</f>
        <v>Technology</v>
      </c>
    </row>
    <row r="377" spans="1:14" x14ac:dyDescent="0.3">
      <c r="A377" s="1">
        <v>46022</v>
      </c>
      <c r="B377">
        <v>271.3558349609375</v>
      </c>
      <c r="C377">
        <v>273.17246717497864</v>
      </c>
      <c r="D377">
        <v>271.24605357156486</v>
      </c>
      <c r="E377">
        <v>272.55362180691702</v>
      </c>
      <c r="F377">
        <v>27293600</v>
      </c>
      <c r="G377" s="2" t="s">
        <v>12</v>
      </c>
      <c r="H377">
        <v>-0.44675750650128299</v>
      </c>
      <c r="I377">
        <v>123.5416163302236</v>
      </c>
      <c r="J377">
        <v>272.08424499511716</v>
      </c>
      <c r="K377">
        <v>0.82491631427216328</v>
      </c>
      <c r="L377">
        <v>0</v>
      </c>
      <c r="M377" t="str">
        <f>VLOOKUP(fact_daily_prices[[#This Row],[Ticker]], dim_company[], 2, FALSE)</f>
        <v>Apple Inc.</v>
      </c>
      <c r="N377" t="str">
        <f>VLOOKUP(fact_daily_prices[[#This Row],[Ticker]], dim_company[], 3, FALSE)</f>
        <v>Technology</v>
      </c>
    </row>
    <row r="378" spans="1:14" x14ac:dyDescent="0.3">
      <c r="A378" s="1">
        <v>46024</v>
      </c>
      <c r="B378">
        <v>270.50741577148438</v>
      </c>
      <c r="C378">
        <v>277.32473598417806</v>
      </c>
      <c r="D378">
        <v>268.5011336129586</v>
      </c>
      <c r="E378">
        <v>271.75509761912826</v>
      </c>
      <c r="F378">
        <v>37838100</v>
      </c>
      <c r="G378" s="2" t="s">
        <v>12</v>
      </c>
      <c r="H378">
        <v>-0.31265927617707412</v>
      </c>
      <c r="I378">
        <v>123.15535200682805</v>
      </c>
      <c r="J378">
        <v>272.25381896972658</v>
      </c>
      <c r="K378">
        <v>0.82762492489510164</v>
      </c>
      <c r="L378">
        <v>0</v>
      </c>
      <c r="M378" t="str">
        <f>VLOOKUP(fact_daily_prices[[#This Row],[Ticker]], dim_company[], 2, FALSE)</f>
        <v>Apple Inc.</v>
      </c>
      <c r="N378" t="str">
        <f>VLOOKUP(fact_daily_prices[[#This Row],[Ticker]], dim_company[], 3, FALSE)</f>
        <v>Technology</v>
      </c>
    </row>
    <row r="379" spans="1:14" x14ac:dyDescent="0.3">
      <c r="A379" s="1">
        <v>46027</v>
      </c>
      <c r="B379">
        <v>266.76437377929688</v>
      </c>
      <c r="C379">
        <v>271.00649211775033</v>
      </c>
      <c r="D379">
        <v>265.64645570268527</v>
      </c>
      <c r="E379">
        <v>270.1381104139889</v>
      </c>
      <c r="F379">
        <v>45647200</v>
      </c>
      <c r="G379" s="2" t="s">
        <v>12</v>
      </c>
      <c r="H379">
        <v>-1.3837114156417418</v>
      </c>
      <c r="I379">
        <v>121.45123734213581</v>
      </c>
      <c r="J379">
        <v>272.43468872070315</v>
      </c>
      <c r="K379">
        <v>0.86435545896428678</v>
      </c>
      <c r="L379">
        <v>0</v>
      </c>
      <c r="M379" t="str">
        <f>VLOOKUP(fact_daily_prices[[#This Row],[Ticker]], dim_company[], 2, FALSE)</f>
        <v>Apple Inc.</v>
      </c>
      <c r="N379" t="str">
        <f>VLOOKUP(fact_daily_prices[[#This Row],[Ticker]], dim_company[], 3, FALSE)</f>
        <v>Technology</v>
      </c>
    </row>
    <row r="380" spans="1:14" x14ac:dyDescent="0.3">
      <c r="A380" s="1">
        <v>46028</v>
      </c>
      <c r="B380">
        <v>261.87344360351563</v>
      </c>
      <c r="C380">
        <v>267.05382128123381</v>
      </c>
      <c r="D380">
        <v>261.63389842659859</v>
      </c>
      <c r="E380">
        <v>266.50485343047097</v>
      </c>
      <c r="F380">
        <v>52352100</v>
      </c>
      <c r="G380" s="2" t="s">
        <v>12</v>
      </c>
      <c r="H380">
        <v>-1.8334270451824564</v>
      </c>
      <c r="I380">
        <v>119.22451750999636</v>
      </c>
      <c r="J380">
        <v>272.49520385742187</v>
      </c>
      <c r="K380">
        <v>0.91409988168992318</v>
      </c>
      <c r="L380">
        <v>0</v>
      </c>
      <c r="M380" t="str">
        <f>VLOOKUP(fact_daily_prices[[#This Row],[Ticker]], dim_company[], 2, FALSE)</f>
        <v>Apple Inc.</v>
      </c>
      <c r="N380" t="str">
        <f>VLOOKUP(fact_daily_prices[[#This Row],[Ticker]], dim_company[], 3, FALSE)</f>
        <v>Technology</v>
      </c>
    </row>
    <row r="381" spans="1:14" x14ac:dyDescent="0.3">
      <c r="A381" s="1">
        <v>46029</v>
      </c>
      <c r="B381">
        <v>259.84719848632813</v>
      </c>
      <c r="C381">
        <v>263.1909919246956</v>
      </c>
      <c r="D381">
        <v>259.32817380451803</v>
      </c>
      <c r="E381">
        <v>262.71190159101934</v>
      </c>
      <c r="F381">
        <v>48309800</v>
      </c>
      <c r="G381" s="2" t="s">
        <v>12</v>
      </c>
      <c r="H381">
        <v>-0.77374975075948926</v>
      </c>
      <c r="I381">
        <v>118.30201810291857</v>
      </c>
      <c r="J381">
        <v>272.45057678222656</v>
      </c>
      <c r="K381">
        <v>0.83994608114464009</v>
      </c>
      <c r="L381">
        <v>0</v>
      </c>
      <c r="M381" t="str">
        <f>VLOOKUP(fact_daily_prices[[#This Row],[Ticker]], dim_company[], 2, FALSE)</f>
        <v>Apple Inc.</v>
      </c>
      <c r="N381" t="str">
        <f>VLOOKUP(fact_daily_prices[[#This Row],[Ticker]], dim_company[], 3, FALSE)</f>
        <v>Technology</v>
      </c>
    </row>
    <row r="382" spans="1:14" x14ac:dyDescent="0.3">
      <c r="A382" s="1">
        <v>46030</v>
      </c>
      <c r="B382">
        <v>258.55963134765625</v>
      </c>
      <c r="C382">
        <v>258.80916773471864</v>
      </c>
      <c r="D382">
        <v>255.22581364132839</v>
      </c>
      <c r="E382">
        <v>256.54335784516178</v>
      </c>
      <c r="F382">
        <v>50419300</v>
      </c>
      <c r="G382" s="2" t="s">
        <v>12</v>
      </c>
      <c r="H382">
        <v>-0.49550934017078552</v>
      </c>
      <c r="I382">
        <v>117.71582055360805</v>
      </c>
      <c r="J382">
        <v>272.2607360839844</v>
      </c>
      <c r="K382">
        <v>0.77262477703185672</v>
      </c>
      <c r="L382">
        <v>0</v>
      </c>
      <c r="M382" t="str">
        <f>VLOOKUP(fact_daily_prices[[#This Row],[Ticker]], dim_company[], 2, FALSE)</f>
        <v>Apple Inc.</v>
      </c>
      <c r="N382" t="str">
        <f>VLOOKUP(fact_daily_prices[[#This Row],[Ticker]], dim_company[], 3, FALSE)</f>
        <v>Technology</v>
      </c>
    </row>
    <row r="383" spans="1:14" x14ac:dyDescent="0.3">
      <c r="A383" s="1">
        <v>46031</v>
      </c>
      <c r="B383">
        <v>258.88900756835938</v>
      </c>
      <c r="C383">
        <v>259.72744617872871</v>
      </c>
      <c r="D383">
        <v>255.74485516422808</v>
      </c>
      <c r="E383">
        <v>258.59953682851051</v>
      </c>
      <c r="F383">
        <v>39997000</v>
      </c>
      <c r="G383" s="2" t="s">
        <v>12</v>
      </c>
      <c r="H383">
        <v>0.12738888084979916</v>
      </c>
      <c r="I383">
        <v>117.86577741999444</v>
      </c>
      <c r="J383">
        <v>272.07369384765627</v>
      </c>
      <c r="K383">
        <v>0.76734715594577751</v>
      </c>
      <c r="L383">
        <v>0</v>
      </c>
      <c r="M383" t="str">
        <f>VLOOKUP(fact_daily_prices[[#This Row],[Ticker]], dim_company[], 2, FALSE)</f>
        <v>Apple Inc.</v>
      </c>
      <c r="N383" t="str">
        <f>VLOOKUP(fact_daily_prices[[#This Row],[Ticker]], dim_company[], 3, FALSE)</f>
        <v>Technology</v>
      </c>
    </row>
    <row r="384" spans="1:14" x14ac:dyDescent="0.3">
      <c r="A384" s="1">
        <v>46034</v>
      </c>
      <c r="B384">
        <v>259.76739501953125</v>
      </c>
      <c r="C384">
        <v>260.8154357257053</v>
      </c>
      <c r="D384">
        <v>256.32378048041085</v>
      </c>
      <c r="E384">
        <v>258.67941995987832</v>
      </c>
      <c r="F384">
        <v>45263800</v>
      </c>
      <c r="G384" s="2" t="s">
        <v>12</v>
      </c>
      <c r="H384">
        <v>0.33929113461488303</v>
      </c>
      <c r="I384">
        <v>118.26568555352539</v>
      </c>
      <c r="J384">
        <v>271.8902587890625</v>
      </c>
      <c r="K384">
        <v>0.77019004110343381</v>
      </c>
      <c r="L384">
        <v>0</v>
      </c>
      <c r="M384" t="str">
        <f>VLOOKUP(fact_daily_prices[[#This Row],[Ticker]], dim_company[], 2, FALSE)</f>
        <v>Apple Inc.</v>
      </c>
      <c r="N384" t="str">
        <f>VLOOKUP(fact_daily_prices[[#This Row],[Ticker]], dim_company[], 3, FALSE)</f>
        <v>Technology</v>
      </c>
    </row>
    <row r="385" spans="1:14" x14ac:dyDescent="0.3">
      <c r="A385" s="1">
        <v>46035</v>
      </c>
      <c r="B385">
        <v>260.56588745117188</v>
      </c>
      <c r="C385">
        <v>261.32448782777368</v>
      </c>
      <c r="D385">
        <v>257.91084705503619</v>
      </c>
      <c r="E385">
        <v>258.24022168851656</v>
      </c>
      <c r="F385">
        <v>45730800</v>
      </c>
      <c r="G385" s="2" t="s">
        <v>12</v>
      </c>
      <c r="H385">
        <v>0.30738747315866011</v>
      </c>
      <c r="I385">
        <v>118.62921945596214</v>
      </c>
      <c r="J385">
        <v>271.68888977050779</v>
      </c>
      <c r="K385">
        <v>0.76583832143327757</v>
      </c>
      <c r="L385">
        <v>0</v>
      </c>
      <c r="M385" t="str">
        <f>VLOOKUP(fact_daily_prices[[#This Row],[Ticker]], dim_company[], 2, FALSE)</f>
        <v>Apple Inc.</v>
      </c>
      <c r="N385" t="str">
        <f>VLOOKUP(fact_daily_prices[[#This Row],[Ticker]], dim_company[], 3, FALSE)</f>
        <v>Technology</v>
      </c>
    </row>
    <row r="386" spans="1:14" x14ac:dyDescent="0.3">
      <c r="A386" s="1">
        <v>46036</v>
      </c>
      <c r="B386">
        <v>259.4779052734375</v>
      </c>
      <c r="C386">
        <v>261.33447181199801</v>
      </c>
      <c r="D386">
        <v>256.23393227813762</v>
      </c>
      <c r="E386">
        <v>259.00877565260089</v>
      </c>
      <c r="F386">
        <v>40019400</v>
      </c>
      <c r="G386" s="2" t="s">
        <v>12</v>
      </c>
      <c r="H386">
        <v>-0.41754589918768792</v>
      </c>
      <c r="I386">
        <v>118.13388801488543</v>
      </c>
      <c r="J386">
        <v>271.48630249023438</v>
      </c>
      <c r="K386">
        <v>0.69213830947200894</v>
      </c>
      <c r="L386">
        <v>0</v>
      </c>
      <c r="M386" t="str">
        <f>VLOOKUP(fact_daily_prices[[#This Row],[Ticker]], dim_company[], 2, FALSE)</f>
        <v>Apple Inc.</v>
      </c>
      <c r="N386" t="str">
        <f>VLOOKUP(fact_daily_prices[[#This Row],[Ticker]], dim_company[], 3, FALSE)</f>
        <v>Technology</v>
      </c>
    </row>
    <row r="387" spans="1:14" x14ac:dyDescent="0.3">
      <c r="A387" s="1">
        <v>46037</v>
      </c>
      <c r="B387">
        <v>257.73114013671875</v>
      </c>
      <c r="C387">
        <v>260.55590895012358</v>
      </c>
      <c r="D387">
        <v>256.5732877053955</v>
      </c>
      <c r="E387">
        <v>260.16661758519467</v>
      </c>
      <c r="F387">
        <v>39388600</v>
      </c>
      <c r="G387" s="2" t="s">
        <v>12</v>
      </c>
      <c r="H387">
        <v>-0.67318453757286845</v>
      </c>
      <c r="I387">
        <v>117.33862894713556</v>
      </c>
      <c r="J387">
        <v>271.27510620117187</v>
      </c>
      <c r="K387">
        <v>0.64479602386372448</v>
      </c>
      <c r="L387">
        <v>0</v>
      </c>
      <c r="M387" t="str">
        <f>VLOOKUP(fact_daily_prices[[#This Row],[Ticker]], dim_company[], 2, FALSE)</f>
        <v>Apple Inc.</v>
      </c>
      <c r="N387" t="str">
        <f>VLOOKUP(fact_daily_prices[[#This Row],[Ticker]], dim_company[], 3, FALSE)</f>
        <v>Technology</v>
      </c>
    </row>
    <row r="388" spans="1:14" x14ac:dyDescent="0.3">
      <c r="A388" s="1">
        <v>46038</v>
      </c>
      <c r="B388">
        <v>255.05613708496091</v>
      </c>
      <c r="C388">
        <v>258.41988279267105</v>
      </c>
      <c r="D388">
        <v>254.45724364888235</v>
      </c>
      <c r="E388">
        <v>257.4217372195352</v>
      </c>
      <c r="F388">
        <v>72142800</v>
      </c>
      <c r="G388" s="2" t="s">
        <v>12</v>
      </c>
      <c r="H388">
        <v>-1.0379044807464211</v>
      </c>
      <c r="I388">
        <v>116.12076605964683</v>
      </c>
      <c r="J388">
        <v>270.99066497802733</v>
      </c>
      <c r="K388">
        <v>0.65393857382922416</v>
      </c>
      <c r="L388">
        <v>0</v>
      </c>
      <c r="M388" t="str">
        <f>VLOOKUP(fact_daily_prices[[#This Row],[Ticker]], dim_company[], 2, FALSE)</f>
        <v>Apple Inc.</v>
      </c>
      <c r="N388" t="str">
        <f>VLOOKUP(fact_daily_prices[[#This Row],[Ticker]], dim_company[], 3, FALSE)</f>
        <v>Technology</v>
      </c>
    </row>
    <row r="389" spans="1:14" x14ac:dyDescent="0.3">
      <c r="A389" s="1">
        <v>46042</v>
      </c>
      <c r="B389">
        <v>246.24250793457031</v>
      </c>
      <c r="C389">
        <v>254.31750190322293</v>
      </c>
      <c r="D389">
        <v>242.9685916985444</v>
      </c>
      <c r="E389">
        <v>252.26132447540704</v>
      </c>
      <c r="F389">
        <v>80267500</v>
      </c>
      <c r="G389" s="2" t="s">
        <v>12</v>
      </c>
      <c r="H389">
        <v>-3.4555644302943112</v>
      </c>
      <c r="I389">
        <v>112.10813817150441</v>
      </c>
      <c r="J389">
        <v>270.52795654296875</v>
      </c>
      <c r="K389">
        <v>0.85352207660365509</v>
      </c>
      <c r="L389">
        <v>0</v>
      </c>
      <c r="M389" t="str">
        <f>VLOOKUP(fact_daily_prices[[#This Row],[Ticker]], dim_company[], 2, FALSE)</f>
        <v>Apple Inc.</v>
      </c>
      <c r="N389" t="str">
        <f>VLOOKUP(fact_daily_prices[[#This Row],[Ticker]], dim_company[], 3, FALSE)</f>
        <v>Technology</v>
      </c>
    </row>
    <row r="390" spans="1:14" x14ac:dyDescent="0.3">
      <c r="A390" s="1">
        <v>46043</v>
      </c>
      <c r="B390">
        <v>247.19075012207031</v>
      </c>
      <c r="C390">
        <v>251.09350304772093</v>
      </c>
      <c r="D390">
        <v>244.7253292878456</v>
      </c>
      <c r="E390">
        <v>248.23880604127609</v>
      </c>
      <c r="F390">
        <v>54641700</v>
      </c>
      <c r="G390" s="2" t="s">
        <v>12</v>
      </c>
      <c r="H390">
        <v>0.38508468560267684</v>
      </c>
      <c r="I390">
        <v>112.53984944291717</v>
      </c>
      <c r="J390">
        <v>270.09159271240236</v>
      </c>
      <c r="K390">
        <v>0.86461961324099257</v>
      </c>
      <c r="L390">
        <v>0</v>
      </c>
      <c r="M390" t="str">
        <f>VLOOKUP(fact_daily_prices[[#This Row],[Ticker]], dim_company[], 2, FALSE)</f>
        <v>Apple Inc.</v>
      </c>
      <c r="N390" t="str">
        <f>VLOOKUP(fact_daily_prices[[#This Row],[Ticker]], dim_company[], 3, FALSE)</f>
        <v>Technology</v>
      </c>
    </row>
    <row r="391" spans="1:14" x14ac:dyDescent="0.3">
      <c r="A391" s="1">
        <v>46044</v>
      </c>
      <c r="B391">
        <v>247.88945007324219</v>
      </c>
      <c r="C391">
        <v>250.53452965267721</v>
      </c>
      <c r="D391">
        <v>247.68980878155543</v>
      </c>
      <c r="E391">
        <v>248.73786464094201</v>
      </c>
      <c r="F391">
        <v>39708300</v>
      </c>
      <c r="G391" s="2" t="s">
        <v>12</v>
      </c>
      <c r="H391">
        <v>0.28265618791432079</v>
      </c>
      <c r="I391">
        <v>112.85795029123705</v>
      </c>
      <c r="J391">
        <v>269.69512939453125</v>
      </c>
      <c r="K391">
        <v>0.87326435189132656</v>
      </c>
      <c r="L391">
        <v>0</v>
      </c>
      <c r="M391" t="str">
        <f>VLOOKUP(fact_daily_prices[[#This Row],[Ticker]], dim_company[], 2, FALSE)</f>
        <v>Apple Inc.</v>
      </c>
      <c r="N391" t="str">
        <f>VLOOKUP(fact_daily_prices[[#This Row],[Ticker]], dim_company[], 3, FALSE)</f>
        <v>Technology</v>
      </c>
    </row>
    <row r="392" spans="1:14" x14ac:dyDescent="0.3">
      <c r="A392" s="1">
        <v>46045</v>
      </c>
      <c r="B392">
        <v>247.58001708984369</v>
      </c>
      <c r="C392">
        <v>248.94748685874609</v>
      </c>
      <c r="D392">
        <v>244.22624741136653</v>
      </c>
      <c r="E392">
        <v>246.86136630134169</v>
      </c>
      <c r="F392">
        <v>41689000</v>
      </c>
      <c r="G392" s="2" t="s">
        <v>12</v>
      </c>
      <c r="H392">
        <v>-0.12482700788882806</v>
      </c>
      <c r="I392">
        <v>112.71707308872382</v>
      </c>
      <c r="J392">
        <v>269.26812255859375</v>
      </c>
      <c r="K392">
        <v>0.8741815561476669</v>
      </c>
      <c r="L392">
        <v>0</v>
      </c>
      <c r="M392" t="str">
        <f>VLOOKUP(fact_daily_prices[[#This Row],[Ticker]], dim_company[], 2, FALSE)</f>
        <v>Apple Inc.</v>
      </c>
      <c r="N392" t="str">
        <f>VLOOKUP(fact_daily_prices[[#This Row],[Ticker]], dim_company[], 3, FALSE)</f>
        <v>Technology</v>
      </c>
    </row>
    <row r="393" spans="1:14" x14ac:dyDescent="0.3">
      <c r="A393" s="1">
        <v>46048</v>
      </c>
      <c r="B393">
        <v>254.93635559082031</v>
      </c>
      <c r="C393">
        <v>256.08421686766081</v>
      </c>
      <c r="D393">
        <v>249.336758511775</v>
      </c>
      <c r="E393">
        <v>251.01363570547159</v>
      </c>
      <c r="F393">
        <v>55969200</v>
      </c>
      <c r="G393" s="2" t="s">
        <v>12</v>
      </c>
      <c r="H393">
        <v>2.9712973556775824</v>
      </c>
      <c r="I393">
        <v>116.06623250080624</v>
      </c>
      <c r="J393">
        <v>268.87205841064451</v>
      </c>
      <c r="K393">
        <v>1.0540166309230949</v>
      </c>
      <c r="L393">
        <v>0</v>
      </c>
      <c r="M393" t="str">
        <f>VLOOKUP(fact_daily_prices[[#This Row],[Ticker]], dim_company[], 2, FALSE)</f>
        <v>Apple Inc.</v>
      </c>
      <c r="N393" t="str">
        <f>VLOOKUP(fact_daily_prices[[#This Row],[Ticker]], dim_company[], 3, FALSE)</f>
        <v>Technology</v>
      </c>
    </row>
    <row r="394" spans="1:14" x14ac:dyDescent="0.3">
      <c r="A394" s="1">
        <v>46049</v>
      </c>
      <c r="B394">
        <v>257.791015625</v>
      </c>
      <c r="C394">
        <v>261.46421404872183</v>
      </c>
      <c r="D394">
        <v>257.73112933459527</v>
      </c>
      <c r="E394">
        <v>258.68937090303496</v>
      </c>
      <c r="F394">
        <v>49648300</v>
      </c>
      <c r="G394" s="2" t="s">
        <v>12</v>
      </c>
      <c r="H394">
        <v>1.1197539980376536</v>
      </c>
      <c r="I394">
        <v>117.3658887796057</v>
      </c>
      <c r="J394">
        <v>268.56862152099609</v>
      </c>
      <c r="K394">
        <v>1.0848362883310632</v>
      </c>
      <c r="L394">
        <v>0</v>
      </c>
      <c r="M394" t="str">
        <f>VLOOKUP(fact_daily_prices[[#This Row],[Ticker]], dim_company[], 2, FALSE)</f>
        <v>Apple Inc.</v>
      </c>
      <c r="N394" t="str">
        <f>VLOOKUP(fact_daily_prices[[#This Row],[Ticker]], dim_company[], 3, FALSE)</f>
        <v>Technology</v>
      </c>
    </row>
    <row r="395" spans="1:14" x14ac:dyDescent="0.3">
      <c r="A395" s="1">
        <v>46050</v>
      </c>
      <c r="B395">
        <v>255.96446228027344</v>
      </c>
      <c r="C395">
        <v>258.37995759468771</v>
      </c>
      <c r="D395">
        <v>254.03803333601451</v>
      </c>
      <c r="E395">
        <v>257.17220993748055</v>
      </c>
      <c r="F395">
        <v>41288000</v>
      </c>
      <c r="G395" s="2" t="s">
        <v>12</v>
      </c>
      <c r="H395">
        <v>-0.70854034237701757</v>
      </c>
      <c r="I395">
        <v>116.53430410941283</v>
      </c>
      <c r="J395">
        <v>268.23903381347657</v>
      </c>
      <c r="K395">
        <v>1.086263411470286</v>
      </c>
      <c r="L395">
        <v>0</v>
      </c>
      <c r="M395" t="str">
        <f>VLOOKUP(fact_daily_prices[[#This Row],[Ticker]], dim_company[], 2, FALSE)</f>
        <v>Apple Inc.</v>
      </c>
      <c r="N395" t="str">
        <f>VLOOKUP(fact_daily_prices[[#This Row],[Ticker]], dim_company[], 3, FALSE)</f>
        <v>Technology</v>
      </c>
    </row>
    <row r="396" spans="1:14" x14ac:dyDescent="0.3">
      <c r="A396" s="1">
        <v>46051</v>
      </c>
      <c r="B396">
        <v>257.801025390625</v>
      </c>
      <c r="C396">
        <v>259.16847988830324</v>
      </c>
      <c r="D396">
        <v>253.93820707645816</v>
      </c>
      <c r="E396">
        <v>257.52154586161765</v>
      </c>
      <c r="F396">
        <v>67253000</v>
      </c>
      <c r="G396" s="2" t="s">
        <v>12</v>
      </c>
      <c r="H396">
        <v>0.71750706875104431</v>
      </c>
      <c r="I396">
        <v>117.37044597891773</v>
      </c>
      <c r="J396">
        <v>267.95695800781249</v>
      </c>
      <c r="K396">
        <v>1.0748724259669478</v>
      </c>
      <c r="L396">
        <v>0</v>
      </c>
      <c r="M396" t="str">
        <f>VLOOKUP(fact_daily_prices[[#This Row],[Ticker]], dim_company[], 2, FALSE)</f>
        <v>Apple Inc.</v>
      </c>
      <c r="N396" t="str">
        <f>VLOOKUP(fact_daily_prices[[#This Row],[Ticker]], dim_company[], 3, FALSE)</f>
        <v>Technology</v>
      </c>
    </row>
    <row r="397" spans="1:14" x14ac:dyDescent="0.3">
      <c r="A397" s="1">
        <v>46052</v>
      </c>
      <c r="B397">
        <v>258.99880981445313</v>
      </c>
      <c r="C397">
        <v>261.41430490835</v>
      </c>
      <c r="D397">
        <v>251.71232926102439</v>
      </c>
      <c r="E397">
        <v>254.69678984095319</v>
      </c>
      <c r="F397">
        <v>92443400</v>
      </c>
      <c r="G397" s="2" t="s">
        <v>12</v>
      </c>
      <c r="H397">
        <v>0.46461584937966816</v>
      </c>
      <c r="I397">
        <v>117.91576767342336</v>
      </c>
      <c r="J397">
        <v>267.79765441894529</v>
      </c>
      <c r="K397">
        <v>1.0794914018157356</v>
      </c>
      <c r="L397">
        <v>0</v>
      </c>
      <c r="M397" t="str">
        <f>VLOOKUP(fact_daily_prices[[#This Row],[Ticker]], dim_company[], 2, FALSE)</f>
        <v>Apple Inc.</v>
      </c>
      <c r="N397" t="str">
        <f>VLOOKUP(fact_daily_prices[[#This Row],[Ticker]], dim_company[], 3, FALSE)</f>
        <v>Technology</v>
      </c>
    </row>
    <row r="398" spans="1:14" x14ac:dyDescent="0.3">
      <c r="A398" s="1">
        <v>46055</v>
      </c>
      <c r="B398">
        <v>269.50930786132813</v>
      </c>
      <c r="C398">
        <v>269.98839826257682</v>
      </c>
      <c r="D398">
        <v>258.72931691843041</v>
      </c>
      <c r="E398">
        <v>259.54780363521269</v>
      </c>
      <c r="F398">
        <v>73913400</v>
      </c>
      <c r="G398" s="2" t="s">
        <v>12</v>
      </c>
      <c r="H398">
        <v>4.0581260023568211</v>
      </c>
      <c r="I398">
        <v>122.70093810225721</v>
      </c>
      <c r="J398">
        <v>267.84895935058591</v>
      </c>
      <c r="K398">
        <v>1.3162660393262737</v>
      </c>
      <c r="L398">
        <v>0</v>
      </c>
      <c r="M398" t="str">
        <f>VLOOKUP(fact_daily_prices[[#This Row],[Ticker]], dim_company[], 2, FALSE)</f>
        <v>Apple Inc.</v>
      </c>
      <c r="N398" t="str">
        <f>VLOOKUP(fact_daily_prices[[#This Row],[Ticker]], dim_company[], 3, FALSE)</f>
        <v>Technology</v>
      </c>
    </row>
    <row r="399" spans="1:14" x14ac:dyDescent="0.3">
      <c r="A399" s="1">
        <v>46056</v>
      </c>
      <c r="B399">
        <v>268.98028564453125</v>
      </c>
      <c r="C399">
        <v>271.37582897800041</v>
      </c>
      <c r="D399">
        <v>267.11372779647115</v>
      </c>
      <c r="E399">
        <v>268.70080609664296</v>
      </c>
      <c r="F399">
        <v>64394700</v>
      </c>
      <c r="G399" s="2" t="s">
        <v>12</v>
      </c>
      <c r="H399">
        <v>-0.19629088916998105</v>
      </c>
      <c r="I399">
        <v>122.46008733983638</v>
      </c>
      <c r="J399">
        <v>267.86732604980466</v>
      </c>
      <c r="K399">
        <v>1.3163866702539719</v>
      </c>
      <c r="L399">
        <v>0</v>
      </c>
      <c r="M399" t="str">
        <f>VLOOKUP(fact_daily_prices[[#This Row],[Ticker]], dim_company[], 2, FALSE)</f>
        <v>Apple Inc.</v>
      </c>
      <c r="N399" t="str">
        <f>VLOOKUP(fact_daily_prices[[#This Row],[Ticker]], dim_company[], 3, FALSE)</f>
        <v>Technology</v>
      </c>
    </row>
    <row r="400" spans="1:14" x14ac:dyDescent="0.3">
      <c r="A400" s="1">
        <v>46057</v>
      </c>
      <c r="B400">
        <v>275.97723388671875</v>
      </c>
      <c r="C400">
        <v>278.43269369826101</v>
      </c>
      <c r="D400">
        <v>271.7850411492978</v>
      </c>
      <c r="E400">
        <v>271.7850411492978</v>
      </c>
      <c r="F400">
        <v>46108400</v>
      </c>
      <c r="G400" s="2" t="s">
        <v>12</v>
      </c>
      <c r="H400">
        <v>2.601286642781786</v>
      </c>
      <c r="I400">
        <v>125.64562523454646</v>
      </c>
      <c r="J400">
        <v>268.07174560546878</v>
      </c>
      <c r="K400">
        <v>1.3981047782042308</v>
      </c>
      <c r="L400">
        <v>0</v>
      </c>
      <c r="M400" t="str">
        <f>VLOOKUP(fact_daily_prices[[#This Row],[Ticker]], dim_company[], 2, FALSE)</f>
        <v>Apple Inc.</v>
      </c>
      <c r="N400" t="str">
        <f>VLOOKUP(fact_daily_prices[[#This Row],[Ticker]], dim_company[], 3, FALSE)</f>
        <v>Technology</v>
      </c>
    </row>
    <row r="401" spans="1:14" x14ac:dyDescent="0.3">
      <c r="A401" s="1">
        <v>46058</v>
      </c>
      <c r="B401">
        <v>275.39834594726563</v>
      </c>
      <c r="C401">
        <v>278.98168486317746</v>
      </c>
      <c r="D401">
        <v>272.72332314901723</v>
      </c>
      <c r="E401">
        <v>277.61423031560219</v>
      </c>
      <c r="F401">
        <v>52977400</v>
      </c>
      <c r="G401" s="2" t="s">
        <v>12</v>
      </c>
      <c r="H401">
        <v>-0.20975930923734509</v>
      </c>
      <c r="I401">
        <v>125.38207183896752</v>
      </c>
      <c r="J401">
        <v>268.15998229980471</v>
      </c>
      <c r="K401">
        <v>1.3855042193404346</v>
      </c>
      <c r="L401">
        <v>0</v>
      </c>
      <c r="M401" t="str">
        <f>VLOOKUP(fact_daily_prices[[#This Row],[Ticker]], dim_company[], 2, FALSE)</f>
        <v>Apple Inc.</v>
      </c>
      <c r="N401" t="str">
        <f>VLOOKUP(fact_daily_prices[[#This Row],[Ticker]], dim_company[], 3, FALSE)</f>
        <v>Technology</v>
      </c>
    </row>
    <row r="402" spans="1:14" x14ac:dyDescent="0.3">
      <c r="A402" s="1">
        <v>46059</v>
      </c>
      <c r="B402">
        <v>277.60421752929688</v>
      </c>
      <c r="C402">
        <v>280.38905196267427</v>
      </c>
      <c r="D402">
        <v>276.41642196477682</v>
      </c>
      <c r="E402">
        <v>276.6060720438839</v>
      </c>
      <c r="F402">
        <v>50453400</v>
      </c>
      <c r="G402" s="2" t="s">
        <v>12</v>
      </c>
      <c r="H402">
        <v>0.80097488401533745</v>
      </c>
      <c r="I402">
        <v>126.38635074345569</v>
      </c>
      <c r="J402">
        <v>268.20390014648439</v>
      </c>
      <c r="K402">
        <v>1.3896747577355009</v>
      </c>
      <c r="L402">
        <v>0</v>
      </c>
      <c r="M402" t="str">
        <f>VLOOKUP(fact_daily_prices[[#This Row],[Ticker]], dim_company[], 2, FALSE)</f>
        <v>Apple Inc.</v>
      </c>
      <c r="N402" t="str">
        <f>VLOOKUP(fact_daily_prices[[#This Row],[Ticker]], dim_company[], 3, FALSE)</f>
        <v>Technology</v>
      </c>
    </row>
    <row r="403" spans="1:14" x14ac:dyDescent="0.3">
      <c r="A403" s="1">
        <v>46062</v>
      </c>
      <c r="B403">
        <v>274.36721801757813</v>
      </c>
      <c r="C403">
        <v>277.9439398399519</v>
      </c>
      <c r="D403">
        <v>271.4499228389202</v>
      </c>
      <c r="E403">
        <v>277.65419823669538</v>
      </c>
      <c r="F403">
        <v>44623400</v>
      </c>
      <c r="G403" s="2" t="s">
        <v>12</v>
      </c>
      <c r="H403">
        <v>-1.166048390953256</v>
      </c>
      <c r="I403">
        <v>124.91262473422711</v>
      </c>
      <c r="J403">
        <v>268.16211669921876</v>
      </c>
      <c r="K403">
        <v>1.4050810720233793</v>
      </c>
      <c r="L403">
        <v>0</v>
      </c>
      <c r="M403" t="str">
        <f>VLOOKUP(fact_daily_prices[[#This Row],[Ticker]], dim_company[], 2, FALSE)</f>
        <v>Apple Inc.</v>
      </c>
      <c r="N403" t="str">
        <f>VLOOKUP(fact_daily_prices[[#This Row],[Ticker]], dim_company[], 3, FALSE)</f>
        <v>Technology</v>
      </c>
    </row>
    <row r="404" spans="1:14" x14ac:dyDescent="0.3">
      <c r="A404" s="1">
        <v>46063</v>
      </c>
      <c r="B404">
        <v>273.42807006835938</v>
      </c>
      <c r="C404">
        <v>275.11651686144285</v>
      </c>
      <c r="D404">
        <v>272.68876099546605</v>
      </c>
      <c r="E404">
        <v>274.63697821501978</v>
      </c>
      <c r="F404">
        <v>34376900</v>
      </c>
      <c r="G404" s="2" t="s">
        <v>12</v>
      </c>
      <c r="H404">
        <v>-0.34229597690441649</v>
      </c>
      <c r="I404">
        <v>124.48505384511613</v>
      </c>
      <c r="J404">
        <v>268.08997253417971</v>
      </c>
      <c r="K404">
        <v>1.4063340150413235</v>
      </c>
      <c r="L404">
        <v>0</v>
      </c>
      <c r="M404" t="str">
        <f>VLOOKUP(fact_daily_prices[[#This Row],[Ticker]], dim_company[], 2, FALSE)</f>
        <v>Apple Inc.</v>
      </c>
      <c r="N404" t="str">
        <f>VLOOKUP(fact_daily_prices[[#This Row],[Ticker]], dim_company[], 3, FALSE)</f>
        <v>Technology</v>
      </c>
    </row>
    <row r="405" spans="1:14" x14ac:dyDescent="0.3">
      <c r="A405" s="1">
        <v>46064</v>
      </c>
      <c r="B405">
        <v>275.24639892578125</v>
      </c>
      <c r="C405">
        <v>279.92208361183503</v>
      </c>
      <c r="D405">
        <v>274.19737765924521</v>
      </c>
      <c r="E405">
        <v>274.44714753122867</v>
      </c>
      <c r="F405">
        <v>51931300</v>
      </c>
      <c r="G405" s="2" t="s">
        <v>12</v>
      </c>
      <c r="H405">
        <v>0.66501177328548433</v>
      </c>
      <c r="I405">
        <v>125.31289410916693</v>
      </c>
      <c r="J405">
        <v>268.02824279785159</v>
      </c>
      <c r="K405">
        <v>1.4112088857787961</v>
      </c>
      <c r="L405">
        <v>0</v>
      </c>
      <c r="M405" t="str">
        <f>VLOOKUP(fact_daily_prices[[#This Row],[Ticker]], dim_company[], 2, FALSE)</f>
        <v>Apple Inc.</v>
      </c>
      <c r="N405" t="str">
        <f>VLOOKUP(fact_daily_prices[[#This Row],[Ticker]], dim_company[], 3, FALSE)</f>
        <v>Technology</v>
      </c>
    </row>
    <row r="406" spans="1:14" x14ac:dyDescent="0.3">
      <c r="A406" s="1">
        <v>46065</v>
      </c>
      <c r="B406">
        <v>261.48910522460938</v>
      </c>
      <c r="C406">
        <v>275.46621856633783</v>
      </c>
      <c r="D406">
        <v>259.94051360693726</v>
      </c>
      <c r="E406">
        <v>275.33633334471818</v>
      </c>
      <c r="F406">
        <v>81077200</v>
      </c>
      <c r="G406" s="2" t="s">
        <v>12</v>
      </c>
      <c r="H406">
        <v>-4.9981739106717438</v>
      </c>
      <c r="I406">
        <v>119.04953772909484</v>
      </c>
      <c r="J406">
        <v>267.60652465820311</v>
      </c>
      <c r="K406">
        <v>1.6840323174599794</v>
      </c>
      <c r="L406">
        <v>0</v>
      </c>
      <c r="M406" t="str">
        <f>VLOOKUP(fact_daily_prices[[#This Row],[Ticker]], dim_company[], 2, FALSE)</f>
        <v>Apple Inc.</v>
      </c>
      <c r="N406" t="str">
        <f>VLOOKUP(fact_daily_prices[[#This Row],[Ticker]], dim_company[], 3, FALSE)</f>
        <v>Technology</v>
      </c>
    </row>
    <row r="407" spans="1:14" x14ac:dyDescent="0.3">
      <c r="A407" s="1">
        <v>46066</v>
      </c>
      <c r="B407">
        <v>255.5445556640625</v>
      </c>
      <c r="C407">
        <v>261.98863069471338</v>
      </c>
      <c r="D407">
        <v>255.21485759663088</v>
      </c>
      <c r="E407">
        <v>261.7688319830923</v>
      </c>
      <c r="F407">
        <v>56290700</v>
      </c>
      <c r="G407" s="2" t="s">
        <v>12</v>
      </c>
      <c r="H407">
        <v>-2.2733450234726726</v>
      </c>
      <c r="I407">
        <v>116.34313098766323</v>
      </c>
      <c r="J407">
        <v>267.00423034667966</v>
      </c>
      <c r="K407">
        <v>1.7285172277838603</v>
      </c>
      <c r="L407">
        <v>0</v>
      </c>
      <c r="M407" t="str">
        <f>VLOOKUP(fact_daily_prices[[#This Row],[Ticker]], dim_company[], 2, FALSE)</f>
        <v>Apple Inc.</v>
      </c>
      <c r="N407" t="str">
        <f>VLOOKUP(fact_daily_prices[[#This Row],[Ticker]], dim_company[], 3, FALSE)</f>
        <v>Technology</v>
      </c>
    </row>
    <row r="408" spans="1:14" x14ac:dyDescent="0.3">
      <c r="A408" s="1">
        <v>46070</v>
      </c>
      <c r="B408">
        <v>263.63711547851563</v>
      </c>
      <c r="C408">
        <v>266.04490084312988</v>
      </c>
      <c r="D408">
        <v>255.30478047881587</v>
      </c>
      <c r="E408">
        <v>257.81246465118431</v>
      </c>
      <c r="F408">
        <v>58469100</v>
      </c>
      <c r="G408" s="2" t="s">
        <v>12</v>
      </c>
      <c r="H408">
        <v>3.1667901487565153</v>
      </c>
      <c r="I408">
        <v>120.02747379853544</v>
      </c>
      <c r="J408">
        <v>266.60451171875002</v>
      </c>
      <c r="K408">
        <v>1.8332451908565734</v>
      </c>
      <c r="L408">
        <v>0</v>
      </c>
      <c r="M408" t="str">
        <f>VLOOKUP(fact_daily_prices[[#This Row],[Ticker]], dim_company[], 2, FALSE)</f>
        <v>Apple Inc.</v>
      </c>
      <c r="N408" t="str">
        <f>VLOOKUP(fact_daily_prices[[#This Row],[Ticker]], dim_company[], 3, FALSE)</f>
        <v>Technology</v>
      </c>
    </row>
    <row r="409" spans="1:14" x14ac:dyDescent="0.3">
      <c r="A409" s="1">
        <v>46071</v>
      </c>
      <c r="B409">
        <v>264.106689453125</v>
      </c>
      <c r="C409">
        <v>266.57441720150126</v>
      </c>
      <c r="D409">
        <v>262.20844437502524</v>
      </c>
      <c r="E409">
        <v>263.35737977838915</v>
      </c>
      <c r="F409">
        <v>34203300</v>
      </c>
      <c r="G409" s="2" t="s">
        <v>12</v>
      </c>
      <c r="H409">
        <v>0.17811375828364895</v>
      </c>
      <c r="I409">
        <v>120.24125924309092</v>
      </c>
      <c r="J409">
        <v>266.28305664062498</v>
      </c>
      <c r="K409">
        <v>1.8167369581042661</v>
      </c>
      <c r="L409">
        <v>0</v>
      </c>
      <c r="M409" t="str">
        <f>VLOOKUP(fact_daily_prices[[#This Row],[Ticker]], dim_company[], 2, FALSE)</f>
        <v>Apple Inc.</v>
      </c>
      <c r="N409" t="str">
        <f>VLOOKUP(fact_daily_prices[[#This Row],[Ticker]], dim_company[], 3, FALSE)</f>
        <v>Technology</v>
      </c>
    </row>
    <row r="410" spans="1:14" x14ac:dyDescent="0.3">
      <c r="A410" s="1">
        <v>46072</v>
      </c>
      <c r="B410">
        <v>260.34011840820313</v>
      </c>
      <c r="C410">
        <v>264.23655278563888</v>
      </c>
      <c r="D410">
        <v>259.81060750150084</v>
      </c>
      <c r="E410">
        <v>262.35827847824623</v>
      </c>
      <c r="F410">
        <v>30845300</v>
      </c>
      <c r="G410" s="2" t="s">
        <v>12</v>
      </c>
      <c r="H410">
        <v>-1.4261551090285374</v>
      </c>
      <c r="I410">
        <v>118.52643238123532</v>
      </c>
      <c r="J410">
        <v>265.92459899902343</v>
      </c>
      <c r="K410">
        <v>1.8041765663178198</v>
      </c>
      <c r="L410">
        <v>0</v>
      </c>
      <c r="M410" t="str">
        <f>VLOOKUP(fact_daily_prices[[#This Row],[Ticker]], dim_company[], 2, FALSE)</f>
        <v>Apple Inc.</v>
      </c>
      <c r="N410" t="str">
        <f>VLOOKUP(fact_daily_prices[[#This Row],[Ticker]], dim_company[], 3, FALSE)</f>
        <v>Technology</v>
      </c>
    </row>
    <row r="411" spans="1:14" x14ac:dyDescent="0.3">
      <c r="A411" s="1">
        <v>46073</v>
      </c>
      <c r="B411">
        <v>264.33645629882813</v>
      </c>
      <c r="C411">
        <v>264.5063132392292</v>
      </c>
      <c r="D411">
        <v>257.9223826043077</v>
      </c>
      <c r="E411">
        <v>258.73163460792017</v>
      </c>
      <c r="F411">
        <v>42070500</v>
      </c>
      <c r="G411" s="2" t="s">
        <v>12</v>
      </c>
      <c r="H411">
        <v>1.5350449692731916</v>
      </c>
      <c r="I411">
        <v>120.34586641876248</v>
      </c>
      <c r="J411">
        <v>265.66383483886716</v>
      </c>
      <c r="K411">
        <v>1.8193785972653858</v>
      </c>
      <c r="L411">
        <v>0</v>
      </c>
      <c r="M411" t="str">
        <f>VLOOKUP(fact_daily_prices[[#This Row],[Ticker]], dim_company[], 2, FALSE)</f>
        <v>Apple Inc.</v>
      </c>
      <c r="N411" t="str">
        <f>VLOOKUP(fact_daily_prices[[#This Row],[Ticker]], dim_company[], 3, FALSE)</f>
        <v>Technology</v>
      </c>
    </row>
    <row r="412" spans="1:14" x14ac:dyDescent="0.3">
      <c r="A412" s="1">
        <v>46076</v>
      </c>
      <c r="B412">
        <v>265.93496704101563</v>
      </c>
      <c r="C412">
        <v>269.1819753311392</v>
      </c>
      <c r="D412">
        <v>263.13755670993424</v>
      </c>
      <c r="E412">
        <v>263.24744081710827</v>
      </c>
      <c r="F412">
        <v>37308200</v>
      </c>
      <c r="G412" s="2" t="s">
        <v>12</v>
      </c>
      <c r="H412">
        <v>0.60472579702757212</v>
      </c>
      <c r="I412">
        <v>121.07362891865307</v>
      </c>
      <c r="J412">
        <v>265.44921508789065</v>
      </c>
      <c r="K412">
        <v>1.8186089265126868</v>
      </c>
      <c r="L412">
        <v>0</v>
      </c>
      <c r="M412" t="str">
        <f>VLOOKUP(fact_daily_prices[[#This Row],[Ticker]], dim_company[], 2, FALSE)</f>
        <v>Apple Inc.</v>
      </c>
      <c r="N412" t="str">
        <f>VLOOKUP(fact_daily_prices[[#This Row],[Ticker]], dim_company[], 3, FALSE)</f>
        <v>Technology</v>
      </c>
    </row>
    <row r="413" spans="1:14" x14ac:dyDescent="0.3">
      <c r="A413" s="1">
        <v>46077</v>
      </c>
      <c r="B413">
        <v>271.8895263671875</v>
      </c>
      <c r="C413">
        <v>274.63699515995461</v>
      </c>
      <c r="D413">
        <v>267.46358073991865</v>
      </c>
      <c r="E413">
        <v>267.61343657617186</v>
      </c>
      <c r="F413">
        <v>47014600</v>
      </c>
      <c r="G413" s="2" t="s">
        <v>12</v>
      </c>
      <c r="H413">
        <v>2.2391035644641288</v>
      </c>
      <c r="I413">
        <v>123.7845928593967</v>
      </c>
      <c r="J413">
        <v>265.32174560546878</v>
      </c>
      <c r="K413">
        <v>1.8597144198503202</v>
      </c>
      <c r="L413">
        <v>0</v>
      </c>
      <c r="M413" t="str">
        <f>VLOOKUP(fact_daily_prices[[#This Row],[Ticker]], dim_company[], 2, FALSE)</f>
        <v>Apple Inc.</v>
      </c>
      <c r="N413" t="str">
        <f>VLOOKUP(fact_daily_prices[[#This Row],[Ticker]], dim_company[], 3, FALSE)</f>
        <v>Technology</v>
      </c>
    </row>
    <row r="414" spans="1:14" x14ac:dyDescent="0.3">
      <c r="A414" s="1">
        <v>46078</v>
      </c>
      <c r="B414">
        <v>273.97760009765625</v>
      </c>
      <c r="C414">
        <v>274.68693805177918</v>
      </c>
      <c r="D414">
        <v>270.80050390881161</v>
      </c>
      <c r="E414">
        <v>271.5298429675081</v>
      </c>
      <c r="F414">
        <v>33714300</v>
      </c>
      <c r="G414" s="2" t="s">
        <v>12</v>
      </c>
      <c r="H414">
        <v>0.76798608551356118</v>
      </c>
      <c r="I414">
        <v>124.73524130856649</v>
      </c>
      <c r="J414">
        <v>265.25100952148438</v>
      </c>
      <c r="K414">
        <v>1.8626234560055155</v>
      </c>
      <c r="L414">
        <v>0</v>
      </c>
      <c r="M414" t="str">
        <f>VLOOKUP(fact_daily_prices[[#This Row],[Ticker]], dim_company[], 2, FALSE)</f>
        <v>Apple Inc.</v>
      </c>
      <c r="N414" t="str">
        <f>VLOOKUP(fact_daily_prices[[#This Row],[Ticker]], dim_company[], 3, FALSE)</f>
        <v>Technology</v>
      </c>
    </row>
    <row r="415" spans="1:14" x14ac:dyDescent="0.3">
      <c r="A415" s="1">
        <v>46079</v>
      </c>
      <c r="B415">
        <v>272.69876098632813</v>
      </c>
      <c r="C415">
        <v>275.85582536707682</v>
      </c>
      <c r="D415">
        <v>270.55071567552415</v>
      </c>
      <c r="E415">
        <v>274.6969199809464</v>
      </c>
      <c r="F415">
        <v>32345100</v>
      </c>
      <c r="G415" s="2" t="s">
        <v>12</v>
      </c>
      <c r="H415">
        <v>-0.46676776162442035</v>
      </c>
      <c r="I415">
        <v>124.15301741475369</v>
      </c>
      <c r="J415">
        <v>265.14970581054689</v>
      </c>
      <c r="K415">
        <v>1.8663648530100216</v>
      </c>
      <c r="L415">
        <v>0</v>
      </c>
      <c r="M415" t="str">
        <f>VLOOKUP(fact_daily_prices[[#This Row],[Ticker]], dim_company[], 2, FALSE)</f>
        <v>Apple Inc.</v>
      </c>
      <c r="N415" t="str">
        <f>VLOOKUP(fact_daily_prices[[#This Row],[Ticker]], dim_company[], 3, FALSE)</f>
        <v>Technology</v>
      </c>
    </row>
    <row r="416" spans="1:14" x14ac:dyDescent="0.3">
      <c r="A416" s="1">
        <v>46080</v>
      </c>
      <c r="B416">
        <v>263.93682861328125</v>
      </c>
      <c r="C416">
        <v>272.55889002155033</v>
      </c>
      <c r="D416">
        <v>262.6480379442022</v>
      </c>
      <c r="E416">
        <v>272.55889002155033</v>
      </c>
      <c r="F416">
        <v>72366500</v>
      </c>
      <c r="G416" s="2" t="s">
        <v>12</v>
      </c>
      <c r="H416">
        <v>-3.2130444382496348</v>
      </c>
      <c r="I416">
        <v>120.16392579378983</v>
      </c>
      <c r="J416">
        <v>264.95640930175779</v>
      </c>
      <c r="K416">
        <v>1.9638838942742076</v>
      </c>
      <c r="L416">
        <v>0</v>
      </c>
      <c r="M416" t="str">
        <f>VLOOKUP(fact_daily_prices[[#This Row],[Ticker]], dim_company[], 2, FALSE)</f>
        <v>Apple Inc.</v>
      </c>
      <c r="N416" t="str">
        <f>VLOOKUP(fact_daily_prices[[#This Row],[Ticker]], dim_company[], 3, FALSE)</f>
        <v>Technology</v>
      </c>
    </row>
    <row r="417" spans="1:14" x14ac:dyDescent="0.3">
      <c r="A417" s="1">
        <v>46083</v>
      </c>
      <c r="B417">
        <v>264.476318359375</v>
      </c>
      <c r="C417">
        <v>266.28464975983172</v>
      </c>
      <c r="D417">
        <v>259.96049013389802</v>
      </c>
      <c r="E417">
        <v>262.16844722421786</v>
      </c>
      <c r="F417">
        <v>41827900</v>
      </c>
      <c r="G417" s="2" t="s">
        <v>12</v>
      </c>
      <c r="H417">
        <v>0.20440108677830526</v>
      </c>
      <c r="I417">
        <v>120.40954216402781</v>
      </c>
      <c r="J417">
        <v>264.7639208984375</v>
      </c>
      <c r="K417">
        <v>1.9588763911104858</v>
      </c>
      <c r="L417">
        <v>0</v>
      </c>
      <c r="M417" t="str">
        <f>VLOOKUP(fact_daily_prices[[#This Row],[Ticker]], dim_company[], 2, FALSE)</f>
        <v>Apple Inc.</v>
      </c>
      <c r="N417" t="str">
        <f>VLOOKUP(fact_daily_prices[[#This Row],[Ticker]], dim_company[], 3, FALSE)</f>
        <v>Technology</v>
      </c>
    </row>
    <row r="418" spans="1:14" x14ac:dyDescent="0.3">
      <c r="A418" s="1">
        <v>46084</v>
      </c>
      <c r="B418">
        <v>263.50723266601563</v>
      </c>
      <c r="C418">
        <v>265.31556422164522</v>
      </c>
      <c r="D418">
        <v>259.89056955475661</v>
      </c>
      <c r="E418">
        <v>263.23749216234586</v>
      </c>
      <c r="F418">
        <v>38568900</v>
      </c>
      <c r="G418" s="2" t="s">
        <v>12</v>
      </c>
      <c r="H418">
        <v>-0.36641681167179918</v>
      </c>
      <c r="I418">
        <v>119.96834135868177</v>
      </c>
      <c r="J418">
        <v>264.60734802246094</v>
      </c>
      <c r="K418">
        <v>1.9491815901484817</v>
      </c>
      <c r="L418">
        <v>0</v>
      </c>
      <c r="M418" t="str">
        <f>VLOOKUP(fact_daily_prices[[#This Row],[Ticker]], dim_company[], 2, FALSE)</f>
        <v>Apple Inc.</v>
      </c>
      <c r="N418" t="str">
        <f>VLOOKUP(fact_daily_prices[[#This Row],[Ticker]], dim_company[], 3, FALSE)</f>
        <v>Technology</v>
      </c>
    </row>
    <row r="419" spans="1:14" x14ac:dyDescent="0.3">
      <c r="A419" s="1">
        <v>46085</v>
      </c>
      <c r="B419">
        <v>262.27835083007813</v>
      </c>
      <c r="C419">
        <v>265.90501445194661</v>
      </c>
      <c r="D419">
        <v>261.17938772362299</v>
      </c>
      <c r="E419">
        <v>264.40639513642992</v>
      </c>
      <c r="F419">
        <v>39803100</v>
      </c>
      <c r="G419" s="2" t="s">
        <v>12</v>
      </c>
      <c r="H419">
        <v>-0.46635601744375865</v>
      </c>
      <c r="I419">
        <v>119.4088617797281</v>
      </c>
      <c r="J419">
        <v>264.41921020507812</v>
      </c>
      <c r="K419">
        <v>1.8326386559733219</v>
      </c>
      <c r="L419">
        <v>0</v>
      </c>
      <c r="M419" t="str">
        <f>VLOOKUP(fact_daily_prices[[#This Row],[Ticker]], dim_company[], 2, FALSE)</f>
        <v>Apple Inc.</v>
      </c>
      <c r="N419" t="str">
        <f>VLOOKUP(fact_daily_prices[[#This Row],[Ticker]], dim_company[], 3, FALSE)</f>
        <v>Technology</v>
      </c>
    </row>
    <row r="420" spans="1:14" x14ac:dyDescent="0.3">
      <c r="A420" s="1">
        <v>46086</v>
      </c>
      <c r="B420">
        <v>260.0504150390625</v>
      </c>
      <c r="C420">
        <v>261.31923504466567</v>
      </c>
      <c r="D420">
        <v>257.01320478174762</v>
      </c>
      <c r="E420">
        <v>260.54995479568402</v>
      </c>
      <c r="F420">
        <v>49658600</v>
      </c>
      <c r="G420" s="2" t="s">
        <v>12</v>
      </c>
      <c r="H420">
        <v>-0.84945470488299035</v>
      </c>
      <c r="I420">
        <v>118.39453758529297</v>
      </c>
      <c r="J420">
        <v>264.15696838378904</v>
      </c>
      <c r="K420">
        <v>1.8427946716594916</v>
      </c>
      <c r="L420">
        <v>0</v>
      </c>
      <c r="M420" t="str">
        <f>VLOOKUP(fact_daily_prices[[#This Row],[Ticker]], dim_company[], 2, FALSE)</f>
        <v>Apple Inc.</v>
      </c>
      <c r="N420" t="str">
        <f>VLOOKUP(fact_daily_prices[[#This Row],[Ticker]], dim_company[], 3, FALSE)</f>
        <v>Technology</v>
      </c>
    </row>
    <row r="421" spans="1:14" x14ac:dyDescent="0.3">
      <c r="A421" s="1">
        <v>46087</v>
      </c>
      <c r="B421">
        <v>257.22299194335938</v>
      </c>
      <c r="C421">
        <v>258.53178361058343</v>
      </c>
      <c r="D421">
        <v>254.13584003818684</v>
      </c>
      <c r="E421">
        <v>258.39192833924307</v>
      </c>
      <c r="F421">
        <v>41120000</v>
      </c>
      <c r="G421" s="2" t="s">
        <v>12</v>
      </c>
      <c r="H421">
        <v>-1.0872595974432131</v>
      </c>
      <c r="I421">
        <v>117.10728161254835</v>
      </c>
      <c r="J421">
        <v>263.89207824707029</v>
      </c>
      <c r="K421">
        <v>1.857224896468775</v>
      </c>
      <c r="L421">
        <v>0</v>
      </c>
      <c r="M421" t="str">
        <f>VLOOKUP(fact_daily_prices[[#This Row],[Ticker]], dim_company[], 2, FALSE)</f>
        <v>Apple Inc.</v>
      </c>
      <c r="N421" t="str">
        <f>VLOOKUP(fact_daily_prices[[#This Row],[Ticker]], dim_company[], 3, FALSE)</f>
        <v>Technology</v>
      </c>
    </row>
    <row r="422" spans="1:14" x14ac:dyDescent="0.3">
      <c r="A422" s="1">
        <v>46090</v>
      </c>
      <c r="B422">
        <v>259.64077758789063</v>
      </c>
      <c r="C422">
        <v>260.90959753880043</v>
      </c>
      <c r="D422">
        <v>253.44647267699952</v>
      </c>
      <c r="E422">
        <v>255.45463216869047</v>
      </c>
      <c r="F422">
        <v>38218500</v>
      </c>
      <c r="G422" s="2" t="s">
        <v>12</v>
      </c>
      <c r="H422">
        <v>0.93995704904312749</v>
      </c>
      <c r="I422">
        <v>118.20803976100829</v>
      </c>
      <c r="J422">
        <v>263.64779541015628</v>
      </c>
      <c r="K422">
        <v>1.8621571720608707</v>
      </c>
      <c r="L422">
        <v>0</v>
      </c>
      <c r="M422" t="str">
        <f>VLOOKUP(fact_daily_prices[[#This Row],[Ticker]], dim_company[], 2, FALSE)</f>
        <v>Apple Inc.</v>
      </c>
      <c r="N422" t="str">
        <f>VLOOKUP(fact_daily_prices[[#This Row],[Ticker]], dim_company[], 3, FALSE)</f>
        <v>Technology</v>
      </c>
    </row>
    <row r="423" spans="1:14" x14ac:dyDescent="0.3">
      <c r="A423" s="1">
        <v>46091</v>
      </c>
      <c r="B423">
        <v>260.58990478515625</v>
      </c>
      <c r="C423">
        <v>262.23841042902171</v>
      </c>
      <c r="D423">
        <v>256.71350175461305</v>
      </c>
      <c r="E423">
        <v>257.41283914370348</v>
      </c>
      <c r="F423">
        <v>30590800</v>
      </c>
      <c r="G423" s="2" t="s">
        <v>12</v>
      </c>
      <c r="H423">
        <v>0.36555398041986376</v>
      </c>
      <c r="I423">
        <v>118.64015395553096</v>
      </c>
      <c r="J423">
        <v>263.39354919433595</v>
      </c>
      <c r="K423">
        <v>1.7864868385905441</v>
      </c>
      <c r="L423">
        <v>0</v>
      </c>
      <c r="M423" t="str">
        <f>VLOOKUP(fact_daily_prices[[#This Row],[Ticker]], dim_company[], 2, FALSE)</f>
        <v>Apple Inc.</v>
      </c>
      <c r="N423" t="str">
        <f>VLOOKUP(fact_daily_prices[[#This Row],[Ticker]], dim_company[], 3, FALSE)</f>
        <v>Technology</v>
      </c>
    </row>
    <row r="424" spans="1:14" x14ac:dyDescent="0.3">
      <c r="A424" s="1">
        <v>46092</v>
      </c>
      <c r="B424">
        <v>260.56991577148438</v>
      </c>
      <c r="C424">
        <v>261.88870799766102</v>
      </c>
      <c r="D424">
        <v>259.31106587472613</v>
      </c>
      <c r="E424">
        <v>260.84965680526551</v>
      </c>
      <c r="F424">
        <v>26218900</v>
      </c>
      <c r="G424" s="2" t="s">
        <v>12</v>
      </c>
      <c r="H424">
        <v>-7.6706784510105486E-3</v>
      </c>
      <c r="I424">
        <v>118.63105345080723</v>
      </c>
      <c r="J424">
        <v>263.14708801269529</v>
      </c>
      <c r="K424">
        <v>1.7758749173038617</v>
      </c>
      <c r="L424">
        <v>0</v>
      </c>
      <c r="M424" t="str">
        <f>VLOOKUP(fact_daily_prices[[#This Row],[Ticker]], dim_company[], 2, FALSE)</f>
        <v>Apple Inc.</v>
      </c>
      <c r="N424" t="str">
        <f>VLOOKUP(fact_daily_prices[[#This Row],[Ticker]], dim_company[], 3, FALSE)</f>
        <v>Technology</v>
      </c>
    </row>
    <row r="425" spans="1:14" x14ac:dyDescent="0.3">
      <c r="A425" s="1">
        <v>46093</v>
      </c>
      <c r="B425">
        <v>255.52456665039065</v>
      </c>
      <c r="C425">
        <v>258.71164792954545</v>
      </c>
      <c r="D425">
        <v>253.94601921584928</v>
      </c>
      <c r="E425">
        <v>258.42190633837532</v>
      </c>
      <c r="F425">
        <v>40794000</v>
      </c>
      <c r="G425" s="2" t="s">
        <v>12</v>
      </c>
      <c r="H425">
        <v>-1.9362746102732808</v>
      </c>
      <c r="I425">
        <v>116.33403048293954</v>
      </c>
      <c r="J425">
        <v>262.79253234863279</v>
      </c>
      <c r="K425">
        <v>1.8078417974140577</v>
      </c>
      <c r="L425">
        <v>0</v>
      </c>
      <c r="M425" t="str">
        <f>VLOOKUP(fact_daily_prices[[#This Row],[Ticker]], dim_company[], 2, FALSE)</f>
        <v>Apple Inc.</v>
      </c>
      <c r="N425" t="str">
        <f>VLOOKUP(fact_daily_prices[[#This Row],[Ticker]], dim_company[], 3, FALSE)</f>
        <v>Technology</v>
      </c>
    </row>
    <row r="426" spans="1:14" x14ac:dyDescent="0.3">
      <c r="A426" s="1">
        <v>46094</v>
      </c>
      <c r="B426">
        <v>249.8897705078125</v>
      </c>
      <c r="C426">
        <v>256.09404593504451</v>
      </c>
      <c r="D426">
        <v>249.29033192864068</v>
      </c>
      <c r="E426">
        <v>255.24483747003171</v>
      </c>
      <c r="F426">
        <v>36930000</v>
      </c>
      <c r="G426" s="2" t="s">
        <v>12</v>
      </c>
      <c r="H426">
        <v>-2.2051876328148534</v>
      </c>
      <c r="I426">
        <v>113.7686468299747</v>
      </c>
      <c r="J426">
        <v>262.33885620117189</v>
      </c>
      <c r="K426">
        <v>1.8467396796178039</v>
      </c>
      <c r="L426">
        <v>0</v>
      </c>
      <c r="M426" t="str">
        <f>VLOOKUP(fact_daily_prices[[#This Row],[Ticker]], dim_company[], 2, FALSE)</f>
        <v>Apple Inc.</v>
      </c>
      <c r="N426" t="str">
        <f>VLOOKUP(fact_daily_prices[[#This Row],[Ticker]], dim_company[], 3, FALSE)</f>
        <v>Technology</v>
      </c>
    </row>
    <row r="427" spans="1:14" x14ac:dyDescent="0.3">
      <c r="A427" s="1">
        <v>46097</v>
      </c>
      <c r="B427">
        <v>252.58729553222656</v>
      </c>
      <c r="C427">
        <v>253.65630270815481</v>
      </c>
      <c r="D427">
        <v>249.64999925812029</v>
      </c>
      <c r="E427">
        <v>251.87794235419489</v>
      </c>
      <c r="F427">
        <v>32074200</v>
      </c>
      <c r="G427" s="2" t="s">
        <v>12</v>
      </c>
      <c r="H427">
        <v>1.0794859745288043</v>
      </c>
      <c r="I427">
        <v>114.99676341591547</v>
      </c>
      <c r="J427">
        <v>261.96348541259766</v>
      </c>
      <c r="K427">
        <v>1.8564625640104686</v>
      </c>
      <c r="L427">
        <v>0</v>
      </c>
      <c r="M427" t="str">
        <f>VLOOKUP(fact_daily_prices[[#This Row],[Ticker]], dim_company[], 2, FALSE)</f>
        <v>Apple Inc.</v>
      </c>
      <c r="N427" t="str">
        <f>VLOOKUP(fact_daily_prices[[#This Row],[Ticker]], dim_company[], 3, FALSE)</f>
        <v>Technology</v>
      </c>
    </row>
    <row r="428" spans="1:14" x14ac:dyDescent="0.3">
      <c r="A428" s="1">
        <v>46098</v>
      </c>
      <c r="B428">
        <v>253.99598693847656</v>
      </c>
      <c r="C428">
        <v>254.89516767044785</v>
      </c>
      <c r="D428">
        <v>251.94787083452104</v>
      </c>
      <c r="E428">
        <v>252.72716690012703</v>
      </c>
      <c r="F428">
        <v>32361600</v>
      </c>
      <c r="G428" s="2" t="s">
        <v>12</v>
      </c>
      <c r="H428">
        <v>0.55770477421746012</v>
      </c>
      <c r="I428">
        <v>115.6381058556816</v>
      </c>
      <c r="J428">
        <v>261.63325683593752</v>
      </c>
      <c r="K428">
        <v>1.6908854909220992</v>
      </c>
      <c r="L428">
        <v>0</v>
      </c>
      <c r="M428" t="str">
        <f>VLOOKUP(fact_daily_prices[[#This Row],[Ticker]], dim_company[], 2, FALSE)</f>
        <v>Apple Inc.</v>
      </c>
      <c r="N428" t="str">
        <f>VLOOKUP(fact_daily_prices[[#This Row],[Ticker]], dim_company[], 3, FALSE)</f>
        <v>Technology</v>
      </c>
    </row>
    <row r="429" spans="1:14" x14ac:dyDescent="0.3">
      <c r="A429" s="1">
        <v>46099</v>
      </c>
      <c r="B429">
        <v>249.70994567871091</v>
      </c>
      <c r="C429">
        <v>254.70534343896443</v>
      </c>
      <c r="D429">
        <v>248.77080846062421</v>
      </c>
      <c r="E429">
        <v>252.39747211288639</v>
      </c>
      <c r="F429">
        <v>35757900</v>
      </c>
      <c r="G429" s="2" t="s">
        <v>12</v>
      </c>
      <c r="H429">
        <v>-1.6874444795081822</v>
      </c>
      <c r="I429">
        <v>113.68677702221206</v>
      </c>
      <c r="J429">
        <v>261.29216827392577</v>
      </c>
      <c r="K429">
        <v>1.7130467872833248</v>
      </c>
      <c r="L429">
        <v>0</v>
      </c>
      <c r="M429" t="str">
        <f>VLOOKUP(fact_daily_prices[[#This Row],[Ticker]], dim_company[], 2, FALSE)</f>
        <v>Apple Inc.</v>
      </c>
      <c r="N429" t="str">
        <f>VLOOKUP(fact_daily_prices[[#This Row],[Ticker]], dim_company[], 3, FALSE)</f>
        <v>Technology</v>
      </c>
    </row>
    <row r="430" spans="1:14" x14ac:dyDescent="0.3">
      <c r="A430" s="1">
        <v>46100</v>
      </c>
      <c r="B430">
        <v>248.73085021972656</v>
      </c>
      <c r="C430">
        <v>251.5982036354298</v>
      </c>
      <c r="D430">
        <v>247.0723745163624</v>
      </c>
      <c r="E430">
        <v>249.17043241392184</v>
      </c>
      <c r="F430">
        <v>34864100</v>
      </c>
      <c r="G430" s="2" t="s">
        <v>12</v>
      </c>
      <c r="H430">
        <v>-0.3920930967820202</v>
      </c>
      <c r="I430">
        <v>113.24101901755401</v>
      </c>
      <c r="J430">
        <v>261.02931640625002</v>
      </c>
      <c r="K430">
        <v>1.6272856778117357</v>
      </c>
      <c r="L430">
        <v>0</v>
      </c>
      <c r="M430" t="str">
        <f>VLOOKUP(fact_daily_prices[[#This Row],[Ticker]], dim_company[], 2, FALSE)</f>
        <v>Apple Inc.</v>
      </c>
      <c r="N430" t="str">
        <f>VLOOKUP(fact_daily_prices[[#This Row],[Ticker]], dim_company[], 3, FALSE)</f>
        <v>Technology</v>
      </c>
    </row>
    <row r="431" spans="1:14" x14ac:dyDescent="0.3">
      <c r="A431" s="1">
        <v>46101</v>
      </c>
      <c r="B431">
        <v>247.76173400878903</v>
      </c>
      <c r="C431">
        <v>248.97061168291063</v>
      </c>
      <c r="D431">
        <v>245.77356028907465</v>
      </c>
      <c r="E431">
        <v>247.7517334570195</v>
      </c>
      <c r="F431">
        <v>88331100</v>
      </c>
      <c r="G431" s="2" t="s">
        <v>12</v>
      </c>
      <c r="H431">
        <v>-0.38962445152317393</v>
      </c>
      <c r="I431">
        <v>112.79980431830762</v>
      </c>
      <c r="J431">
        <v>260.78760711669923</v>
      </c>
      <c r="K431">
        <v>1.6271474360753391</v>
      </c>
      <c r="L431">
        <v>1</v>
      </c>
      <c r="M431" t="str">
        <f>VLOOKUP(fact_daily_prices[[#This Row],[Ticker]], dim_company[], 2, FALSE)</f>
        <v>Apple Inc.</v>
      </c>
      <c r="N431" t="str">
        <f>VLOOKUP(fact_daily_prices[[#This Row],[Ticker]], dim_company[], 3, FALSE)</f>
        <v>Technology</v>
      </c>
    </row>
    <row r="432" spans="1:14" x14ac:dyDescent="0.3">
      <c r="A432" s="1">
        <v>46104</v>
      </c>
      <c r="B432">
        <v>251.25851440429688</v>
      </c>
      <c r="C432">
        <v>254.3656523266213</v>
      </c>
      <c r="D432">
        <v>250.04962147533411</v>
      </c>
      <c r="E432">
        <v>253.73622734962268</v>
      </c>
      <c r="F432">
        <v>40546100</v>
      </c>
      <c r="G432" s="2" t="s">
        <v>12</v>
      </c>
      <c r="H432">
        <v>1.4113480475494988</v>
      </c>
      <c r="I432">
        <v>114.39180215419371</v>
      </c>
      <c r="J432">
        <v>260.64158477783201</v>
      </c>
      <c r="K432">
        <v>1.6456039779665772</v>
      </c>
      <c r="L432">
        <v>0</v>
      </c>
      <c r="M432" t="str">
        <f>VLOOKUP(fact_daily_prices[[#This Row],[Ticker]], dim_company[], 2, FALSE)</f>
        <v>Apple Inc.</v>
      </c>
      <c r="N432" t="str">
        <f>VLOOKUP(fact_daily_prices[[#This Row],[Ticker]], dim_company[], 3, FALSE)</f>
        <v>Technology</v>
      </c>
    </row>
    <row r="433" spans="1:14" x14ac:dyDescent="0.3">
      <c r="A433" s="1">
        <v>46105</v>
      </c>
      <c r="B433">
        <v>251.40837097167969</v>
      </c>
      <c r="C433">
        <v>254.5954370944537</v>
      </c>
      <c r="D433">
        <v>249.32029842391177</v>
      </c>
      <c r="E433">
        <v>250.1195650925759</v>
      </c>
      <c r="F433">
        <v>45152300</v>
      </c>
      <c r="G433" s="2" t="s">
        <v>12</v>
      </c>
      <c r="H433">
        <v>5.9642383756863815E-2</v>
      </c>
      <c r="I433">
        <v>114.46002815182092</v>
      </c>
      <c r="J433">
        <v>260.49197204589842</v>
      </c>
      <c r="K433">
        <v>1.6390410768335972</v>
      </c>
      <c r="L433">
        <v>0</v>
      </c>
      <c r="M433" t="str">
        <f>VLOOKUP(fact_daily_prices[[#This Row],[Ticker]], dim_company[], 2, FALSE)</f>
        <v>Apple Inc.</v>
      </c>
      <c r="N433" t="str">
        <f>VLOOKUP(fact_daily_prices[[#This Row],[Ticker]], dim_company[], 3, FALSE)</f>
        <v>Technology</v>
      </c>
    </row>
    <row r="434" spans="1:14" x14ac:dyDescent="0.3">
      <c r="A434" s="1">
        <v>46106</v>
      </c>
      <c r="B434">
        <v>252.38746643066409</v>
      </c>
      <c r="C434">
        <v>254.76528059453105</v>
      </c>
      <c r="D434">
        <v>251.36841628450151</v>
      </c>
      <c r="E434">
        <v>253.86611511385965</v>
      </c>
      <c r="F434">
        <v>28476700</v>
      </c>
      <c r="G434" s="2" t="s">
        <v>12</v>
      </c>
      <c r="H434">
        <v>0.38944425565474727</v>
      </c>
      <c r="I434">
        <v>114.905786156479</v>
      </c>
      <c r="J434">
        <v>260.34437347412108</v>
      </c>
      <c r="K434">
        <v>1.6434861734682797</v>
      </c>
      <c r="L434">
        <v>0</v>
      </c>
      <c r="M434" t="str">
        <f>VLOOKUP(fact_daily_prices[[#This Row],[Ticker]], dim_company[], 2, FALSE)</f>
        <v>Apple Inc.</v>
      </c>
      <c r="N434" t="str">
        <f>VLOOKUP(fact_daily_prices[[#This Row],[Ticker]], dim_company[], 3, FALSE)</f>
        <v>Technology</v>
      </c>
    </row>
    <row r="435" spans="1:14" x14ac:dyDescent="0.3">
      <c r="A435" s="1">
        <v>46107</v>
      </c>
      <c r="B435">
        <v>252.6572265625</v>
      </c>
      <c r="C435">
        <v>256.76344411909719</v>
      </c>
      <c r="D435">
        <v>250.53918279672283</v>
      </c>
      <c r="E435">
        <v>251.88793104116343</v>
      </c>
      <c r="F435">
        <v>41796700</v>
      </c>
      <c r="G435" s="2" t="s">
        <v>12</v>
      </c>
      <c r="H435">
        <v>0.10688333127271132</v>
      </c>
      <c r="I435">
        <v>115.02860128854815</v>
      </c>
      <c r="J435">
        <v>260.18620025634766</v>
      </c>
      <c r="K435">
        <v>1.6358730293762875</v>
      </c>
      <c r="L435">
        <v>0</v>
      </c>
      <c r="M435" t="str">
        <f>VLOOKUP(fact_daily_prices[[#This Row],[Ticker]], dim_company[], 2, FALSE)</f>
        <v>Apple Inc.</v>
      </c>
      <c r="N435" t="str">
        <f>VLOOKUP(fact_daily_prices[[#This Row],[Ticker]], dim_company[], 3, FALSE)</f>
        <v>Technology</v>
      </c>
    </row>
    <row r="436" spans="1:14" x14ac:dyDescent="0.3">
      <c r="A436" s="1">
        <v>46108</v>
      </c>
      <c r="B436">
        <v>248.57098388671875</v>
      </c>
      <c r="C436">
        <v>255.2548282141602</v>
      </c>
      <c r="D436">
        <v>247.8416601166152</v>
      </c>
      <c r="E436">
        <v>253.666280215245</v>
      </c>
      <c r="F436">
        <v>47900000</v>
      </c>
      <c r="G436" s="2" t="s">
        <v>12</v>
      </c>
      <c r="H436">
        <v>-1.6173068672430957</v>
      </c>
      <c r="I436">
        <v>113.1682358206148</v>
      </c>
      <c r="J436">
        <v>259.96806182861326</v>
      </c>
      <c r="K436">
        <v>1.3982532430920751</v>
      </c>
      <c r="L436">
        <v>0</v>
      </c>
      <c r="M436" t="str">
        <f>VLOOKUP(fact_daily_prices[[#This Row],[Ticker]], dim_company[], 2, FALSE)</f>
        <v>Apple Inc.</v>
      </c>
      <c r="N436" t="str">
        <f>VLOOKUP(fact_daily_prices[[#This Row],[Ticker]], dim_company[], 3, FALSE)</f>
        <v>Technology</v>
      </c>
    </row>
    <row r="437" spans="1:14" x14ac:dyDescent="0.3">
      <c r="A437" s="1">
        <v>46111</v>
      </c>
      <c r="B437">
        <v>246.40298461914065</v>
      </c>
      <c r="C437">
        <v>250.63907198816293</v>
      </c>
      <c r="D437">
        <v>245.28400520065441</v>
      </c>
      <c r="E437">
        <v>249.83982057534303</v>
      </c>
      <c r="F437">
        <v>39446200</v>
      </c>
      <c r="G437" s="2" t="s">
        <v>12</v>
      </c>
      <c r="H437">
        <v>-0.87218517369915816</v>
      </c>
      <c r="I437">
        <v>112.18119924645048</v>
      </c>
      <c r="J437">
        <v>259.74149871826171</v>
      </c>
      <c r="K437">
        <v>1.3476896690063036</v>
      </c>
      <c r="L437">
        <v>0</v>
      </c>
      <c r="M437" t="str">
        <f>VLOOKUP(fact_daily_prices[[#This Row],[Ticker]], dim_company[], 2, FALSE)</f>
        <v>Apple Inc.</v>
      </c>
      <c r="N437" t="str">
        <f>VLOOKUP(fact_daily_prices[[#This Row],[Ticker]], dim_company[], 3, FALSE)</f>
        <v>Technology</v>
      </c>
    </row>
    <row r="438" spans="1:14" x14ac:dyDescent="0.3">
      <c r="A438" s="1">
        <v>46112</v>
      </c>
      <c r="B438">
        <v>253.55638122558599</v>
      </c>
      <c r="C438">
        <v>255.24482803058763</v>
      </c>
      <c r="D438">
        <v>246.87255213324849</v>
      </c>
      <c r="E438">
        <v>247.68180409428641</v>
      </c>
      <c r="F438">
        <v>49598100</v>
      </c>
      <c r="G438" s="2" t="s">
        <v>12</v>
      </c>
      <c r="H438">
        <v>2.9031290418426448</v>
      </c>
      <c r="I438">
        <v>115.43796422126154</v>
      </c>
      <c r="J438">
        <v>259.71150360107424</v>
      </c>
      <c r="K438">
        <v>1.3262557761623828</v>
      </c>
      <c r="L438">
        <v>0</v>
      </c>
      <c r="M438" t="str">
        <f>VLOOKUP(fact_daily_prices[[#This Row],[Ticker]], dim_company[], 2, FALSE)</f>
        <v>Apple Inc.</v>
      </c>
      <c r="N438" t="str">
        <f>VLOOKUP(fact_daily_prices[[#This Row],[Ticker]], dim_company[], 3, FALSE)</f>
        <v>Technology</v>
      </c>
    </row>
    <row r="439" spans="1:14" x14ac:dyDescent="0.3">
      <c r="A439" s="1">
        <v>46113</v>
      </c>
      <c r="B439">
        <v>255.39469909667969</v>
      </c>
      <c r="C439">
        <v>255.9441806293992</v>
      </c>
      <c r="D439">
        <v>253.09681318303501</v>
      </c>
      <c r="E439">
        <v>253.84612281282719</v>
      </c>
      <c r="F439">
        <v>40059400</v>
      </c>
      <c r="G439" s="2" t="s">
        <v>12</v>
      </c>
      <c r="H439">
        <v>0.7250134515282225</v>
      </c>
      <c r="I439">
        <v>116.27490499003603</v>
      </c>
      <c r="J439">
        <v>259.89454742431639</v>
      </c>
      <c r="K439">
        <v>1.3342486924773036</v>
      </c>
      <c r="L439">
        <v>0</v>
      </c>
      <c r="M439" t="str">
        <f>VLOOKUP(fact_daily_prices[[#This Row],[Ticker]], dim_company[], 2, FALSE)</f>
        <v>Apple Inc.</v>
      </c>
      <c r="N439" t="str">
        <f>VLOOKUP(fact_daily_prices[[#This Row],[Ticker]], dim_company[], 3, FALSE)</f>
        <v>Technology</v>
      </c>
    </row>
    <row r="440" spans="1:14" x14ac:dyDescent="0.3">
      <c r="A440" s="1">
        <v>46114</v>
      </c>
      <c r="B440">
        <v>255.68443298339844</v>
      </c>
      <c r="C440">
        <v>255.89424639361263</v>
      </c>
      <c r="D440">
        <v>250.4192795609811</v>
      </c>
      <c r="E440">
        <v>253.96601496217011</v>
      </c>
      <c r="F440">
        <v>31289400</v>
      </c>
      <c r="G440" s="2" t="s">
        <v>12</v>
      </c>
      <c r="H440">
        <v>0.11344553655323608</v>
      </c>
      <c r="I440">
        <v>116.40681367987875</v>
      </c>
      <c r="J440">
        <v>260.06442108154295</v>
      </c>
      <c r="K440">
        <v>1.3110124589735488</v>
      </c>
      <c r="L440">
        <v>0</v>
      </c>
      <c r="M440" t="str">
        <f>VLOOKUP(fact_daily_prices[[#This Row],[Ticker]], dim_company[], 2, FALSE)</f>
        <v>Apple Inc.</v>
      </c>
      <c r="N440" t="str">
        <f>VLOOKUP(fact_daily_prices[[#This Row],[Ticker]], dim_company[], 3, FALSE)</f>
        <v>Technology</v>
      </c>
    </row>
    <row r="441" spans="1:14" x14ac:dyDescent="0.3">
      <c r="A441" s="1">
        <v>46118</v>
      </c>
      <c r="B441">
        <v>258.6217041015625</v>
      </c>
      <c r="C441">
        <v>261.91868473717869</v>
      </c>
      <c r="D441">
        <v>256.22391940533311</v>
      </c>
      <c r="E441">
        <v>256.27389167390282</v>
      </c>
      <c r="F441">
        <v>29329900</v>
      </c>
      <c r="G441" s="2" t="s">
        <v>12</v>
      </c>
      <c r="H441">
        <v>1.1487876222620041</v>
      </c>
      <c r="I441">
        <v>117.7440807469028</v>
      </c>
      <c r="J441">
        <v>260.27906616210936</v>
      </c>
      <c r="K441">
        <v>1.2967095133260869</v>
      </c>
      <c r="L441">
        <v>0</v>
      </c>
      <c r="M441" t="str">
        <f>VLOOKUP(fact_daily_prices[[#This Row],[Ticker]], dim_company[], 2, FALSE)</f>
        <v>Apple Inc.</v>
      </c>
      <c r="N441" t="str">
        <f>VLOOKUP(fact_daily_prices[[#This Row],[Ticker]], dim_company[], 3, FALSE)</f>
        <v>Technology</v>
      </c>
    </row>
    <row r="442" spans="1:14" x14ac:dyDescent="0.3">
      <c r="A442" s="1">
        <v>46119</v>
      </c>
      <c r="B442">
        <v>253.26666259765625</v>
      </c>
      <c r="C442">
        <v>255.96418954301225</v>
      </c>
      <c r="D442">
        <v>245.47383916108728</v>
      </c>
      <c r="E442">
        <v>255.92421782448065</v>
      </c>
      <c r="F442">
        <v>62148000</v>
      </c>
      <c r="G442" s="2" t="s">
        <v>12</v>
      </c>
      <c r="H442">
        <v>-2.0706079261635701</v>
      </c>
      <c r="I442">
        <v>115.30606247836899</v>
      </c>
      <c r="J442">
        <v>260.39279907226563</v>
      </c>
      <c r="K442">
        <v>1.3403455603146943</v>
      </c>
      <c r="L442">
        <v>0</v>
      </c>
      <c r="M442" t="str">
        <f>VLOOKUP(fact_daily_prices[[#This Row],[Ticker]], dim_company[], 2, FALSE)</f>
        <v>Apple Inc.</v>
      </c>
      <c r="N442" t="str">
        <f>VLOOKUP(fact_daily_prices[[#This Row],[Ticker]], dim_company[], 3, FALSE)</f>
        <v>Technology</v>
      </c>
    </row>
    <row r="443" spans="1:14" x14ac:dyDescent="0.3">
      <c r="A443" s="1">
        <v>46120</v>
      </c>
      <c r="B443">
        <v>258.66168212890625</v>
      </c>
      <c r="C443">
        <v>259.51090582044134</v>
      </c>
      <c r="D443">
        <v>256.29386854025813</v>
      </c>
      <c r="E443">
        <v>258.2121146377317</v>
      </c>
      <c r="F443">
        <v>41032800</v>
      </c>
      <c r="G443" s="2" t="s">
        <v>12</v>
      </c>
      <c r="H443">
        <v>2.1301735790709264</v>
      </c>
      <c r="I443">
        <v>117.76228175635022</v>
      </c>
      <c r="J443">
        <v>260.46730560302734</v>
      </c>
      <c r="K443">
        <v>1.3337708999985036</v>
      </c>
      <c r="L443">
        <v>0</v>
      </c>
      <c r="M443" t="str">
        <f>VLOOKUP(fact_daily_prices[[#This Row],[Ticker]], dim_company[], 2, FALSE)</f>
        <v>Apple Inc.</v>
      </c>
      <c r="N443" t="str">
        <f>VLOOKUP(fact_daily_prices[[#This Row],[Ticker]], dim_company[], 3, FALSE)</f>
        <v>Technology</v>
      </c>
    </row>
    <row r="444" spans="1:14" x14ac:dyDescent="0.3">
      <c r="A444" s="1">
        <v>46121</v>
      </c>
      <c r="B444">
        <v>260.25021362304688</v>
      </c>
      <c r="C444">
        <v>260.87963859706599</v>
      </c>
      <c r="D444">
        <v>255.83429923208161</v>
      </c>
      <c r="E444">
        <v>258.76159489937362</v>
      </c>
      <c r="F444">
        <v>28121600</v>
      </c>
      <c r="G444" s="2" t="s">
        <v>12</v>
      </c>
      <c r="H444">
        <v>0.61413483476417952</v>
      </c>
      <c r="I444">
        <v>118.48550095082912</v>
      </c>
      <c r="J444">
        <v>260.51648956298828</v>
      </c>
      <c r="K444">
        <v>1.3303811885736769</v>
      </c>
      <c r="L444">
        <v>0</v>
      </c>
      <c r="M444" t="str">
        <f>VLOOKUP(fact_daily_prices[[#This Row],[Ticker]], dim_company[], 2, FALSE)</f>
        <v>Apple Inc.</v>
      </c>
      <c r="N444" t="str">
        <f>VLOOKUP(fact_daily_prices[[#This Row],[Ticker]], dim_company[], 3, FALSE)</f>
        <v>Technology</v>
      </c>
    </row>
    <row r="445" spans="1:14" x14ac:dyDescent="0.3">
      <c r="A445" s="1">
        <v>46122</v>
      </c>
      <c r="B445">
        <v>260.240234375</v>
      </c>
      <c r="C445">
        <v>261.94865175168746</v>
      </c>
      <c r="D445">
        <v>258.78155637925681</v>
      </c>
      <c r="E445">
        <v>259.74069463413929</v>
      </c>
      <c r="F445">
        <v>31291500</v>
      </c>
      <c r="G445" s="2" t="s">
        <v>12</v>
      </c>
      <c r="H445">
        <v>-3.8344821731151058E-3</v>
      </c>
      <c r="I445">
        <v>118.48095764541742</v>
      </c>
      <c r="J445">
        <v>260.60200500488281</v>
      </c>
      <c r="K445">
        <v>1.3294161562164351</v>
      </c>
      <c r="L445">
        <v>0</v>
      </c>
      <c r="M445" t="str">
        <f>VLOOKUP(fact_daily_prices[[#This Row],[Ticker]], dim_company[], 2, FALSE)</f>
        <v>Apple Inc.</v>
      </c>
      <c r="N445" t="str">
        <f>VLOOKUP(fact_daily_prices[[#This Row],[Ticker]], dim_company[], 3, FALSE)</f>
        <v>Technology</v>
      </c>
    </row>
    <row r="446" spans="1:14" x14ac:dyDescent="0.3">
      <c r="A446" s="1">
        <v>46125</v>
      </c>
      <c r="B446">
        <v>258.96142578125</v>
      </c>
      <c r="C446">
        <v>259.9405042051452</v>
      </c>
      <c r="D446">
        <v>256.42375524378048</v>
      </c>
      <c r="E446">
        <v>259.49093671136296</v>
      </c>
      <c r="F446">
        <v>36234700</v>
      </c>
      <c r="G446" s="2" t="s">
        <v>12</v>
      </c>
      <c r="H446">
        <v>-0.49139542039732254</v>
      </c>
      <c r="I446">
        <v>117.89874764550497</v>
      </c>
      <c r="J446">
        <v>260.62521301269533</v>
      </c>
      <c r="K446">
        <v>1.1994994025503973</v>
      </c>
      <c r="L446">
        <v>0</v>
      </c>
      <c r="M446" t="str">
        <f>VLOOKUP(fact_daily_prices[[#This Row],[Ticker]], dim_company[], 2, FALSE)</f>
        <v>Apple Inc.</v>
      </c>
      <c r="N446" t="str">
        <f>VLOOKUP(fact_daily_prices[[#This Row],[Ticker]], dim_company[], 3, FALSE)</f>
        <v>Technology</v>
      </c>
    </row>
    <row r="447" spans="1:14" x14ac:dyDescent="0.3">
      <c r="A447" s="1">
        <v>46126</v>
      </c>
      <c r="B447">
        <v>258.59173583984369</v>
      </c>
      <c r="C447">
        <v>261.68888841493145</v>
      </c>
      <c r="D447">
        <v>256.95326129999239</v>
      </c>
      <c r="E447">
        <v>259.01136264890187</v>
      </c>
      <c r="F447">
        <v>48370700</v>
      </c>
      <c r="G447" s="2" t="s">
        <v>12</v>
      </c>
      <c r="H447">
        <v>-0.1427586909096612</v>
      </c>
      <c r="I447">
        <v>117.73043693676735</v>
      </c>
      <c r="J447">
        <v>260.6170715332031</v>
      </c>
      <c r="K447">
        <v>1.1985701613847404</v>
      </c>
      <c r="L447">
        <v>0</v>
      </c>
      <c r="M447" t="str">
        <f>VLOOKUP(fact_daily_prices[[#This Row],[Ticker]], dim_company[], 2, FALSE)</f>
        <v>Apple Inc.</v>
      </c>
      <c r="N447" t="str">
        <f>VLOOKUP(fact_daily_prices[[#This Row],[Ticker]], dim_company[], 3, FALSE)</f>
        <v>Technology</v>
      </c>
    </row>
    <row r="448" spans="1:14" x14ac:dyDescent="0.3">
      <c r="A448" s="1">
        <v>46127</v>
      </c>
      <c r="B448">
        <v>266.18475341796875</v>
      </c>
      <c r="C448">
        <v>266.31463863594678</v>
      </c>
      <c r="D448">
        <v>257.57269269729443</v>
      </c>
      <c r="E448">
        <v>257.92237663273806</v>
      </c>
      <c r="F448">
        <v>49913500</v>
      </c>
      <c r="G448" s="2" t="s">
        <v>12</v>
      </c>
      <c r="H448">
        <v>2.9362955291145632</v>
      </c>
      <c r="I448">
        <v>121.18735049294868</v>
      </c>
      <c r="J448">
        <v>260.55058044433594</v>
      </c>
      <c r="K448">
        <v>1.3161325462021627</v>
      </c>
      <c r="L448">
        <v>0</v>
      </c>
      <c r="M448" t="str">
        <f>VLOOKUP(fact_daily_prices[[#This Row],[Ticker]], dim_company[], 2, FALSE)</f>
        <v>Apple Inc.</v>
      </c>
      <c r="N448" t="str">
        <f>VLOOKUP(fact_daily_prices[[#This Row],[Ticker]], dim_company[], 3, FALSE)</f>
        <v>Technology</v>
      </c>
    </row>
    <row r="449" spans="1:14" x14ac:dyDescent="0.3">
      <c r="A449" s="1">
        <v>46128</v>
      </c>
      <c r="B449">
        <v>263.15753173828125</v>
      </c>
      <c r="C449">
        <v>266.91408037974617</v>
      </c>
      <c r="D449">
        <v>261.02948754488727</v>
      </c>
      <c r="E449">
        <v>266.55439590858066</v>
      </c>
      <c r="F449">
        <v>43323100</v>
      </c>
      <c r="G449" s="2" t="s">
        <v>12</v>
      </c>
      <c r="H449">
        <v>-1.1372633634406881</v>
      </c>
      <c r="I449">
        <v>119.80913115466791</v>
      </c>
      <c r="J449">
        <v>260.43412536621094</v>
      </c>
      <c r="K449">
        <v>1.3306887376089227</v>
      </c>
      <c r="L449">
        <v>0</v>
      </c>
      <c r="M449" t="str">
        <f>VLOOKUP(fact_daily_prices[[#This Row],[Ticker]], dim_company[], 2, FALSE)</f>
        <v>Apple Inc.</v>
      </c>
      <c r="N449" t="str">
        <f>VLOOKUP(fact_daily_prices[[#This Row],[Ticker]], dim_company[], 3, FALSE)</f>
        <v>Technology</v>
      </c>
    </row>
    <row r="450" spans="1:14" x14ac:dyDescent="0.3">
      <c r="A450" s="1">
        <v>46129</v>
      </c>
      <c r="B450">
        <v>269.98126220703125</v>
      </c>
      <c r="C450">
        <v>272.04933358428622</v>
      </c>
      <c r="D450">
        <v>266.47448343207725</v>
      </c>
      <c r="E450">
        <v>266.71425275361719</v>
      </c>
      <c r="F450">
        <v>61436200</v>
      </c>
      <c r="G450" s="2" t="s">
        <v>12</v>
      </c>
      <c r="H450">
        <v>2.5930211549241911</v>
      </c>
      <c r="I450">
        <v>122.91580727103934</v>
      </c>
      <c r="J450">
        <v>260.3142059326172</v>
      </c>
      <c r="K450">
        <v>1.3997888576615252</v>
      </c>
      <c r="L450">
        <v>0</v>
      </c>
      <c r="M450" t="str">
        <f>VLOOKUP(fact_daily_prices[[#This Row],[Ticker]], dim_company[], 2, FALSE)</f>
        <v>Apple Inc.</v>
      </c>
      <c r="N450" t="str">
        <f>VLOOKUP(fact_daily_prices[[#This Row],[Ticker]], dim_company[], 3, FALSE)</f>
        <v>Technology</v>
      </c>
    </row>
    <row r="451" spans="1:14" x14ac:dyDescent="0.3">
      <c r="A451" s="1">
        <v>46132</v>
      </c>
      <c r="B451">
        <v>272.79864501953125</v>
      </c>
      <c r="C451">
        <v>274.02752377957671</v>
      </c>
      <c r="D451">
        <v>270.04120633500696</v>
      </c>
      <c r="E451">
        <v>270.08114756253855</v>
      </c>
      <c r="F451">
        <v>36590200</v>
      </c>
      <c r="G451" s="2" t="s">
        <v>12</v>
      </c>
      <c r="H451">
        <v>1.0435475371396441</v>
      </c>
      <c r="I451">
        <v>124.19849215057157</v>
      </c>
      <c r="J451">
        <v>260.2622119140625</v>
      </c>
      <c r="K451">
        <v>1.389684294508563</v>
      </c>
      <c r="L451">
        <v>0</v>
      </c>
      <c r="M451" t="str">
        <f>VLOOKUP(fact_daily_prices[[#This Row],[Ticker]], dim_company[], 2, FALSE)</f>
        <v>Apple Inc.</v>
      </c>
      <c r="N451" t="str">
        <f>VLOOKUP(fact_daily_prices[[#This Row],[Ticker]], dim_company[], 3, FALSE)</f>
        <v>Technology</v>
      </c>
    </row>
    <row r="452" spans="1:14" x14ac:dyDescent="0.3">
      <c r="A452" s="1">
        <v>46133</v>
      </c>
      <c r="B452">
        <v>265.92501831054688</v>
      </c>
      <c r="C452">
        <v>272.54889014257083</v>
      </c>
      <c r="D452">
        <v>265.15570754067409</v>
      </c>
      <c r="E452">
        <v>271.25009891813198</v>
      </c>
      <c r="F452">
        <v>50209800</v>
      </c>
      <c r="G452" s="2" t="s">
        <v>12</v>
      </c>
      <c r="H452">
        <v>-2.5196703995697067</v>
      </c>
      <c r="I452">
        <v>121.06909950714173</v>
      </c>
      <c r="J452">
        <v>260.0286279296875</v>
      </c>
      <c r="K452">
        <v>1.4679725761637801</v>
      </c>
      <c r="L452">
        <v>0</v>
      </c>
      <c r="M452" t="str">
        <f>VLOOKUP(fact_daily_prices[[#This Row],[Ticker]], dim_company[], 2, FALSE)</f>
        <v>Apple Inc.</v>
      </c>
      <c r="N452" t="str">
        <f>VLOOKUP(fact_daily_prices[[#This Row],[Ticker]], dim_company[], 3, FALSE)</f>
        <v>Technology</v>
      </c>
    </row>
    <row r="453" spans="1:14" x14ac:dyDescent="0.3">
      <c r="A453" s="1">
        <v>46134</v>
      </c>
      <c r="B453">
        <v>272.9185791015625</v>
      </c>
      <c r="C453">
        <v>273.48803128351057</v>
      </c>
      <c r="D453">
        <v>266.62435952726383</v>
      </c>
      <c r="E453">
        <v>267.57349731299189</v>
      </c>
      <c r="F453">
        <v>43249200</v>
      </c>
      <c r="G453" s="2" t="s">
        <v>12</v>
      </c>
      <c r="H453">
        <v>2.6298995241013978</v>
      </c>
      <c r="I453">
        <v>124.2530951789139</v>
      </c>
      <c r="J453">
        <v>259.99965515136716</v>
      </c>
      <c r="K453">
        <v>1.5391103989111916</v>
      </c>
      <c r="L453">
        <v>0</v>
      </c>
      <c r="M453" t="str">
        <f>VLOOKUP(fact_daily_prices[[#This Row],[Ticker]], dim_company[], 2, FALSE)</f>
        <v>Apple Inc.</v>
      </c>
      <c r="N453" t="str">
        <f>VLOOKUP(fact_daily_prices[[#This Row],[Ticker]], dim_company[], 3, FALSE)</f>
        <v>Technology</v>
      </c>
    </row>
    <row r="454" spans="1:14" x14ac:dyDescent="0.3">
      <c r="A454" s="1">
        <v>46135</v>
      </c>
      <c r="B454">
        <v>273.17831420898438</v>
      </c>
      <c r="C454">
        <v>275.51615669870029</v>
      </c>
      <c r="D454">
        <v>271.39995382845746</v>
      </c>
      <c r="E454">
        <v>274.79681820267325</v>
      </c>
      <c r="F454">
        <v>33399600</v>
      </c>
      <c r="G454" s="2" t="s">
        <v>12</v>
      </c>
      <c r="H454">
        <v>9.5169448806631252E-2</v>
      </c>
      <c r="I454">
        <v>124.37134616472085</v>
      </c>
      <c r="J454">
        <v>259.99466003417967</v>
      </c>
      <c r="K454">
        <v>1.5388256224854666</v>
      </c>
      <c r="L454">
        <v>0</v>
      </c>
      <c r="M454" t="str">
        <f>VLOOKUP(fact_daily_prices[[#This Row],[Ticker]], dim_company[], 2, FALSE)</f>
        <v>Apple Inc.</v>
      </c>
      <c r="N454" t="str">
        <f>VLOOKUP(fact_daily_prices[[#This Row],[Ticker]], dim_company[], 3, FALSE)</f>
        <v>Technology</v>
      </c>
    </row>
    <row r="455" spans="1:14" x14ac:dyDescent="0.3">
      <c r="A455" s="1">
        <v>46136</v>
      </c>
      <c r="B455">
        <v>273.17831420898438</v>
      </c>
      <c r="C455">
        <v>272.80864483253174</v>
      </c>
      <c r="D455">
        <v>269.40178009126032</v>
      </c>
      <c r="E455">
        <v>272.50893317942314</v>
      </c>
      <c r="F455">
        <v>38157100</v>
      </c>
      <c r="G455" s="2" t="s">
        <v>12</v>
      </c>
      <c r="H455">
        <v>0</v>
      </c>
      <c r="I455">
        <v>124.37134616472085</v>
      </c>
      <c r="J455">
        <v>259.95329833984374</v>
      </c>
      <c r="K455">
        <v>1.4872186660648232</v>
      </c>
      <c r="L455">
        <v>0</v>
      </c>
      <c r="M455" t="str">
        <f>VLOOKUP(fact_daily_prices[[#This Row],[Ticker]], dim_company[], 2, FALSE)</f>
        <v>Apple Inc.</v>
      </c>
      <c r="N455" t="str">
        <f>VLOOKUP(fact_daily_prices[[#This Row],[Ticker]], dim_company[], 3, FALSE)</f>
        <v>Technology</v>
      </c>
    </row>
    <row r="456" spans="1:14" x14ac:dyDescent="0.3">
      <c r="A456" s="1">
        <v>46139</v>
      </c>
      <c r="B456">
        <v>267.3636474609375</v>
      </c>
      <c r="C456">
        <v>268.1129570778125</v>
      </c>
      <c r="D456">
        <v>264.82600751088438</v>
      </c>
      <c r="E456">
        <v>265.84505761361925</v>
      </c>
      <c r="F456">
        <v>41466800</v>
      </c>
      <c r="G456" s="2" t="s">
        <v>12</v>
      </c>
      <c r="H456">
        <v>-2.1285242808836591</v>
      </c>
      <c r="I456">
        <v>121.72407186314291</v>
      </c>
      <c r="J456">
        <v>260.07078918457029</v>
      </c>
      <c r="K456">
        <v>1.4829434012556477</v>
      </c>
      <c r="L456">
        <v>0</v>
      </c>
      <c r="M456" t="str">
        <f>VLOOKUP(fact_daily_prices[[#This Row],[Ticker]], dim_company[], 2, FALSE)</f>
        <v>Apple Inc.</v>
      </c>
      <c r="N456" t="str">
        <f>VLOOKUP(fact_daily_prices[[#This Row],[Ticker]], dim_company[], 3, FALSE)</f>
        <v>Technology</v>
      </c>
    </row>
    <row r="457" spans="1:14" x14ac:dyDescent="0.3">
      <c r="A457" s="1">
        <v>46140</v>
      </c>
      <c r="B457">
        <v>270.4608154296875</v>
      </c>
      <c r="C457">
        <v>272.97851539952296</v>
      </c>
      <c r="D457">
        <v>268.41271455565959</v>
      </c>
      <c r="E457">
        <v>272.08931996840158</v>
      </c>
      <c r="F457">
        <v>40018900</v>
      </c>
      <c r="G457" s="2" t="s">
        <v>12</v>
      </c>
      <c r="H457">
        <v>1.1584102768505522</v>
      </c>
      <c r="I457">
        <v>123.13413602100651</v>
      </c>
      <c r="J457">
        <v>260.36911437988283</v>
      </c>
      <c r="K457">
        <v>1.4845602397809041</v>
      </c>
      <c r="L457">
        <v>0</v>
      </c>
      <c r="M457" t="str">
        <f>VLOOKUP(fact_daily_prices[[#This Row],[Ticker]], dim_company[], 2, FALSE)</f>
        <v>Apple Inc.</v>
      </c>
      <c r="N457" t="str">
        <f>VLOOKUP(fact_daily_prices[[#This Row],[Ticker]], dim_company[], 3, FALSE)</f>
        <v>Technology</v>
      </c>
    </row>
    <row r="458" spans="1:14" x14ac:dyDescent="0.3">
      <c r="A458" s="1">
        <v>46141</v>
      </c>
      <c r="B458">
        <v>269.92132568359369</v>
      </c>
      <c r="C458">
        <v>270.7905199823619</v>
      </c>
      <c r="D458">
        <v>266.79420192679368</v>
      </c>
      <c r="E458">
        <v>267.30371174602737</v>
      </c>
      <c r="F458">
        <v>30047900</v>
      </c>
      <c r="G458" s="2" t="s">
        <v>12</v>
      </c>
      <c r="H458">
        <v>-0.1994705758897819</v>
      </c>
      <c r="I458">
        <v>122.8885196507685</v>
      </c>
      <c r="J458">
        <v>260.49479858398439</v>
      </c>
      <c r="K458">
        <v>1.4853873428369051</v>
      </c>
      <c r="L458">
        <v>0</v>
      </c>
      <c r="M458" t="str">
        <f>VLOOKUP(fact_daily_prices[[#This Row],[Ticker]], dim_company[], 2, FALSE)</f>
        <v>Apple Inc.</v>
      </c>
      <c r="N458" t="str">
        <f>VLOOKUP(fact_daily_prices[[#This Row],[Ticker]], dim_company[], 3, FALSE)</f>
        <v>Technology</v>
      </c>
    </row>
    <row r="459" spans="1:14" x14ac:dyDescent="0.3">
      <c r="A459" s="1">
        <v>46142</v>
      </c>
      <c r="B459">
        <v>271.10025024414063</v>
      </c>
      <c r="C459">
        <v>275.74596419518338</v>
      </c>
      <c r="D459">
        <v>267.89321332805798</v>
      </c>
      <c r="E459">
        <v>270.25102650288807</v>
      </c>
      <c r="F459">
        <v>91848200</v>
      </c>
      <c r="G459" s="2" t="s">
        <v>12</v>
      </c>
      <c r="H459">
        <v>0.43676599378030811</v>
      </c>
      <c r="I459">
        <v>123.42525491486309</v>
      </c>
      <c r="J459">
        <v>260.63466979980467</v>
      </c>
      <c r="K459">
        <v>1.4416295234518477</v>
      </c>
      <c r="L459">
        <v>1</v>
      </c>
      <c r="M459" t="str">
        <f>VLOOKUP(fact_daily_prices[[#This Row],[Ticker]], dim_company[], 2, FALSE)</f>
        <v>Apple Inc.</v>
      </c>
      <c r="N459" t="str">
        <f>VLOOKUP(fact_daily_prices[[#This Row],[Ticker]], dim_company[], 3, FALSE)</f>
        <v>Technology</v>
      </c>
    </row>
    <row r="460" spans="1:14" x14ac:dyDescent="0.3">
      <c r="A460" s="1">
        <v>46143</v>
      </c>
      <c r="B460">
        <v>279.88214111328125</v>
      </c>
      <c r="C460">
        <v>286.95561044034525</v>
      </c>
      <c r="D460">
        <v>278.11375091440061</v>
      </c>
      <c r="E460">
        <v>278.60329010462868</v>
      </c>
      <c r="F460">
        <v>79915400</v>
      </c>
      <c r="G460" s="2" t="s">
        <v>12</v>
      </c>
      <c r="H460">
        <v>3.2393518121919929</v>
      </c>
      <c r="I460">
        <v>127.4234331466503</v>
      </c>
      <c r="J460">
        <v>261.02551025390625</v>
      </c>
      <c r="K460">
        <v>1.5324702318582173</v>
      </c>
      <c r="L460">
        <v>0</v>
      </c>
      <c r="M460" t="str">
        <f>VLOOKUP(fact_daily_prices[[#This Row],[Ticker]], dim_company[], 2, FALSE)</f>
        <v>Apple Inc.</v>
      </c>
      <c r="N460" t="str">
        <f>VLOOKUP(fact_daily_prices[[#This Row],[Ticker]], dim_company[], 3, FALSE)</f>
        <v>Technology</v>
      </c>
    </row>
    <row r="461" spans="1:14" x14ac:dyDescent="0.3">
      <c r="A461" s="1">
        <v>46146</v>
      </c>
      <c r="B461">
        <v>276.57516479492188</v>
      </c>
      <c r="C461">
        <v>280.37168519170649</v>
      </c>
      <c r="D461">
        <v>274.60697695873915</v>
      </c>
      <c r="E461">
        <v>279.40257685633759</v>
      </c>
      <c r="F461">
        <v>46668400</v>
      </c>
      <c r="G461" s="2" t="s">
        <v>12</v>
      </c>
      <c r="H461">
        <v>-1.1815603186417278</v>
      </c>
      <c r="I461">
        <v>125.91784842393852</v>
      </c>
      <c r="J461">
        <v>261.27028442382812</v>
      </c>
      <c r="K461">
        <v>1.5533162486689043</v>
      </c>
      <c r="L461">
        <v>0</v>
      </c>
      <c r="M461" t="str">
        <f>VLOOKUP(fact_daily_prices[[#This Row],[Ticker]], dim_company[], 2, FALSE)</f>
        <v>Apple Inc.</v>
      </c>
      <c r="N461" t="str">
        <f>VLOOKUP(fact_daily_prices[[#This Row],[Ticker]], dim_company[], 3, FALSE)</f>
        <v>Technology</v>
      </c>
    </row>
    <row r="462" spans="1:14" x14ac:dyDescent="0.3">
      <c r="A462" s="1">
        <v>46147</v>
      </c>
      <c r="B462">
        <v>283.91842651367188</v>
      </c>
      <c r="C462">
        <v>284.30808218316162</v>
      </c>
      <c r="D462">
        <v>276.24550268953749</v>
      </c>
      <c r="E462">
        <v>276.67509958962432</v>
      </c>
      <c r="F462">
        <v>49311700</v>
      </c>
      <c r="G462" s="2" t="s">
        <v>12</v>
      </c>
      <c r="H462">
        <v>2.6550690927708454</v>
      </c>
      <c r="I462">
        <v>129.26105429972455</v>
      </c>
      <c r="J462">
        <v>261.62995361328126</v>
      </c>
      <c r="K462">
        <v>1.5977802033597961</v>
      </c>
      <c r="L462">
        <v>0</v>
      </c>
      <c r="M462" t="str">
        <f>VLOOKUP(fact_daily_prices[[#This Row],[Ticker]], dim_company[], 2, FALSE)</f>
        <v>Apple Inc.</v>
      </c>
      <c r="N462" t="str">
        <f>VLOOKUP(fact_daily_prices[[#This Row],[Ticker]], dim_company[], 3, FALSE)</f>
        <v>Technology</v>
      </c>
    </row>
    <row r="463" spans="1:14" x14ac:dyDescent="0.3">
      <c r="A463" s="1">
        <v>46148</v>
      </c>
      <c r="B463">
        <v>287.245361328125</v>
      </c>
      <c r="C463">
        <v>287.76487170009642</v>
      </c>
      <c r="D463">
        <v>280.81128680757621</v>
      </c>
      <c r="E463">
        <v>281.66051049385584</v>
      </c>
      <c r="F463">
        <v>58336100</v>
      </c>
      <c r="G463" s="2" t="s">
        <v>12</v>
      </c>
      <c r="H463">
        <v>1.1717924952267644</v>
      </c>
      <c r="I463">
        <v>130.77572563325973</v>
      </c>
      <c r="J463">
        <v>261.9370703125</v>
      </c>
      <c r="K463">
        <v>1.6020164232399188</v>
      </c>
      <c r="L463">
        <v>0</v>
      </c>
      <c r="M463" t="str">
        <f>VLOOKUP(fact_daily_prices[[#This Row],[Ticker]], dim_company[], 2, FALSE)</f>
        <v>Apple Inc.</v>
      </c>
      <c r="N463" t="str">
        <f>VLOOKUP(fact_daily_prices[[#This Row],[Ticker]], dim_company[], 3, FALSE)</f>
        <v>Technology</v>
      </c>
    </row>
    <row r="464" spans="1:14" x14ac:dyDescent="0.3">
      <c r="A464" s="1">
        <v>46149</v>
      </c>
      <c r="B464">
        <v>287.1754150390625</v>
      </c>
      <c r="C464">
        <v>291.86110035149431</v>
      </c>
      <c r="D464">
        <v>285.5169394038565</v>
      </c>
      <c r="E464">
        <v>289.00371711581823</v>
      </c>
      <c r="F464">
        <v>45224300</v>
      </c>
      <c r="G464" s="2" t="s">
        <v>12</v>
      </c>
      <c r="H464">
        <v>-2.4350711440246364E-2</v>
      </c>
      <c r="I464">
        <v>130.74388081367687</v>
      </c>
      <c r="J464">
        <v>262.20102661132813</v>
      </c>
      <c r="K464">
        <v>1.6044023901305147</v>
      </c>
      <c r="L464">
        <v>0</v>
      </c>
      <c r="M464" t="str">
        <f>VLOOKUP(fact_daily_prices[[#This Row],[Ticker]], dim_company[], 2, FALSE)</f>
        <v>Apple Inc.</v>
      </c>
      <c r="N464" t="str">
        <f>VLOOKUP(fact_daily_prices[[#This Row],[Ticker]], dim_company[], 3, FALSE)</f>
        <v>Technology</v>
      </c>
    </row>
    <row r="465" spans="1:14" x14ac:dyDescent="0.3">
      <c r="A465" s="1">
        <v>46150</v>
      </c>
      <c r="B465">
        <v>293.05001831054688</v>
      </c>
      <c r="C465">
        <v>294.4886952888782</v>
      </c>
      <c r="D465">
        <v>289.7330669166447</v>
      </c>
      <c r="E465">
        <v>289.74306746869178</v>
      </c>
      <c r="F465">
        <v>52692800</v>
      </c>
      <c r="G465" s="2" t="s">
        <v>12</v>
      </c>
      <c r="H465">
        <v>2.0456497888878378</v>
      </c>
      <c r="I465">
        <v>133.41844273552564</v>
      </c>
      <c r="J465">
        <v>262.60805175781252</v>
      </c>
      <c r="K465">
        <v>1.6292211310281859</v>
      </c>
      <c r="L465">
        <v>0</v>
      </c>
      <c r="M465" t="str">
        <f>VLOOKUP(fact_daily_prices[[#This Row],[Ticker]], dim_company[], 2, FALSE)</f>
        <v>Apple Inc.</v>
      </c>
      <c r="N465" t="str">
        <f>VLOOKUP(fact_daily_prices[[#This Row],[Ticker]], dim_company[], 3, FALSE)</f>
        <v>Technology</v>
      </c>
    </row>
    <row r="466" spans="1:14" x14ac:dyDescent="0.3">
      <c r="A466" s="1">
        <v>46153</v>
      </c>
      <c r="B466">
        <v>292.67999267578125</v>
      </c>
      <c r="C466">
        <v>293.8800048828125</v>
      </c>
      <c r="D466">
        <v>290.23001098632813</v>
      </c>
      <c r="E466">
        <v>291.98001098632813</v>
      </c>
      <c r="F466">
        <v>42247300</v>
      </c>
      <c r="G466" s="2" t="s">
        <v>12</v>
      </c>
      <c r="H466">
        <v>-0.12626705737772692</v>
      </c>
      <c r="I466">
        <v>133.24997919388429</v>
      </c>
      <c r="J466">
        <v>263.18291503906249</v>
      </c>
      <c r="K466">
        <v>1.5842617734816384</v>
      </c>
      <c r="L466">
        <v>0</v>
      </c>
      <c r="M466" t="str">
        <f>VLOOKUP(fact_daily_prices[[#This Row],[Ticker]], dim_company[], 2, FALSE)</f>
        <v>Apple Inc.</v>
      </c>
      <c r="N466" t="str">
        <f>VLOOKUP(fact_daily_prices[[#This Row],[Ticker]], dim_company[], 3, FALSE)</f>
        <v>Technology</v>
      </c>
    </row>
    <row r="467" spans="1:14" x14ac:dyDescent="0.3">
      <c r="A467" s="1">
        <v>46154</v>
      </c>
      <c r="B467">
        <v>294.79998779296875</v>
      </c>
      <c r="C467">
        <v>295.26998901367188</v>
      </c>
      <c r="D467">
        <v>292.55999755859369</v>
      </c>
      <c r="E467">
        <v>292.55999755859369</v>
      </c>
      <c r="F467">
        <v>45748100</v>
      </c>
      <c r="G467" s="2" t="s">
        <v>12</v>
      </c>
      <c r="H467">
        <v>0.72433892655447973</v>
      </c>
      <c r="I467">
        <v>134.21516066281134</v>
      </c>
      <c r="J467">
        <v>263.78938842773437</v>
      </c>
      <c r="K467">
        <v>1.5612082352834016</v>
      </c>
      <c r="L467">
        <v>0</v>
      </c>
      <c r="M467" t="str">
        <f>VLOOKUP(fact_daily_prices[[#This Row],[Ticker]], dim_company[], 2, FALSE)</f>
        <v>Apple Inc.</v>
      </c>
      <c r="N467" t="str">
        <f>VLOOKUP(fact_daily_prices[[#This Row],[Ticker]], dim_company[], 3, FALSE)</f>
        <v>Technology</v>
      </c>
    </row>
    <row r="468" spans="1:14" x14ac:dyDescent="0.3">
      <c r="A468" s="1">
        <v>46155</v>
      </c>
      <c r="B468">
        <v>298.8699951171875</v>
      </c>
      <c r="C468">
        <v>300.92001342773438</v>
      </c>
      <c r="D468">
        <v>293.5</v>
      </c>
      <c r="E468">
        <v>293.5</v>
      </c>
      <c r="F468">
        <v>52684300</v>
      </c>
      <c r="G468" s="2" t="s">
        <v>12</v>
      </c>
      <c r="H468">
        <v>1.3805995565634221</v>
      </c>
      <c r="I468">
        <v>136.068134575763</v>
      </c>
      <c r="J468">
        <v>264.4966436767578</v>
      </c>
      <c r="K468">
        <v>1.5079760725450317</v>
      </c>
      <c r="L468">
        <v>0</v>
      </c>
      <c r="M468" t="str">
        <f>VLOOKUP(fact_daily_prices[[#This Row],[Ticker]], dim_company[], 2, FALSE)</f>
        <v>Apple Inc.</v>
      </c>
      <c r="N468" t="str">
        <f>VLOOKUP(fact_daily_prices[[#This Row],[Ticker]], dim_company[], 3, FALSE)</f>
        <v>Technology</v>
      </c>
    </row>
    <row r="469" spans="1:14" x14ac:dyDescent="0.3">
      <c r="A469" s="1">
        <v>46156</v>
      </c>
      <c r="B469">
        <v>298.20999145507813</v>
      </c>
      <c r="C469">
        <v>300.45001220703125</v>
      </c>
      <c r="D469">
        <v>295.3800048828125</v>
      </c>
      <c r="E469">
        <v>299.82000732421875</v>
      </c>
      <c r="F469">
        <v>35324900</v>
      </c>
      <c r="G469" s="2" t="s">
        <v>12</v>
      </c>
      <c r="H469">
        <v>-0.22083302870553601</v>
      </c>
      <c r="I469">
        <v>135.76765119307623</v>
      </c>
      <c r="J469">
        <v>265.2152764892578</v>
      </c>
      <c r="K469">
        <v>1.5142929055191585</v>
      </c>
      <c r="L469">
        <v>0</v>
      </c>
      <c r="M469" t="str">
        <f>VLOOKUP(fact_daily_prices[[#This Row],[Ticker]], dim_company[], 2, FALSE)</f>
        <v>Apple Inc.</v>
      </c>
      <c r="N469" t="str">
        <f>VLOOKUP(fact_daily_prices[[#This Row],[Ticker]], dim_company[], 3, FALSE)</f>
        <v>Technology</v>
      </c>
    </row>
    <row r="470" spans="1:14" x14ac:dyDescent="0.3">
      <c r="A470" s="1">
        <v>46157</v>
      </c>
      <c r="B470">
        <v>300.23001098632813</v>
      </c>
      <c r="C470">
        <v>303.20001220703125</v>
      </c>
      <c r="D470">
        <v>296.51998901367188</v>
      </c>
      <c r="E470">
        <v>297.89999389648438</v>
      </c>
      <c r="F470">
        <v>54862800</v>
      </c>
      <c r="G470" s="2" t="s">
        <v>12</v>
      </c>
      <c r="H470">
        <v>0.67738157309671365</v>
      </c>
      <c r="I470">
        <v>136.68731624448435</v>
      </c>
      <c r="J470">
        <v>266.0188684082031</v>
      </c>
      <c r="K470">
        <v>1.5124556537525342</v>
      </c>
      <c r="L470">
        <v>0</v>
      </c>
      <c r="M470" t="str">
        <f>VLOOKUP(fact_daily_prices[[#This Row],[Ticker]], dim_company[], 2, FALSE)</f>
        <v>Apple Inc.</v>
      </c>
      <c r="N470" t="str">
        <f>VLOOKUP(fact_daily_prices[[#This Row],[Ticker]], dim_company[], 3, FALSE)</f>
        <v>Technology</v>
      </c>
    </row>
    <row r="471" spans="1:14" x14ac:dyDescent="0.3">
      <c r="A471" s="1">
        <v>46160</v>
      </c>
      <c r="B471">
        <v>297.83999633789063</v>
      </c>
      <c r="C471">
        <v>300.66000366210938</v>
      </c>
      <c r="D471">
        <v>294.91000366210938</v>
      </c>
      <c r="E471">
        <v>300.239990234375</v>
      </c>
      <c r="F471">
        <v>34483000</v>
      </c>
      <c r="G471" s="2" t="s">
        <v>12</v>
      </c>
      <c r="H471">
        <v>-0.79606120673469949</v>
      </c>
      <c r="I471">
        <v>135.59920154533523</v>
      </c>
      <c r="J471">
        <v>266.83120849609372</v>
      </c>
      <c r="K471">
        <v>1.5274140587087697</v>
      </c>
      <c r="L471">
        <v>0</v>
      </c>
      <c r="M471" t="str">
        <f>VLOOKUP(fact_daily_prices[[#This Row],[Ticker]], dim_company[], 2, FALSE)</f>
        <v>Apple Inc.</v>
      </c>
      <c r="N471" t="str">
        <f>VLOOKUP(fact_daily_prices[[#This Row],[Ticker]], dim_company[], 3, FALSE)</f>
        <v>Technology</v>
      </c>
    </row>
    <row r="472" spans="1:14" x14ac:dyDescent="0.3">
      <c r="A472" s="1">
        <v>46161</v>
      </c>
      <c r="B472">
        <v>298.97000122070313</v>
      </c>
      <c r="C472">
        <v>300.510009765625</v>
      </c>
      <c r="D472">
        <v>296.35000610351563</v>
      </c>
      <c r="E472">
        <v>296.97000122070313</v>
      </c>
      <c r="F472">
        <v>42243600</v>
      </c>
      <c r="G472" s="2" t="s">
        <v>12</v>
      </c>
      <c r="H472">
        <v>0.37939997874918419</v>
      </c>
      <c r="I472">
        <v>136.1136648871823</v>
      </c>
      <c r="J472">
        <v>267.61779296875</v>
      </c>
      <c r="K472">
        <v>1.4496933698458077</v>
      </c>
      <c r="L472">
        <v>0</v>
      </c>
      <c r="M472" t="str">
        <f>VLOOKUP(fact_daily_prices[[#This Row],[Ticker]], dim_company[], 2, FALSE)</f>
        <v>Apple Inc.</v>
      </c>
      <c r="N472" t="str">
        <f>VLOOKUP(fact_daily_prices[[#This Row],[Ticker]], dim_company[], 3, FALSE)</f>
        <v>Technology</v>
      </c>
    </row>
    <row r="473" spans="1:14" x14ac:dyDescent="0.3">
      <c r="A473" s="1">
        <v>46162</v>
      </c>
      <c r="B473">
        <v>302.25</v>
      </c>
      <c r="C473">
        <v>302.79998779296875</v>
      </c>
      <c r="D473">
        <v>298.07998657226563</v>
      </c>
      <c r="E473">
        <v>298.17999267578125</v>
      </c>
      <c r="F473">
        <v>38229800</v>
      </c>
      <c r="G473" s="2" t="s">
        <v>12</v>
      </c>
      <c r="H473">
        <v>1.0970996307002601</v>
      </c>
      <c r="I473">
        <v>137.60696740199214</v>
      </c>
      <c r="J473">
        <v>268.45099487304685</v>
      </c>
      <c r="K473">
        <v>1.4232520471039811</v>
      </c>
      <c r="L473">
        <v>0</v>
      </c>
      <c r="M473" t="str">
        <f>VLOOKUP(fact_daily_prices[[#This Row],[Ticker]], dim_company[], 2, FALSE)</f>
        <v>Apple Inc.</v>
      </c>
      <c r="N473" t="str">
        <f>VLOOKUP(fact_daily_prices[[#This Row],[Ticker]], dim_company[], 3, FALSE)</f>
        <v>Technology</v>
      </c>
    </row>
    <row r="474" spans="1:14" x14ac:dyDescent="0.3">
      <c r="A474" s="1">
        <v>46163</v>
      </c>
      <c r="B474">
        <v>304.989990234375</v>
      </c>
      <c r="C474">
        <v>305.54000854492188</v>
      </c>
      <c r="D474">
        <v>300.39999389648438</v>
      </c>
      <c r="E474">
        <v>301.05999755859369</v>
      </c>
      <c r="F474">
        <v>42965100</v>
      </c>
      <c r="G474" s="2" t="s">
        <v>12</v>
      </c>
      <c r="H474">
        <v>0.90653109491314332</v>
      </c>
      <c r="I474">
        <v>138.85441735025819</v>
      </c>
      <c r="J474">
        <v>269.33939636230468</v>
      </c>
      <c r="K474">
        <v>1.4248469572757501</v>
      </c>
      <c r="L474">
        <v>0</v>
      </c>
      <c r="M474" t="str">
        <f>VLOOKUP(fact_daily_prices[[#This Row],[Ticker]], dim_company[], 2, FALSE)</f>
        <v>Apple Inc.</v>
      </c>
      <c r="N474" t="str">
        <f>VLOOKUP(fact_daily_prices[[#This Row],[Ticker]], dim_company[], 3, FALSE)</f>
        <v>Technology</v>
      </c>
    </row>
    <row r="475" spans="1:14" x14ac:dyDescent="0.3">
      <c r="A475" s="1">
        <v>46164</v>
      </c>
      <c r="B475">
        <v>308.82000732421875</v>
      </c>
      <c r="C475">
        <v>311.39999389648438</v>
      </c>
      <c r="D475">
        <v>305.83999633789063</v>
      </c>
      <c r="E475">
        <v>306.1199951171875</v>
      </c>
      <c r="F475">
        <v>43670200</v>
      </c>
      <c r="G475" s="2" t="s">
        <v>12</v>
      </c>
      <c r="H475">
        <v>1.2557845216167651</v>
      </c>
      <c r="I475">
        <v>140.59812963092389</v>
      </c>
      <c r="J475">
        <v>270.40530517578122</v>
      </c>
      <c r="K475">
        <v>1.4268281696587579</v>
      </c>
      <c r="L475">
        <v>0</v>
      </c>
      <c r="M475" t="str">
        <f>VLOOKUP(fact_daily_prices[[#This Row],[Ticker]], dim_company[], 2, FALSE)</f>
        <v>Apple Inc.</v>
      </c>
      <c r="N475" t="str">
        <f>VLOOKUP(fact_daily_prices[[#This Row],[Ticker]], dim_company[], 3, FALSE)</f>
        <v>Technology</v>
      </c>
    </row>
    <row r="476" spans="1:14" x14ac:dyDescent="0.3">
      <c r="A476" s="1">
        <v>46168</v>
      </c>
      <c r="B476">
        <v>308.32998657226563</v>
      </c>
      <c r="C476">
        <v>311.82000732421875</v>
      </c>
      <c r="D476">
        <v>307.67001342773438</v>
      </c>
      <c r="E476">
        <v>309.55999755859369</v>
      </c>
      <c r="F476">
        <v>48000500</v>
      </c>
      <c r="G476" s="2" t="s">
        <v>12</v>
      </c>
      <c r="H476">
        <v>-0.1586751960143129</v>
      </c>
      <c r="I476">
        <v>140.37503527313956</v>
      </c>
      <c r="J476">
        <v>271.57410949707031</v>
      </c>
      <c r="K476">
        <v>1.4194717021135002</v>
      </c>
      <c r="L476">
        <v>0</v>
      </c>
      <c r="M476" t="str">
        <f>VLOOKUP(fact_daily_prices[[#This Row],[Ticker]], dim_company[], 2, FALSE)</f>
        <v>Apple Inc.</v>
      </c>
      <c r="N476" t="str">
        <f>VLOOKUP(fact_daily_prices[[#This Row],[Ticker]], dim_company[], 3, FALSE)</f>
        <v>Technology</v>
      </c>
    </row>
    <row r="477" spans="1:14" x14ac:dyDescent="0.3">
      <c r="A477" s="1">
        <v>46169</v>
      </c>
      <c r="B477">
        <v>310.85000610351563</v>
      </c>
      <c r="C477">
        <v>313.260009765625</v>
      </c>
      <c r="D477">
        <v>308.29998779296875</v>
      </c>
      <c r="E477">
        <v>308.32998657226563</v>
      </c>
      <c r="F477">
        <v>50430900</v>
      </c>
      <c r="G477" s="2" t="s">
        <v>12</v>
      </c>
      <c r="H477">
        <v>0.81731250316108284</v>
      </c>
      <c r="I477">
        <v>141.5223379877437</v>
      </c>
      <c r="J477">
        <v>272.73936370849611</v>
      </c>
      <c r="K477">
        <v>1.4131196241083255</v>
      </c>
      <c r="L477">
        <v>0</v>
      </c>
      <c r="M477" t="str">
        <f>VLOOKUP(fact_daily_prices[[#This Row],[Ticker]], dim_company[], 2, FALSE)</f>
        <v>Apple Inc.</v>
      </c>
      <c r="N477" t="str">
        <f>VLOOKUP(fact_daily_prices[[#This Row],[Ticker]], dim_company[], 3, FALSE)</f>
        <v>Technology</v>
      </c>
    </row>
    <row r="478" spans="1:14" x14ac:dyDescent="0.3">
      <c r="A478" s="1">
        <v>46170</v>
      </c>
      <c r="B478">
        <v>312.510009765625</v>
      </c>
      <c r="C478">
        <v>312.79998779296875</v>
      </c>
      <c r="D478">
        <v>309.57000732421875</v>
      </c>
      <c r="E478">
        <v>310.67999267578125</v>
      </c>
      <c r="F478">
        <v>48220400</v>
      </c>
      <c r="G478" s="2" t="s">
        <v>12</v>
      </c>
      <c r="H478">
        <v>0.53402079122255586</v>
      </c>
      <c r="I478">
        <v>142.2780966968225</v>
      </c>
      <c r="J478">
        <v>273.90964416503908</v>
      </c>
      <c r="K478">
        <v>1.3440064956879081</v>
      </c>
      <c r="L478">
        <v>0</v>
      </c>
      <c r="M478" t="str">
        <f>VLOOKUP(fact_daily_prices[[#This Row],[Ticker]], dim_company[], 2, FALSE)</f>
        <v>Apple Inc.</v>
      </c>
      <c r="N478" t="str">
        <f>VLOOKUP(fact_daily_prices[[#This Row],[Ticker]], dim_company[], 3, FALSE)</f>
        <v>Technology</v>
      </c>
    </row>
    <row r="479" spans="1:14" x14ac:dyDescent="0.3">
      <c r="A479" s="1">
        <v>46171</v>
      </c>
      <c r="B479">
        <v>312.05999755859369</v>
      </c>
      <c r="C479">
        <v>315</v>
      </c>
      <c r="D479">
        <v>309.52999877929688</v>
      </c>
      <c r="E479">
        <v>311.77999877929688</v>
      </c>
      <c r="F479">
        <v>70026800</v>
      </c>
      <c r="G479" s="2" t="s">
        <v>12</v>
      </c>
      <c r="H479">
        <v>-0.14399929377263421</v>
      </c>
      <c r="I479">
        <v>142.07321724238594</v>
      </c>
      <c r="J479">
        <v>275.1566452026367</v>
      </c>
      <c r="K479">
        <v>1.3130141149292098</v>
      </c>
      <c r="L479">
        <v>0</v>
      </c>
      <c r="M479" t="str">
        <f>VLOOKUP(fact_daily_prices[[#This Row],[Ticker]], dim_company[], 2, FALSE)</f>
        <v>Apple Inc.</v>
      </c>
      <c r="N479" t="str">
        <f>VLOOKUP(fact_daily_prices[[#This Row],[Ticker]], dim_company[], 3, FALSE)</f>
        <v>Technology</v>
      </c>
    </row>
    <row r="480" spans="1:14" x14ac:dyDescent="0.3">
      <c r="A480" s="1">
        <v>46174</v>
      </c>
      <c r="B480">
        <v>306.30999755859369</v>
      </c>
      <c r="C480">
        <v>310.94000244140625</v>
      </c>
      <c r="D480">
        <v>305.01998901367188</v>
      </c>
      <c r="E480">
        <v>309.6300048828125</v>
      </c>
      <c r="F480">
        <v>48849900</v>
      </c>
      <c r="G480" s="2" t="s">
        <v>12</v>
      </c>
      <c r="H480">
        <v>-1.8425943872925732</v>
      </c>
      <c r="I480">
        <v>139.45538411563174</v>
      </c>
      <c r="J480">
        <v>276.30822814941405</v>
      </c>
      <c r="K480">
        <v>1.3279467253312554</v>
      </c>
      <c r="L480">
        <v>0</v>
      </c>
      <c r="M480" t="str">
        <f>VLOOKUP(fact_daily_prices[[#This Row],[Ticker]], dim_company[], 2, FALSE)</f>
        <v>Apple Inc.</v>
      </c>
      <c r="N480" t="str">
        <f>VLOOKUP(fact_daily_prices[[#This Row],[Ticker]], dim_company[], 3, FALSE)</f>
        <v>Technology</v>
      </c>
    </row>
    <row r="481" spans="1:14" x14ac:dyDescent="0.3">
      <c r="A481" s="1">
        <v>46175</v>
      </c>
      <c r="B481">
        <v>315.20001220703125</v>
      </c>
      <c r="C481">
        <v>315.45001220703125</v>
      </c>
      <c r="D481">
        <v>306.69000244140625</v>
      </c>
      <c r="E481">
        <v>307.45999145507813</v>
      </c>
      <c r="F481">
        <v>44534700</v>
      </c>
      <c r="G481" s="2" t="s">
        <v>12</v>
      </c>
      <c r="H481">
        <v>2.902293336585271</v>
      </c>
      <c r="I481">
        <v>143.5027884363291</v>
      </c>
      <c r="J481">
        <v>277.65699371337888</v>
      </c>
      <c r="K481">
        <v>1.3990107804771035</v>
      </c>
      <c r="L481">
        <v>0</v>
      </c>
      <c r="M481" t="str">
        <f>VLOOKUP(fact_daily_prices[[#This Row],[Ticker]], dim_company[], 2, FALSE)</f>
        <v>Apple Inc.</v>
      </c>
      <c r="N481" t="str">
        <f>VLOOKUP(fact_daily_prices[[#This Row],[Ticker]], dim_company[], 3, FALSE)</f>
        <v>Technology</v>
      </c>
    </row>
    <row r="482" spans="1:14" x14ac:dyDescent="0.3">
      <c r="A482" s="1">
        <v>46176</v>
      </c>
      <c r="B482">
        <v>310.260009765625</v>
      </c>
      <c r="C482">
        <v>316.94000244140625</v>
      </c>
      <c r="D482">
        <v>308.85000610351563</v>
      </c>
      <c r="E482">
        <v>314.17999267578125</v>
      </c>
      <c r="F482">
        <v>50836700</v>
      </c>
      <c r="G482" s="2" t="s">
        <v>12</v>
      </c>
      <c r="H482">
        <v>-1.5672595971098935</v>
      </c>
      <c r="I482">
        <v>141.25372721244042</v>
      </c>
      <c r="J482">
        <v>278.83702362060546</v>
      </c>
      <c r="K482">
        <v>1.3377741447206579</v>
      </c>
      <c r="L482">
        <v>0</v>
      </c>
      <c r="M482" t="str">
        <f>VLOOKUP(fact_daily_prices[[#This Row],[Ticker]], dim_company[], 2, FALSE)</f>
        <v>Apple Inc.</v>
      </c>
      <c r="N482" t="str">
        <f>VLOOKUP(fact_daily_prices[[#This Row],[Ticker]], dim_company[], 3, FALSE)</f>
        <v>Technology</v>
      </c>
    </row>
    <row r="483" spans="1:14" x14ac:dyDescent="0.3">
      <c r="A483" s="1">
        <v>46177</v>
      </c>
      <c r="B483">
        <v>311.23001098632813</v>
      </c>
      <c r="C483">
        <v>313.54000854492188</v>
      </c>
      <c r="D483">
        <v>309.64999389648438</v>
      </c>
      <c r="E483">
        <v>313.23001098632813</v>
      </c>
      <c r="F483">
        <v>44869100</v>
      </c>
      <c r="G483" s="2" t="s">
        <v>12</v>
      </c>
      <c r="H483">
        <v>0.31264139436979477</v>
      </c>
      <c r="I483">
        <v>141.69534483479671</v>
      </c>
      <c r="J483">
        <v>280.03345642089846</v>
      </c>
      <c r="K483">
        <v>1.2775245370020294</v>
      </c>
      <c r="L483">
        <v>0</v>
      </c>
      <c r="M483" t="str">
        <f>VLOOKUP(fact_daily_prices[[#This Row],[Ticker]], dim_company[], 2, FALSE)</f>
        <v>Apple Inc.</v>
      </c>
      <c r="N483" t="str">
        <f>VLOOKUP(fact_daily_prices[[#This Row],[Ticker]], dim_company[], 3, FALSE)</f>
        <v>Technology</v>
      </c>
    </row>
    <row r="484" spans="1:14" x14ac:dyDescent="0.3">
      <c r="A484" s="1">
        <v>46178</v>
      </c>
      <c r="B484">
        <v>307.33999633789063</v>
      </c>
      <c r="C484">
        <v>315.17001342773438</v>
      </c>
      <c r="D484">
        <v>307.14999389648438</v>
      </c>
      <c r="E484">
        <v>312.8599853515625</v>
      </c>
      <c r="F484">
        <v>65310500</v>
      </c>
      <c r="G484" s="2" t="s">
        <v>12</v>
      </c>
      <c r="H484">
        <v>-1.2498841728371679</v>
      </c>
      <c r="I484">
        <v>139.92431714605956</v>
      </c>
      <c r="J484">
        <v>281.13250701904298</v>
      </c>
      <c r="K484">
        <v>1.3133850662750464</v>
      </c>
      <c r="L484">
        <v>0</v>
      </c>
      <c r="M484" t="str">
        <f>VLOOKUP(fact_daily_prices[[#This Row],[Ticker]], dim_company[], 2, FALSE)</f>
        <v>Apple Inc.</v>
      </c>
      <c r="N484" t="str">
        <f>VLOOKUP(fact_daily_prices[[#This Row],[Ticker]], dim_company[], 3, FALSE)</f>
        <v>Technology</v>
      </c>
    </row>
    <row r="485" spans="1:14" x14ac:dyDescent="0.3">
      <c r="A485" s="1">
        <v>46181</v>
      </c>
      <c r="B485">
        <v>301.54000854492188</v>
      </c>
      <c r="C485">
        <v>317.39999389648438</v>
      </c>
      <c r="D485">
        <v>301.17001342773438</v>
      </c>
      <c r="E485">
        <v>308.739990234375</v>
      </c>
      <c r="F485">
        <v>77949100</v>
      </c>
      <c r="G485" s="2" t="s">
        <v>12</v>
      </c>
      <c r="H485">
        <v>-1.887156849768501</v>
      </c>
      <c r="I485">
        <v>137.28372581054589</v>
      </c>
      <c r="J485">
        <v>282.11016265869142</v>
      </c>
      <c r="K485">
        <v>1.3769496393851672</v>
      </c>
      <c r="L485">
        <v>0</v>
      </c>
      <c r="M485" t="str">
        <f>VLOOKUP(fact_daily_prices[[#This Row],[Ticker]], dim_company[], 2, FALSE)</f>
        <v>Apple Inc.</v>
      </c>
      <c r="N485" t="str">
        <f>VLOOKUP(fact_daily_prices[[#This Row],[Ticker]], dim_company[], 3, FALSE)</f>
        <v>Technology</v>
      </c>
    </row>
    <row r="486" spans="1:14" x14ac:dyDescent="0.3">
      <c r="A486" s="1">
        <v>46182</v>
      </c>
      <c r="B486">
        <v>290.54998779296875</v>
      </c>
      <c r="C486">
        <v>300.75</v>
      </c>
      <c r="D486">
        <v>287.77999877929688</v>
      </c>
      <c r="E486">
        <v>300.27999877929688</v>
      </c>
      <c r="F486">
        <v>70108800</v>
      </c>
      <c r="G486" s="2" t="s">
        <v>12</v>
      </c>
      <c r="H486">
        <v>-3.6446310408311478</v>
      </c>
      <c r="I486">
        <v>132.28024052564521</v>
      </c>
      <c r="J486">
        <v>282.9497427368164</v>
      </c>
      <c r="K486">
        <v>1.4935206969591581</v>
      </c>
      <c r="L486">
        <v>0</v>
      </c>
      <c r="M486" t="str">
        <f>VLOOKUP(fact_daily_prices[[#This Row],[Ticker]], dim_company[], 2, FALSE)</f>
        <v>Apple Inc.</v>
      </c>
      <c r="N486" t="str">
        <f>VLOOKUP(fact_daily_prices[[#This Row],[Ticker]], dim_company[], 3, FALSE)</f>
        <v>Technology</v>
      </c>
    </row>
    <row r="487" spans="1:14" x14ac:dyDescent="0.3">
      <c r="A487" s="1">
        <v>46183</v>
      </c>
      <c r="B487">
        <v>291.57998657226563</v>
      </c>
      <c r="C487">
        <v>294.75</v>
      </c>
      <c r="D487">
        <v>287.3800048828125</v>
      </c>
      <c r="E487">
        <v>290.739990234375</v>
      </c>
      <c r="F487">
        <v>52793300</v>
      </c>
      <c r="G487" s="2" t="s">
        <v>12</v>
      </c>
      <c r="H487">
        <v>0.35449968080218941</v>
      </c>
      <c r="I487">
        <v>132.74917355607298</v>
      </c>
      <c r="J487">
        <v>283.85328277587888</v>
      </c>
      <c r="K487">
        <v>1.4845574152820877</v>
      </c>
      <c r="L487">
        <v>0</v>
      </c>
      <c r="M487" t="str">
        <f>VLOOKUP(fact_daily_prices[[#This Row],[Ticker]], dim_company[], 2, FALSE)</f>
        <v>Apple Inc.</v>
      </c>
      <c r="N487" t="str">
        <f>VLOOKUP(fact_daily_prices[[#This Row],[Ticker]], dim_company[], 3, FALSE)</f>
        <v>Technology</v>
      </c>
    </row>
    <row r="488" spans="1:14" x14ac:dyDescent="0.3">
      <c r="A488" s="1">
        <v>46184</v>
      </c>
      <c r="B488">
        <v>295.6300048828125</v>
      </c>
      <c r="C488">
        <v>297</v>
      </c>
      <c r="D488">
        <v>289.58999633789063</v>
      </c>
      <c r="E488">
        <v>293.72000122070313</v>
      </c>
      <c r="F488">
        <v>42572500</v>
      </c>
      <c r="G488" s="2" t="s">
        <v>12</v>
      </c>
      <c r="H488">
        <v>1.3889904990249002</v>
      </c>
      <c r="I488">
        <v>134.59304696430092</v>
      </c>
      <c r="J488">
        <v>284.69475524902344</v>
      </c>
      <c r="K488">
        <v>1.4958304064355503</v>
      </c>
      <c r="L488">
        <v>0</v>
      </c>
      <c r="M488" t="str">
        <f>VLOOKUP(fact_daily_prices[[#This Row],[Ticker]], dim_company[], 2, FALSE)</f>
        <v>Apple Inc.</v>
      </c>
      <c r="N488" t="str">
        <f>VLOOKUP(fact_daily_prices[[#This Row],[Ticker]], dim_company[], 3, FALSE)</f>
        <v>Technology</v>
      </c>
    </row>
    <row r="489" spans="1:14" x14ac:dyDescent="0.3">
      <c r="A489" s="1">
        <v>46185</v>
      </c>
      <c r="B489">
        <v>291.1300048828125</v>
      </c>
      <c r="C489">
        <v>297.1400146484375</v>
      </c>
      <c r="D489">
        <v>289.6199951171875</v>
      </c>
      <c r="E489">
        <v>296.02999877929688</v>
      </c>
      <c r="F489">
        <v>38742100</v>
      </c>
      <c r="G489" s="2" t="s">
        <v>12</v>
      </c>
      <c r="H489">
        <v>-1.5221729613622226</v>
      </c>
      <c r="I489">
        <v>132.54430799553677</v>
      </c>
      <c r="J489">
        <v>285.40946136474611</v>
      </c>
      <c r="K489">
        <v>1.5326157111725436</v>
      </c>
      <c r="L489">
        <v>0</v>
      </c>
      <c r="M489" t="str">
        <f>VLOOKUP(fact_daily_prices[[#This Row],[Ticker]], dim_company[], 2, FALSE)</f>
        <v>Apple Inc.</v>
      </c>
      <c r="N489" t="str">
        <f>VLOOKUP(fact_daily_prices[[#This Row],[Ticker]], dim_company[], 3, FALSE)</f>
        <v>Technology</v>
      </c>
    </row>
    <row r="490" spans="1:14" x14ac:dyDescent="0.3">
      <c r="A490" s="1">
        <v>46188</v>
      </c>
      <c r="B490">
        <v>296.42001342773438</v>
      </c>
      <c r="C490">
        <v>297.77999877929688</v>
      </c>
      <c r="D490">
        <v>291.70001220703125</v>
      </c>
      <c r="E490">
        <v>294.1199951171875</v>
      </c>
      <c r="F490">
        <v>45732600</v>
      </c>
      <c r="G490" s="2" t="s">
        <v>12</v>
      </c>
      <c r="H490">
        <v>1.8170605764429082</v>
      </c>
      <c r="I490">
        <v>134.95271836244274</v>
      </c>
      <c r="J490">
        <v>286.22417297363279</v>
      </c>
      <c r="K490">
        <v>1.4570670757706441</v>
      </c>
      <c r="L490">
        <v>0</v>
      </c>
      <c r="M490" t="str">
        <f>VLOOKUP(fact_daily_prices[[#This Row],[Ticker]], dim_company[], 2, FALSE)</f>
        <v>Apple Inc.</v>
      </c>
      <c r="N490" t="str">
        <f>VLOOKUP(fact_daily_prices[[#This Row],[Ticker]], dim_company[], 3, FALSE)</f>
        <v>Technology</v>
      </c>
    </row>
    <row r="491" spans="1:14" x14ac:dyDescent="0.3">
      <c r="A491" s="1">
        <v>46189</v>
      </c>
      <c r="B491">
        <v>299.239990234375</v>
      </c>
      <c r="C491">
        <v>300.48001098632813</v>
      </c>
      <c r="D491">
        <v>293.97000122070313</v>
      </c>
      <c r="E491">
        <v>295.25</v>
      </c>
      <c r="F491">
        <v>39874400</v>
      </c>
      <c r="G491" s="2" t="s">
        <v>12</v>
      </c>
      <c r="H491">
        <v>0.95134494261404079</v>
      </c>
      <c r="I491">
        <v>136.236584223504</v>
      </c>
      <c r="J491">
        <v>287.03653869628909</v>
      </c>
      <c r="K491">
        <v>1.4391644303930999</v>
      </c>
      <c r="L491">
        <v>0</v>
      </c>
      <c r="M491" t="str">
        <f>VLOOKUP(fact_daily_prices[[#This Row],[Ticker]], dim_company[], 2, FALSE)</f>
        <v>Apple Inc.</v>
      </c>
      <c r="N491" t="str">
        <f>VLOOKUP(fact_daily_prices[[#This Row],[Ticker]], dim_company[], 3, FALSE)</f>
        <v>Technology</v>
      </c>
    </row>
    <row r="492" spans="1:14" x14ac:dyDescent="0.3">
      <c r="A492" s="1">
        <v>46190</v>
      </c>
      <c r="B492">
        <v>295.95001220703125</v>
      </c>
      <c r="C492">
        <v>302.07000732421875</v>
      </c>
      <c r="D492">
        <v>294.3599853515625</v>
      </c>
      <c r="E492">
        <v>300.85000610351563</v>
      </c>
      <c r="F492">
        <v>42745100</v>
      </c>
      <c r="G492" s="2" t="s">
        <v>12</v>
      </c>
      <c r="H492">
        <v>-1.0994446379867018</v>
      </c>
      <c r="I492">
        <v>134.73873840328247</v>
      </c>
      <c r="J492">
        <v>287.89020568847656</v>
      </c>
      <c r="K492">
        <v>1.387177562148507</v>
      </c>
      <c r="L492">
        <v>0</v>
      </c>
      <c r="M492" t="str">
        <f>VLOOKUP(fact_daily_prices[[#This Row],[Ticker]], dim_company[], 2, FALSE)</f>
        <v>Apple Inc.</v>
      </c>
      <c r="N492" t="str">
        <f>VLOOKUP(fact_daily_prices[[#This Row],[Ticker]], dim_company[], 3, FALSE)</f>
        <v>Technology</v>
      </c>
    </row>
    <row r="493" spans="1:14" x14ac:dyDescent="0.3">
      <c r="A493" s="1">
        <v>46191</v>
      </c>
      <c r="B493">
        <v>298.010009765625</v>
      </c>
      <c r="C493">
        <v>300.57000732421875</v>
      </c>
      <c r="D493">
        <v>295.6199951171875</v>
      </c>
      <c r="E493">
        <v>298.1099853515625</v>
      </c>
      <c r="F493">
        <v>85962200</v>
      </c>
      <c r="G493" s="2" t="s">
        <v>12</v>
      </c>
      <c r="H493">
        <v>0.69606267059474369</v>
      </c>
      <c r="I493">
        <v>135.67660446413802</v>
      </c>
      <c r="J493">
        <v>288.67717224121094</v>
      </c>
      <c r="K493">
        <v>1.3777549800536455</v>
      </c>
      <c r="L493">
        <v>0</v>
      </c>
      <c r="M493" t="str">
        <f>VLOOKUP(fact_daily_prices[[#This Row],[Ticker]], dim_company[], 2, FALSE)</f>
        <v>Apple Inc.</v>
      </c>
      <c r="N493" t="str">
        <f>VLOOKUP(fact_daily_prices[[#This Row],[Ticker]], dim_company[], 3, FALSE)</f>
        <v>Technology</v>
      </c>
    </row>
    <row r="494" spans="1:14" x14ac:dyDescent="0.3">
      <c r="A494" s="1">
        <v>46195</v>
      </c>
      <c r="B494">
        <v>297.010009765625</v>
      </c>
      <c r="C494">
        <v>302.42001342773438</v>
      </c>
      <c r="D494">
        <v>296.760009765625</v>
      </c>
      <c r="E494">
        <v>297.30999755859369</v>
      </c>
      <c r="F494">
        <v>44879900</v>
      </c>
      <c r="G494" s="2" t="s">
        <v>12</v>
      </c>
      <c r="H494">
        <v>-0.33555919842641613</v>
      </c>
      <c r="I494">
        <v>135.22132913774598</v>
      </c>
      <c r="J494">
        <v>289.41236816406251</v>
      </c>
      <c r="K494">
        <v>1.3801417263851579</v>
      </c>
      <c r="L494">
        <v>0</v>
      </c>
      <c r="M494" t="str">
        <f>VLOOKUP(fact_daily_prices[[#This Row],[Ticker]], dim_company[], 2, FALSE)</f>
        <v>Apple Inc.</v>
      </c>
      <c r="N494" t="str">
        <f>VLOOKUP(fact_daily_prices[[#This Row],[Ticker]], dim_company[], 3, FALSE)</f>
        <v>Technology</v>
      </c>
    </row>
    <row r="495" spans="1:14" x14ac:dyDescent="0.3">
      <c r="A495" s="1">
        <v>46196</v>
      </c>
      <c r="B495">
        <v>294.29998779296875</v>
      </c>
      <c r="C495">
        <v>301.6400146484375</v>
      </c>
      <c r="D495">
        <v>294.17999267578125</v>
      </c>
      <c r="E495">
        <v>297.54000854492188</v>
      </c>
      <c r="F495">
        <v>52010900</v>
      </c>
      <c r="G495" s="2" t="s">
        <v>12</v>
      </c>
      <c r="H495">
        <v>-0.91243455895468895</v>
      </c>
      <c r="I495">
        <v>133.98752299961535</v>
      </c>
      <c r="J495">
        <v>290.0935632324219</v>
      </c>
      <c r="K495">
        <v>1.3431079198010554</v>
      </c>
      <c r="L495">
        <v>0</v>
      </c>
      <c r="M495" t="str">
        <f>VLOOKUP(fact_daily_prices[[#This Row],[Ticker]], dim_company[], 2, FALSE)</f>
        <v>Apple Inc.</v>
      </c>
      <c r="N495" t="str">
        <f>VLOOKUP(fact_daily_prices[[#This Row],[Ticker]], dim_company[], 3, FALSE)</f>
        <v>Technology</v>
      </c>
    </row>
    <row r="496" spans="1:14" x14ac:dyDescent="0.3">
      <c r="A496" s="1">
        <v>46197</v>
      </c>
      <c r="B496">
        <v>293.07998657226563</v>
      </c>
      <c r="C496">
        <v>299.70001220703125</v>
      </c>
      <c r="D496">
        <v>292.94000244140625</v>
      </c>
      <c r="E496">
        <v>295.3599853515625</v>
      </c>
      <c r="F496">
        <v>53081900</v>
      </c>
      <c r="G496" s="2" t="s">
        <v>12</v>
      </c>
      <c r="H496">
        <v>-0.41454341532672911</v>
      </c>
      <c r="I496">
        <v>133.43208654566104</v>
      </c>
      <c r="J496">
        <v>290.7759344482422</v>
      </c>
      <c r="K496">
        <v>1.3452418081482731</v>
      </c>
      <c r="L496">
        <v>0</v>
      </c>
      <c r="M496" t="str">
        <f>VLOOKUP(fact_daily_prices[[#This Row],[Ticker]], dim_company[], 2, FALSE)</f>
        <v>Apple Inc.</v>
      </c>
      <c r="N496" t="str">
        <f>VLOOKUP(fact_daily_prices[[#This Row],[Ticker]], dim_company[], 3, FALSE)</f>
        <v>Technology</v>
      </c>
    </row>
    <row r="497" spans="1:14" x14ac:dyDescent="0.3">
      <c r="A497" s="1">
        <v>46198</v>
      </c>
      <c r="B497">
        <v>275.14999389648438</v>
      </c>
      <c r="C497">
        <v>288.79998779296875</v>
      </c>
      <c r="D497">
        <v>273.75</v>
      </c>
      <c r="E497">
        <v>287.39999389648438</v>
      </c>
      <c r="F497">
        <v>107013700</v>
      </c>
      <c r="G497" s="2" t="s">
        <v>12</v>
      </c>
      <c r="H497">
        <v>-6.1177813215711367</v>
      </c>
      <c r="I497">
        <v>125.26900327798796</v>
      </c>
      <c r="J497">
        <v>291.10709960937498</v>
      </c>
      <c r="K497">
        <v>1.7420280716719612</v>
      </c>
      <c r="L497">
        <v>1</v>
      </c>
      <c r="M497" t="str">
        <f>VLOOKUP(fact_daily_prices[[#This Row],[Ticker]], dim_company[], 2, FALSE)</f>
        <v>Apple Inc.</v>
      </c>
      <c r="N497" t="str">
        <f>VLOOKUP(fact_daily_prices[[#This Row],[Ticker]], dim_company[], 3, FALSE)</f>
        <v>Technology</v>
      </c>
    </row>
    <row r="498" spans="1:14" x14ac:dyDescent="0.3">
      <c r="A498" s="1">
        <v>46199</v>
      </c>
      <c r="B498">
        <v>283.77999877929688</v>
      </c>
      <c r="C498">
        <v>285.95001220703125</v>
      </c>
      <c r="D498">
        <v>274.20999145507813</v>
      </c>
      <c r="E498">
        <v>275</v>
      </c>
      <c r="F498">
        <v>261775500</v>
      </c>
      <c r="G498" s="2" t="s">
        <v>12</v>
      </c>
      <c r="H498">
        <v>3.1364728599845959</v>
      </c>
      <c r="I498">
        <v>129.19803156777525</v>
      </c>
      <c r="J498">
        <v>291.45900451660157</v>
      </c>
      <c r="K498">
        <v>1.8249980580149987</v>
      </c>
      <c r="L498">
        <v>1</v>
      </c>
      <c r="M498" t="str">
        <f>VLOOKUP(fact_daily_prices[[#This Row],[Ticker]], dim_company[], 2, FALSE)</f>
        <v>Apple Inc.</v>
      </c>
      <c r="N498" t="str">
        <f>VLOOKUP(fact_daily_prices[[#This Row],[Ticker]], dim_company[], 3, FALSE)</f>
        <v>Technology</v>
      </c>
    </row>
    <row r="499" spans="1:14" x14ac:dyDescent="0.3">
      <c r="A499" s="1">
        <v>46202</v>
      </c>
      <c r="B499">
        <v>281.739990234375</v>
      </c>
      <c r="C499">
        <v>288.3699951171875</v>
      </c>
      <c r="D499">
        <v>279.85000610351563</v>
      </c>
      <c r="E499">
        <v>286.73001098632813</v>
      </c>
      <c r="F499">
        <v>66427000</v>
      </c>
      <c r="G499" s="2" t="s">
        <v>12</v>
      </c>
      <c r="H499">
        <v>-0.71886974194698139</v>
      </c>
      <c r="I499">
        <v>128.26926601164342</v>
      </c>
      <c r="J499">
        <v>291.83065368652342</v>
      </c>
      <c r="K499">
        <v>1.8278691830130969</v>
      </c>
      <c r="L499">
        <v>0</v>
      </c>
      <c r="M499" t="str">
        <f>VLOOKUP(fact_daily_prices[[#This Row],[Ticker]], dim_company[], 2, FALSE)</f>
        <v>Apple Inc.</v>
      </c>
      <c r="N499" t="str">
        <f>VLOOKUP(fact_daily_prices[[#This Row],[Ticker]], dim_company[], 3, FALSE)</f>
        <v>Technology</v>
      </c>
    </row>
    <row r="500" spans="1:14" x14ac:dyDescent="0.3">
      <c r="A500" s="1">
        <v>46203</v>
      </c>
      <c r="B500">
        <v>281.739990234375</v>
      </c>
      <c r="C500">
        <v>289.94000244140625</v>
      </c>
      <c r="D500">
        <v>280.70001220703125</v>
      </c>
      <c r="E500">
        <v>281.17001342773438</v>
      </c>
      <c r="F500">
        <v>65100200</v>
      </c>
      <c r="G500" s="2" t="s">
        <v>12</v>
      </c>
      <c r="H500">
        <v>0</v>
      </c>
      <c r="I500">
        <v>128.26926601164342</v>
      </c>
      <c r="J500">
        <v>292.06582824707033</v>
      </c>
      <c r="K500">
        <v>1.8211763466570303</v>
      </c>
      <c r="L500">
        <v>0</v>
      </c>
      <c r="M500" t="str">
        <f>VLOOKUP(fact_daily_prices[[#This Row],[Ticker]], dim_company[], 2, FALSE)</f>
        <v>Apple Inc.</v>
      </c>
      <c r="N500" t="str">
        <f>VLOOKUP(fact_daily_prices[[#This Row],[Ticker]], dim_company[], 3, FALSE)</f>
        <v>Technology</v>
      </c>
    </row>
    <row r="501" spans="1:14" x14ac:dyDescent="0.3">
      <c r="A501" s="1">
        <v>46204</v>
      </c>
      <c r="B501">
        <v>294.3800048828125</v>
      </c>
      <c r="C501">
        <v>296.58999633789063</v>
      </c>
      <c r="D501">
        <v>289.20001220703125</v>
      </c>
      <c r="E501">
        <v>293.44000244140625</v>
      </c>
      <c r="F501">
        <v>46108400</v>
      </c>
      <c r="G501" s="2" t="s">
        <v>12</v>
      </c>
      <c r="H501">
        <v>4.4864112609368956</v>
      </c>
      <c r="I501">
        <v>134.02395280631089</v>
      </c>
      <c r="J501">
        <v>292.49745544433591</v>
      </c>
      <c r="K501">
        <v>2.0069883956305659</v>
      </c>
      <c r="L501">
        <v>0</v>
      </c>
      <c r="M501" t="str">
        <f>VLOOKUP(fact_daily_prices[[#This Row],[Ticker]], dim_company[], 2, FALSE)</f>
        <v>Apple Inc.</v>
      </c>
      <c r="N501" t="str">
        <f>VLOOKUP(fact_daily_prices[[#This Row],[Ticker]], dim_company[], 3, FALSE)</f>
        <v>Technology</v>
      </c>
    </row>
    <row r="502" spans="1:14" x14ac:dyDescent="0.3">
      <c r="A502" s="1">
        <v>46205</v>
      </c>
      <c r="B502">
        <v>308.6300048828125</v>
      </c>
      <c r="C502">
        <v>309.42001342773438</v>
      </c>
      <c r="D502">
        <v>293.67999267578125</v>
      </c>
      <c r="E502">
        <v>294.1199951171875</v>
      </c>
      <c r="F502">
        <v>75352800</v>
      </c>
      <c r="G502" s="2" t="s">
        <v>12</v>
      </c>
      <c r="H502">
        <v>4.8406820312652199</v>
      </c>
      <c r="I502">
        <v>140.51162620739737</v>
      </c>
      <c r="J502">
        <v>293.35155517578124</v>
      </c>
      <c r="K502">
        <v>2.1941074947190913</v>
      </c>
      <c r="L502">
        <v>0</v>
      </c>
      <c r="M502" t="str">
        <f>VLOOKUP(fact_daily_prices[[#This Row],[Ticker]], dim_company[], 2, FALSE)</f>
        <v>Apple Inc.</v>
      </c>
      <c r="N502" t="str">
        <f>VLOOKUP(fact_daily_prices[[#This Row],[Ticker]], dim_company[], 3, FALSE)</f>
        <v>Technology</v>
      </c>
    </row>
    <row r="503" spans="1:14" x14ac:dyDescent="0.3">
      <c r="A503" s="1">
        <v>45476</v>
      </c>
      <c r="B503">
        <v>200.06886291503903</v>
      </c>
      <c r="C503">
        <v>201.68905009612223</v>
      </c>
      <c r="D503">
        <v>199.07181789817079</v>
      </c>
      <c r="E503">
        <v>200.89333625926449</v>
      </c>
      <c r="F503">
        <v>5560900</v>
      </c>
      <c r="G503" s="2" t="s">
        <v>13</v>
      </c>
      <c r="I503">
        <v>100</v>
      </c>
      <c r="L503">
        <v>0</v>
      </c>
      <c r="M503" t="str">
        <f>VLOOKUP(fact_daily_prices[[#This Row],[Ticker]], dim_company[], 2, FALSE)</f>
        <v>JPMorgan Chase &amp; Co.</v>
      </c>
      <c r="N503" t="str">
        <f>VLOOKUP(fact_daily_prices[[#This Row],[Ticker]], dim_company[], 3, FALSE)</f>
        <v>Financials</v>
      </c>
    </row>
    <row r="504" spans="1:14" x14ac:dyDescent="0.3">
      <c r="A504" s="1">
        <v>45478</v>
      </c>
      <c r="B504">
        <v>197.41783142089844</v>
      </c>
      <c r="C504">
        <v>199.90495668701004</v>
      </c>
      <c r="D504">
        <v>197.15756164535284</v>
      </c>
      <c r="E504">
        <v>199.53864617381839</v>
      </c>
      <c r="F504">
        <v>8093100</v>
      </c>
      <c r="G504" s="2" t="s">
        <v>13</v>
      </c>
      <c r="H504">
        <v>-1.3250595097680895</v>
      </c>
      <c r="I504">
        <v>98.674940490231904</v>
      </c>
      <c r="L504">
        <v>0</v>
      </c>
      <c r="M504" t="str">
        <f>VLOOKUP(fact_daily_prices[[#This Row],[Ticker]], dim_company[], 2, FALSE)</f>
        <v>JPMorgan Chase &amp; Co.</v>
      </c>
      <c r="N504" t="str">
        <f>VLOOKUP(fact_daily_prices[[#This Row],[Ticker]], dim_company[], 3, FALSE)</f>
        <v>Financials</v>
      </c>
    </row>
    <row r="505" spans="1:14" x14ac:dyDescent="0.3">
      <c r="A505" s="1">
        <v>45481</v>
      </c>
      <c r="B505">
        <v>197.78414916992188</v>
      </c>
      <c r="C505">
        <v>199.45186733579689</v>
      </c>
      <c r="D505">
        <v>196.62735052717321</v>
      </c>
      <c r="E505">
        <v>197.65882429121405</v>
      </c>
      <c r="F505">
        <v>8707000</v>
      </c>
      <c r="G505" s="2" t="s">
        <v>13</v>
      </c>
      <c r="H505">
        <v>0.18555454002655569</v>
      </c>
      <c r="I505">
        <v>98.858036322180041</v>
      </c>
      <c r="L505">
        <v>0</v>
      </c>
      <c r="M505" t="str">
        <f>VLOOKUP(fact_daily_prices[[#This Row],[Ticker]], dim_company[], 2, FALSE)</f>
        <v>JPMorgan Chase &amp; Co.</v>
      </c>
      <c r="N505" t="str">
        <f>VLOOKUP(fact_daily_prices[[#This Row],[Ticker]], dim_company[], 3, FALSE)</f>
        <v>Financials</v>
      </c>
    </row>
    <row r="506" spans="1:14" x14ac:dyDescent="0.3">
      <c r="A506" s="1">
        <v>45482</v>
      </c>
      <c r="B506">
        <v>200.15560913085929</v>
      </c>
      <c r="C506">
        <v>202.20892204620341</v>
      </c>
      <c r="D506">
        <v>198.05407849563011</v>
      </c>
      <c r="E506">
        <v>198.22760639114145</v>
      </c>
      <c r="F506">
        <v>9058900</v>
      </c>
      <c r="G506" s="2" t="s">
        <v>13</v>
      </c>
      <c r="H506">
        <v>1.1990141631117446</v>
      </c>
      <c r="I506">
        <v>100.04335817905712</v>
      </c>
      <c r="L506">
        <v>0</v>
      </c>
      <c r="M506" t="str">
        <f>VLOOKUP(fact_daily_prices[[#This Row],[Ticker]], dim_company[], 2, FALSE)</f>
        <v>JPMorgan Chase &amp; Co.</v>
      </c>
      <c r="N506" t="str">
        <f>VLOOKUP(fact_daily_prices[[#This Row],[Ticker]], dim_company[], 3, FALSE)</f>
        <v>Financials</v>
      </c>
    </row>
    <row r="507" spans="1:14" x14ac:dyDescent="0.3">
      <c r="A507" s="1">
        <v>45483</v>
      </c>
      <c r="B507">
        <v>200.31947326660159</v>
      </c>
      <c r="C507">
        <v>200.48335172261361</v>
      </c>
      <c r="D507">
        <v>198.17938920186893</v>
      </c>
      <c r="E507">
        <v>198.71922757684789</v>
      </c>
      <c r="F507">
        <v>8328500</v>
      </c>
      <c r="G507" s="2" t="s">
        <v>13</v>
      </c>
      <c r="H507">
        <v>8.1868370541227087E-2</v>
      </c>
      <c r="I507">
        <v>100.12526204623305</v>
      </c>
      <c r="L507">
        <v>0</v>
      </c>
      <c r="M507" t="str">
        <f>VLOOKUP(fact_daily_prices[[#This Row],[Ticker]], dim_company[], 2, FALSE)</f>
        <v>JPMorgan Chase &amp; Co.</v>
      </c>
      <c r="N507" t="str">
        <f>VLOOKUP(fact_daily_prices[[#This Row],[Ticker]], dim_company[], 3, FALSE)</f>
        <v>Financials</v>
      </c>
    </row>
    <row r="508" spans="1:14" x14ac:dyDescent="0.3">
      <c r="A508" s="1">
        <v>45484</v>
      </c>
      <c r="B508">
        <v>199.9820556640625</v>
      </c>
      <c r="C508">
        <v>200.60866530004373</v>
      </c>
      <c r="D508">
        <v>197.98658073254825</v>
      </c>
      <c r="E508">
        <v>198.78670353236041</v>
      </c>
      <c r="F508">
        <v>10658100</v>
      </c>
      <c r="G508" s="2" t="s">
        <v>13</v>
      </c>
      <c r="H508">
        <v>-0.1684397412976546</v>
      </c>
      <c r="I508">
        <v>99.956611313868777</v>
      </c>
      <c r="L508">
        <v>0</v>
      </c>
      <c r="M508" t="str">
        <f>VLOOKUP(fact_daily_prices[[#This Row],[Ticker]], dim_company[], 2, FALSE)</f>
        <v>JPMorgan Chase &amp; Co.</v>
      </c>
      <c r="N508" t="str">
        <f>VLOOKUP(fact_daily_prices[[#This Row],[Ticker]], dim_company[], 3, FALSE)</f>
        <v>Financials</v>
      </c>
    </row>
    <row r="509" spans="1:14" x14ac:dyDescent="0.3">
      <c r="A509" s="1">
        <v>45485</v>
      </c>
      <c r="B509">
        <v>197.56242370605469</v>
      </c>
      <c r="C509">
        <v>199.98206161154931</v>
      </c>
      <c r="D509">
        <v>194.82466361458401</v>
      </c>
      <c r="E509">
        <v>196.65626015378811</v>
      </c>
      <c r="F509">
        <v>15443400</v>
      </c>
      <c r="G509" s="2" t="s">
        <v>13</v>
      </c>
      <c r="H509">
        <v>-1.209924535465523</v>
      </c>
      <c r="I509">
        <v>98.747211748762368</v>
      </c>
      <c r="L509">
        <v>0</v>
      </c>
      <c r="M509" t="str">
        <f>VLOOKUP(fact_daily_prices[[#This Row],[Ticker]], dim_company[], 2, FALSE)</f>
        <v>JPMorgan Chase &amp; Co.</v>
      </c>
      <c r="N509" t="str">
        <f>VLOOKUP(fact_daily_prices[[#This Row],[Ticker]], dim_company[], 3, FALSE)</f>
        <v>Financials</v>
      </c>
    </row>
    <row r="510" spans="1:14" x14ac:dyDescent="0.3">
      <c r="A510" s="1">
        <v>45488</v>
      </c>
      <c r="B510">
        <v>202.48847961425781</v>
      </c>
      <c r="C510">
        <v>203.99231931553007</v>
      </c>
      <c r="D510">
        <v>199.27835346292989</v>
      </c>
      <c r="E510">
        <v>199.731435258761</v>
      </c>
      <c r="F510">
        <v>10719700</v>
      </c>
      <c r="G510" s="2" t="s">
        <v>13</v>
      </c>
      <c r="H510">
        <v>2.4934174301953327</v>
      </c>
      <c r="I510">
        <v>101.20939193833789</v>
      </c>
      <c r="L510">
        <v>0</v>
      </c>
      <c r="M510" t="str">
        <f>VLOOKUP(fact_daily_prices[[#This Row],[Ticker]], dim_company[], 2, FALSE)</f>
        <v>JPMorgan Chase &amp; Co.</v>
      </c>
      <c r="N510" t="str">
        <f>VLOOKUP(fact_daily_prices[[#This Row],[Ticker]], dim_company[], 3, FALSE)</f>
        <v>Financials</v>
      </c>
    </row>
    <row r="511" spans="1:14" x14ac:dyDescent="0.3">
      <c r="A511" s="1">
        <v>45489</v>
      </c>
      <c r="B511">
        <v>205.92996215820313</v>
      </c>
      <c r="C511">
        <v>206.04565232180363</v>
      </c>
      <c r="D511">
        <v>200.58940119084525</v>
      </c>
      <c r="E511">
        <v>202.44028200402863</v>
      </c>
      <c r="F511">
        <v>11557000</v>
      </c>
      <c r="G511" s="2" t="s">
        <v>13</v>
      </c>
      <c r="H511">
        <v>1.6995942438312373</v>
      </c>
      <c r="I511">
        <v>102.9295409379385</v>
      </c>
      <c r="L511">
        <v>0</v>
      </c>
      <c r="M511" t="str">
        <f>VLOOKUP(fact_daily_prices[[#This Row],[Ticker]], dim_company[], 2, FALSE)</f>
        <v>JPMorgan Chase &amp; Co.</v>
      </c>
      <c r="N511" t="str">
        <f>VLOOKUP(fact_daily_prices[[#This Row],[Ticker]], dim_company[], 3, FALSE)</f>
        <v>Financials</v>
      </c>
    </row>
    <row r="512" spans="1:14" x14ac:dyDescent="0.3">
      <c r="A512" s="1">
        <v>45490</v>
      </c>
      <c r="B512">
        <v>209.06297302246091</v>
      </c>
      <c r="C512">
        <v>209.72813632324488</v>
      </c>
      <c r="D512">
        <v>205.59257690590508</v>
      </c>
      <c r="E512">
        <v>206.10349645675493</v>
      </c>
      <c r="F512">
        <v>11572500</v>
      </c>
      <c r="G512" s="2" t="s">
        <v>13</v>
      </c>
      <c r="H512">
        <v>1.5213963191285762</v>
      </c>
      <c r="I512">
        <v>104.49550718506421</v>
      </c>
      <c r="L512">
        <v>0</v>
      </c>
      <c r="M512" t="str">
        <f>VLOOKUP(fact_daily_prices[[#This Row],[Ticker]], dim_company[], 2, FALSE)</f>
        <v>JPMorgan Chase &amp; Co.</v>
      </c>
      <c r="N512" t="str">
        <f>VLOOKUP(fact_daily_prices[[#This Row],[Ticker]], dim_company[], 3, FALSE)</f>
        <v>Financials</v>
      </c>
    </row>
    <row r="513" spans="1:14" x14ac:dyDescent="0.3">
      <c r="A513" s="1">
        <v>45491</v>
      </c>
      <c r="B513">
        <v>202.4209899902344</v>
      </c>
      <c r="C513">
        <v>208.84124221450841</v>
      </c>
      <c r="D513">
        <v>201.70763843831011</v>
      </c>
      <c r="E513">
        <v>207.86760619146685</v>
      </c>
      <c r="F513">
        <v>12415100</v>
      </c>
      <c r="G513" s="2" t="s">
        <v>13</v>
      </c>
      <c r="H513">
        <v>-3.1770250543184053</v>
      </c>
      <c r="I513">
        <v>101.17565874115766</v>
      </c>
      <c r="L513">
        <v>0</v>
      </c>
      <c r="M513" t="str">
        <f>VLOOKUP(fact_daily_prices[[#This Row],[Ticker]], dim_company[], 2, FALSE)</f>
        <v>JPMorgan Chase &amp; Co.</v>
      </c>
      <c r="N513" t="str">
        <f>VLOOKUP(fact_daily_prices[[#This Row],[Ticker]], dim_company[], 3, FALSE)</f>
        <v>Financials</v>
      </c>
    </row>
    <row r="514" spans="1:14" x14ac:dyDescent="0.3">
      <c r="A514" s="1">
        <v>45492</v>
      </c>
      <c r="B514">
        <v>202.22819519042969</v>
      </c>
      <c r="C514">
        <v>204.70568563674121</v>
      </c>
      <c r="D514">
        <v>201.39915346907361</v>
      </c>
      <c r="E514">
        <v>203.59707529601897</v>
      </c>
      <c r="F514">
        <v>8095900</v>
      </c>
      <c r="G514" s="2" t="s">
        <v>13</v>
      </c>
      <c r="H514">
        <v>-9.5244470355582145E-2</v>
      </c>
      <c r="I514">
        <v>101.07929452086086</v>
      </c>
      <c r="L514">
        <v>0</v>
      </c>
      <c r="M514" t="str">
        <f>VLOOKUP(fact_daily_prices[[#This Row],[Ticker]], dim_company[], 2, FALSE)</f>
        <v>JPMorgan Chase &amp; Co.</v>
      </c>
      <c r="N514" t="str">
        <f>VLOOKUP(fact_daily_prices[[#This Row],[Ticker]], dim_company[], 3, FALSE)</f>
        <v>Financials</v>
      </c>
    </row>
    <row r="515" spans="1:14" x14ac:dyDescent="0.3">
      <c r="A515" s="1">
        <v>45495</v>
      </c>
      <c r="B515">
        <v>202.71018981933599</v>
      </c>
      <c r="C515">
        <v>204.53215166667349</v>
      </c>
      <c r="D515">
        <v>202.16071673369049</v>
      </c>
      <c r="E515">
        <v>202.883717700245</v>
      </c>
      <c r="F515">
        <v>7663200</v>
      </c>
      <c r="G515" s="2" t="s">
        <v>13</v>
      </c>
      <c r="H515">
        <v>0.23834195249206047</v>
      </c>
      <c r="I515">
        <v>101.32020888498707</v>
      </c>
      <c r="L515">
        <v>0</v>
      </c>
      <c r="M515" t="str">
        <f>VLOOKUP(fact_daily_prices[[#This Row],[Ticker]], dim_company[], 2, FALSE)</f>
        <v>JPMorgan Chase &amp; Co.</v>
      </c>
      <c r="N515" t="str">
        <f>VLOOKUP(fact_daily_prices[[#This Row],[Ticker]], dim_company[], 3, FALSE)</f>
        <v>Financials</v>
      </c>
    </row>
    <row r="516" spans="1:14" x14ac:dyDescent="0.3">
      <c r="A516" s="1">
        <v>45496</v>
      </c>
      <c r="B516">
        <v>202.7583923339844</v>
      </c>
      <c r="C516">
        <v>203.86698792954928</v>
      </c>
      <c r="D516">
        <v>201.81367519196863</v>
      </c>
      <c r="E516">
        <v>203.42355557512025</v>
      </c>
      <c r="F516">
        <v>5557300</v>
      </c>
      <c r="G516" s="2" t="s">
        <v>13</v>
      </c>
      <c r="H516">
        <v>2.3779028913817335E-2</v>
      </c>
      <c r="I516">
        <v>101.34430184675338</v>
      </c>
      <c r="L516">
        <v>0</v>
      </c>
      <c r="M516" t="str">
        <f>VLOOKUP(fact_daily_prices[[#This Row],[Ticker]], dim_company[], 2, FALSE)</f>
        <v>JPMorgan Chase &amp; Co.</v>
      </c>
      <c r="N516" t="str">
        <f>VLOOKUP(fact_daily_prices[[#This Row],[Ticker]], dim_company[], 3, FALSE)</f>
        <v>Financials</v>
      </c>
    </row>
    <row r="517" spans="1:14" x14ac:dyDescent="0.3">
      <c r="A517" s="1">
        <v>45497</v>
      </c>
      <c r="B517">
        <v>201.08103942871091</v>
      </c>
      <c r="C517">
        <v>204.39720644869959</v>
      </c>
      <c r="D517">
        <v>200.57976931414959</v>
      </c>
      <c r="E517">
        <v>202.00648720315863</v>
      </c>
      <c r="F517">
        <v>7119000</v>
      </c>
      <c r="G517" s="2" t="s">
        <v>13</v>
      </c>
      <c r="H517">
        <v>-0.82726682035955124</v>
      </c>
      <c r="I517">
        <v>100.50591406325016</v>
      </c>
      <c r="L517">
        <v>0</v>
      </c>
      <c r="M517" t="str">
        <f>VLOOKUP(fact_daily_prices[[#This Row],[Ticker]], dim_company[], 2, FALSE)</f>
        <v>JPMorgan Chase &amp; Co.</v>
      </c>
      <c r="N517" t="str">
        <f>VLOOKUP(fact_daily_prices[[#This Row],[Ticker]], dim_company[], 3, FALSE)</f>
        <v>Financials</v>
      </c>
    </row>
    <row r="518" spans="1:14" x14ac:dyDescent="0.3">
      <c r="A518" s="1">
        <v>45498</v>
      </c>
      <c r="B518">
        <v>201.15812683105469</v>
      </c>
      <c r="C518">
        <v>202.62341276054369</v>
      </c>
      <c r="D518">
        <v>200.5604507994631</v>
      </c>
      <c r="E518">
        <v>201.13884268857049</v>
      </c>
      <c r="F518">
        <v>6403800</v>
      </c>
      <c r="G518" s="2" t="s">
        <v>13</v>
      </c>
      <c r="H518">
        <v>3.8336484913137348E-2</v>
      </c>
      <c r="I518">
        <v>100.54444449783185</v>
      </c>
      <c r="L518">
        <v>0</v>
      </c>
      <c r="M518" t="str">
        <f>VLOOKUP(fact_daily_prices[[#This Row],[Ticker]], dim_company[], 2, FALSE)</f>
        <v>JPMorgan Chase &amp; Co.</v>
      </c>
      <c r="N518" t="str">
        <f>VLOOKUP(fact_daily_prices[[#This Row],[Ticker]], dim_company[], 3, FALSE)</f>
        <v>Financials</v>
      </c>
    </row>
    <row r="519" spans="1:14" x14ac:dyDescent="0.3">
      <c r="A519" s="1">
        <v>45499</v>
      </c>
      <c r="B519">
        <v>204.59963989257807</v>
      </c>
      <c r="C519">
        <v>205.48651931773961</v>
      </c>
      <c r="D519">
        <v>201.10994520654936</v>
      </c>
      <c r="E519">
        <v>201.70763601116329</v>
      </c>
      <c r="F519">
        <v>8027800</v>
      </c>
      <c r="G519" s="2" t="s">
        <v>13</v>
      </c>
      <c r="H519">
        <v>1.7108496264800488</v>
      </c>
      <c r="I519">
        <v>102.26460875096946</v>
      </c>
      <c r="L519">
        <v>0</v>
      </c>
      <c r="M519" t="str">
        <f>VLOOKUP(fact_daily_prices[[#This Row],[Ticker]], dim_company[], 2, FALSE)</f>
        <v>JPMorgan Chase &amp; Co.</v>
      </c>
      <c r="N519" t="str">
        <f>VLOOKUP(fact_daily_prices[[#This Row],[Ticker]], dim_company[], 3, FALSE)</f>
        <v>Financials</v>
      </c>
    </row>
    <row r="520" spans="1:14" x14ac:dyDescent="0.3">
      <c r="A520" s="1">
        <v>45502</v>
      </c>
      <c r="B520">
        <v>203.2596740722656</v>
      </c>
      <c r="C520">
        <v>205.92031228740183</v>
      </c>
      <c r="D520">
        <v>202.97047074878529</v>
      </c>
      <c r="E520">
        <v>204.99486459416329</v>
      </c>
      <c r="F520">
        <v>6533600</v>
      </c>
      <c r="G520" s="2" t="s">
        <v>13</v>
      </c>
      <c r="H520">
        <v>-0.65492090847080187</v>
      </c>
      <c r="I520">
        <v>101.59485644629346</v>
      </c>
      <c r="L520">
        <v>0</v>
      </c>
      <c r="M520" t="str">
        <f>VLOOKUP(fact_daily_prices[[#This Row],[Ticker]], dim_company[], 2, FALSE)</f>
        <v>JPMorgan Chase &amp; Co.</v>
      </c>
      <c r="N520" t="str">
        <f>VLOOKUP(fact_daily_prices[[#This Row],[Ticker]], dim_company[], 3, FALSE)</f>
        <v>Financials</v>
      </c>
    </row>
    <row r="521" spans="1:14" x14ac:dyDescent="0.3">
      <c r="A521" s="1">
        <v>45503</v>
      </c>
      <c r="B521">
        <v>207.44343566894531</v>
      </c>
      <c r="C521">
        <v>208.02182760531736</v>
      </c>
      <c r="D521">
        <v>205.29371695525305</v>
      </c>
      <c r="E521">
        <v>205.55398670734905</v>
      </c>
      <c r="F521">
        <v>8850700</v>
      </c>
      <c r="G521" s="2" t="s">
        <v>13</v>
      </c>
      <c r="H521">
        <v>2.0583333195704379</v>
      </c>
      <c r="I521">
        <v>103.68601722749729</v>
      </c>
      <c r="L521">
        <v>0</v>
      </c>
      <c r="M521" t="str">
        <f>VLOOKUP(fact_daily_prices[[#This Row],[Ticker]], dim_company[], 2, FALSE)</f>
        <v>JPMorgan Chase &amp; Co.</v>
      </c>
      <c r="N521" t="str">
        <f>VLOOKUP(fact_daily_prices[[#This Row],[Ticker]], dim_company[], 3, FALSE)</f>
        <v>Financials</v>
      </c>
    </row>
    <row r="522" spans="1:14" x14ac:dyDescent="0.3">
      <c r="A522" s="1">
        <v>45504</v>
      </c>
      <c r="B522">
        <v>205.13948059082031</v>
      </c>
      <c r="C522">
        <v>208.60024174456291</v>
      </c>
      <c r="D522">
        <v>205.01415571416632</v>
      </c>
      <c r="E522">
        <v>207.0481990555499</v>
      </c>
      <c r="F522">
        <v>9071600</v>
      </c>
      <c r="G522" s="2" t="s">
        <v>13</v>
      </c>
      <c r="H522">
        <v>-1.1106425569434863</v>
      </c>
      <c r="I522">
        <v>102.53443619456894</v>
      </c>
      <c r="L522">
        <v>0</v>
      </c>
      <c r="M522" t="str">
        <f>VLOOKUP(fact_daily_prices[[#This Row],[Ticker]], dim_company[], 2, FALSE)</f>
        <v>JPMorgan Chase &amp; Co.</v>
      </c>
      <c r="N522" t="str">
        <f>VLOOKUP(fact_daily_prices[[#This Row],[Ticker]], dim_company[], 3, FALSE)</f>
        <v>Financials</v>
      </c>
    </row>
    <row r="523" spans="1:14" x14ac:dyDescent="0.3">
      <c r="A523" s="1">
        <v>45505</v>
      </c>
      <c r="B523">
        <v>200.47373962402344</v>
      </c>
      <c r="C523">
        <v>206.13242319166</v>
      </c>
      <c r="D523">
        <v>198.95061563162929</v>
      </c>
      <c r="E523">
        <v>205.52509759653921</v>
      </c>
      <c r="F523">
        <v>10918600</v>
      </c>
      <c r="G523" s="2" t="s">
        <v>13</v>
      </c>
      <c r="H523">
        <v>-2.2744237010638435</v>
      </c>
      <c r="I523">
        <v>100.2023686760075</v>
      </c>
      <c r="L523">
        <v>0</v>
      </c>
      <c r="M523" t="str">
        <f>VLOOKUP(fact_daily_prices[[#This Row],[Ticker]], dim_company[], 2, FALSE)</f>
        <v>JPMorgan Chase &amp; Co.</v>
      </c>
      <c r="N523" t="str">
        <f>VLOOKUP(fact_daily_prices[[#This Row],[Ticker]], dim_company[], 3, FALSE)</f>
        <v>Financials</v>
      </c>
    </row>
    <row r="524" spans="1:14" x14ac:dyDescent="0.3">
      <c r="A524" s="1">
        <v>45506</v>
      </c>
      <c r="B524">
        <v>191.97119140625</v>
      </c>
      <c r="C524">
        <v>197.3021166718444</v>
      </c>
      <c r="D524">
        <v>189.80218878503919</v>
      </c>
      <c r="E524">
        <v>196.54056222368399</v>
      </c>
      <c r="F524">
        <v>18041700</v>
      </c>
      <c r="G524" s="2" t="s">
        <v>13</v>
      </c>
      <c r="H524">
        <v>-4.2412279202849508</v>
      </c>
      <c r="I524">
        <v>95.952557838933799</v>
      </c>
      <c r="L524">
        <v>0</v>
      </c>
      <c r="M524" t="str">
        <f>VLOOKUP(fact_daily_prices[[#This Row],[Ticker]], dim_company[], 2, FALSE)</f>
        <v>JPMorgan Chase &amp; Co.</v>
      </c>
      <c r="N524" t="str">
        <f>VLOOKUP(fact_daily_prices[[#This Row],[Ticker]], dim_company[], 3, FALSE)</f>
        <v>Financials</v>
      </c>
    </row>
    <row r="525" spans="1:14" x14ac:dyDescent="0.3">
      <c r="A525" s="1">
        <v>45509</v>
      </c>
      <c r="B525">
        <v>187.88385009765625</v>
      </c>
      <c r="C525">
        <v>189.10813588433089</v>
      </c>
      <c r="D525">
        <v>184.0278448440605</v>
      </c>
      <c r="E525">
        <v>187.06445780696279</v>
      </c>
      <c r="F525">
        <v>13927000</v>
      </c>
      <c r="G525" s="2" t="s">
        <v>13</v>
      </c>
      <c r="H525">
        <v>-2.129143064984218</v>
      </c>
      <c r="I525">
        <v>93.909590608031166</v>
      </c>
      <c r="L525">
        <v>0</v>
      </c>
      <c r="M525" t="str">
        <f>VLOOKUP(fact_daily_prices[[#This Row],[Ticker]], dim_company[], 2, FALSE)</f>
        <v>JPMorgan Chase &amp; Co.</v>
      </c>
      <c r="N525" t="str">
        <f>VLOOKUP(fact_daily_prices[[#This Row],[Ticker]], dim_company[], 3, FALSE)</f>
        <v>Financials</v>
      </c>
    </row>
    <row r="526" spans="1:14" x14ac:dyDescent="0.3">
      <c r="A526" s="1">
        <v>45510</v>
      </c>
      <c r="B526">
        <v>193.12800598144531</v>
      </c>
      <c r="C526">
        <v>195.30665821021745</v>
      </c>
      <c r="D526">
        <v>187.01624161562503</v>
      </c>
      <c r="E526">
        <v>188.36583747544628</v>
      </c>
      <c r="F526">
        <v>10605800</v>
      </c>
      <c r="G526" s="2" t="s">
        <v>13</v>
      </c>
      <c r="H526">
        <v>2.7911690552771429</v>
      </c>
      <c r="I526">
        <v>96.530766041019973</v>
      </c>
      <c r="L526">
        <v>0</v>
      </c>
      <c r="M526" t="str">
        <f>VLOOKUP(fact_daily_prices[[#This Row],[Ticker]], dim_company[], 2, FALSE)</f>
        <v>JPMorgan Chase &amp; Co.</v>
      </c>
      <c r="N526" t="str">
        <f>VLOOKUP(fact_daily_prices[[#This Row],[Ticker]], dim_company[], 3, FALSE)</f>
        <v>Financials</v>
      </c>
    </row>
    <row r="527" spans="1:14" x14ac:dyDescent="0.3">
      <c r="A527" s="1">
        <v>45511</v>
      </c>
      <c r="B527">
        <v>193.18583679199219</v>
      </c>
      <c r="C527">
        <v>198.3432491544088</v>
      </c>
      <c r="D527">
        <v>192.99303949169905</v>
      </c>
      <c r="E527">
        <v>196.18388114644819</v>
      </c>
      <c r="F527">
        <v>9204400</v>
      </c>
      <c r="G527" s="2" t="s">
        <v>13</v>
      </c>
      <c r="H527">
        <v>2.9944290188765876E-2</v>
      </c>
      <c r="I527">
        <v>96.559671493724736</v>
      </c>
      <c r="L527">
        <v>0</v>
      </c>
      <c r="M527" t="str">
        <f>VLOOKUP(fact_daily_prices[[#This Row],[Ticker]], dim_company[], 2, FALSE)</f>
        <v>JPMorgan Chase &amp; Co.</v>
      </c>
      <c r="N527" t="str">
        <f>VLOOKUP(fact_daily_prices[[#This Row],[Ticker]], dim_company[], 3, FALSE)</f>
        <v>Financials</v>
      </c>
    </row>
    <row r="528" spans="1:14" x14ac:dyDescent="0.3">
      <c r="A528" s="1">
        <v>45512</v>
      </c>
      <c r="B528">
        <v>196.71409606933599</v>
      </c>
      <c r="C528">
        <v>197.53350302957799</v>
      </c>
      <c r="D528">
        <v>194.52580907593605</v>
      </c>
      <c r="E528">
        <v>195.18133758602809</v>
      </c>
      <c r="F528">
        <v>7761200</v>
      </c>
      <c r="G528" s="2" t="s">
        <v>13</v>
      </c>
      <c r="H528">
        <v>1.8263550454491906</v>
      </c>
      <c r="I528">
        <v>98.323193925919554</v>
      </c>
      <c r="L528">
        <v>0</v>
      </c>
      <c r="M528" t="str">
        <f>VLOOKUP(fact_daily_prices[[#This Row],[Ticker]], dim_company[], 2, FALSE)</f>
        <v>JPMorgan Chase &amp; Co.</v>
      </c>
      <c r="N528" t="str">
        <f>VLOOKUP(fact_daily_prices[[#This Row],[Ticker]], dim_company[], 3, FALSE)</f>
        <v>Financials</v>
      </c>
    </row>
    <row r="529" spans="1:14" x14ac:dyDescent="0.3">
      <c r="A529" s="1">
        <v>45513</v>
      </c>
      <c r="B529">
        <v>198.3914794921875</v>
      </c>
      <c r="C529">
        <v>199.0373586273821</v>
      </c>
      <c r="D529">
        <v>195.59586676952449</v>
      </c>
      <c r="E529">
        <v>196.14535459603681</v>
      </c>
      <c r="F529">
        <v>5540200</v>
      </c>
      <c r="G529" s="2" t="s">
        <v>13</v>
      </c>
      <c r="H529">
        <v>0.85270118225806435</v>
      </c>
      <c r="I529">
        <v>99.161596962959777</v>
      </c>
      <c r="L529">
        <v>0</v>
      </c>
      <c r="M529" t="str">
        <f>VLOOKUP(fact_daily_prices[[#This Row],[Ticker]], dim_company[], 2, FALSE)</f>
        <v>JPMorgan Chase &amp; Co.</v>
      </c>
      <c r="N529" t="str">
        <f>VLOOKUP(fact_daily_prices[[#This Row],[Ticker]], dim_company[], 3, FALSE)</f>
        <v>Financials</v>
      </c>
    </row>
    <row r="530" spans="1:14" x14ac:dyDescent="0.3">
      <c r="A530" s="1">
        <v>45516</v>
      </c>
      <c r="B530">
        <v>198.7674560546875</v>
      </c>
      <c r="C530">
        <v>199.68325446598769</v>
      </c>
      <c r="D530">
        <v>196.3285336276644</v>
      </c>
      <c r="E530">
        <v>198.97953754481944</v>
      </c>
      <c r="F530">
        <v>6936000</v>
      </c>
      <c r="G530" s="2" t="s">
        <v>13</v>
      </c>
      <c r="H530">
        <v>0.18951245459852828</v>
      </c>
      <c r="I530">
        <v>99.349520539383391</v>
      </c>
      <c r="L530">
        <v>0</v>
      </c>
      <c r="M530" t="str">
        <f>VLOOKUP(fact_daily_prices[[#This Row],[Ticker]], dim_company[], 2, FALSE)</f>
        <v>JPMorgan Chase &amp; Co.</v>
      </c>
      <c r="N530" t="str">
        <f>VLOOKUP(fact_daily_prices[[#This Row],[Ticker]], dim_company[], 3, FALSE)</f>
        <v>Financials</v>
      </c>
    </row>
    <row r="531" spans="1:14" x14ac:dyDescent="0.3">
      <c r="A531" s="1">
        <v>45517</v>
      </c>
      <c r="B531">
        <v>200.45443725585929</v>
      </c>
      <c r="C531">
        <v>200.59903157036632</v>
      </c>
      <c r="D531">
        <v>198.00586566059425</v>
      </c>
      <c r="E531">
        <v>200.25199050605681</v>
      </c>
      <c r="F531">
        <v>6387800</v>
      </c>
      <c r="G531" s="2" t="s">
        <v>13</v>
      </c>
      <c r="H531">
        <v>0.84872103042241687</v>
      </c>
      <c r="I531">
        <v>100.19272081382498</v>
      </c>
      <c r="L531">
        <v>0</v>
      </c>
      <c r="M531" t="str">
        <f>VLOOKUP(fact_daily_prices[[#This Row],[Ticker]], dim_company[], 2, FALSE)</f>
        <v>JPMorgan Chase &amp; Co.</v>
      </c>
      <c r="N531" t="str">
        <f>VLOOKUP(fact_daily_prices[[#This Row],[Ticker]], dim_company[], 3, FALSE)</f>
        <v>Financials</v>
      </c>
    </row>
    <row r="532" spans="1:14" x14ac:dyDescent="0.3">
      <c r="A532" s="1">
        <v>45518</v>
      </c>
      <c r="B532">
        <v>202.67164611816409</v>
      </c>
      <c r="C532">
        <v>203.17291622190589</v>
      </c>
      <c r="D532">
        <v>199.66395194824801</v>
      </c>
      <c r="E532">
        <v>200.26164277885249</v>
      </c>
      <c r="F532">
        <v>6999800</v>
      </c>
      <c r="G532" s="2" t="s">
        <v>13</v>
      </c>
      <c r="H532">
        <v>1.1060911859360756</v>
      </c>
      <c r="I532">
        <v>101.30094366769625</v>
      </c>
      <c r="L532">
        <v>0</v>
      </c>
      <c r="M532" t="str">
        <f>VLOOKUP(fact_daily_prices[[#This Row],[Ticker]], dim_company[], 2, FALSE)</f>
        <v>JPMorgan Chase &amp; Co.</v>
      </c>
      <c r="N532" t="str">
        <f>VLOOKUP(fact_daily_prices[[#This Row],[Ticker]], dim_company[], 3, FALSE)</f>
        <v>Financials</v>
      </c>
    </row>
    <row r="533" spans="1:14" x14ac:dyDescent="0.3">
      <c r="A533" s="1">
        <v>45519</v>
      </c>
      <c r="B533">
        <v>203.9344787597656</v>
      </c>
      <c r="C533">
        <v>206.19023828036811</v>
      </c>
      <c r="D533">
        <v>203.50068111495631</v>
      </c>
      <c r="E533">
        <v>205.3322777083701</v>
      </c>
      <c r="F533">
        <v>7001000</v>
      </c>
      <c r="G533" s="2" t="s">
        <v>13</v>
      </c>
      <c r="H533">
        <v>0.62309290213453661</v>
      </c>
      <c r="I533">
        <v>101.93214265748496</v>
      </c>
      <c r="K533">
        <v>1.6353690234310712</v>
      </c>
      <c r="L533">
        <v>0</v>
      </c>
      <c r="M533" t="str">
        <f>VLOOKUP(fact_daily_prices[[#This Row],[Ticker]], dim_company[], 2, FALSE)</f>
        <v>JPMorgan Chase &amp; Co.</v>
      </c>
      <c r="N533" t="str">
        <f>VLOOKUP(fact_daily_prices[[#This Row],[Ticker]], dim_company[], 3, FALSE)</f>
        <v>Financials</v>
      </c>
    </row>
    <row r="534" spans="1:14" x14ac:dyDescent="0.3">
      <c r="A534" s="1">
        <v>45520</v>
      </c>
      <c r="B534">
        <v>206.26734924316409</v>
      </c>
      <c r="C534">
        <v>206.38302468646529</v>
      </c>
      <c r="D534">
        <v>203.97302155440943</v>
      </c>
      <c r="E534">
        <v>204.0694275634884</v>
      </c>
      <c r="F534">
        <v>7931200</v>
      </c>
      <c r="G534" s="2" t="s">
        <v>13</v>
      </c>
      <c r="H534">
        <v>1.14393137324591</v>
      </c>
      <c r="I534">
        <v>103.09817641676571</v>
      </c>
      <c r="K534">
        <v>1.6244761634210287</v>
      </c>
      <c r="L534">
        <v>0</v>
      </c>
      <c r="M534" t="str">
        <f>VLOOKUP(fact_daily_prices[[#This Row],[Ticker]], dim_company[], 2, FALSE)</f>
        <v>JPMorgan Chase &amp; Co.</v>
      </c>
      <c r="N534" t="str">
        <f>VLOOKUP(fact_daily_prices[[#This Row],[Ticker]], dim_company[], 3, FALSE)</f>
        <v>Financials</v>
      </c>
    </row>
    <row r="535" spans="1:14" x14ac:dyDescent="0.3">
      <c r="A535" s="1">
        <v>45523</v>
      </c>
      <c r="B535">
        <v>207.69406127929688</v>
      </c>
      <c r="C535">
        <v>207.77118314254531</v>
      </c>
      <c r="D535">
        <v>206.1227492827696</v>
      </c>
      <c r="E535">
        <v>206.29626244296011</v>
      </c>
      <c r="F535">
        <v>6090800</v>
      </c>
      <c r="G535" s="2" t="s">
        <v>13</v>
      </c>
      <c r="H535">
        <v>0.6916809865292084</v>
      </c>
      <c r="I535">
        <v>103.81128690049883</v>
      </c>
      <c r="K535">
        <v>1.6273856766897634</v>
      </c>
      <c r="L535">
        <v>0</v>
      </c>
      <c r="M535" t="str">
        <f>VLOOKUP(fact_daily_prices[[#This Row],[Ticker]], dim_company[], 2, FALSE)</f>
        <v>JPMorgan Chase &amp; Co.</v>
      </c>
      <c r="N535" t="str">
        <f>VLOOKUP(fact_daily_prices[[#This Row],[Ticker]], dim_company[], 3, FALSE)</f>
        <v>Financials</v>
      </c>
    </row>
    <row r="536" spans="1:14" x14ac:dyDescent="0.3">
      <c r="A536" s="1">
        <v>45524</v>
      </c>
      <c r="B536">
        <v>206.79756164550781</v>
      </c>
      <c r="C536">
        <v>208.224279441542</v>
      </c>
      <c r="D536">
        <v>205.98778937957647</v>
      </c>
      <c r="E536">
        <v>207.2602781478312</v>
      </c>
      <c r="F536">
        <v>5640000</v>
      </c>
      <c r="G536" s="2" t="s">
        <v>13</v>
      </c>
      <c r="H536">
        <v>-0.43164432736644276</v>
      </c>
      <c r="I536">
        <v>103.36319136942673</v>
      </c>
      <c r="K536">
        <v>1.6192501976639879</v>
      </c>
      <c r="L536">
        <v>0</v>
      </c>
      <c r="M536" t="str">
        <f>VLOOKUP(fact_daily_prices[[#This Row],[Ticker]], dim_company[], 2, FALSE)</f>
        <v>JPMorgan Chase &amp; Co.</v>
      </c>
      <c r="N536" t="str">
        <f>VLOOKUP(fact_daily_prices[[#This Row],[Ticker]], dim_company[], 3, FALSE)</f>
        <v>Financials</v>
      </c>
    </row>
    <row r="537" spans="1:14" x14ac:dyDescent="0.3">
      <c r="A537" s="1">
        <v>45525</v>
      </c>
      <c r="B537">
        <v>206.87467956542969</v>
      </c>
      <c r="C537">
        <v>207.26027419175705</v>
      </c>
      <c r="D537">
        <v>205.17802790680824</v>
      </c>
      <c r="E537">
        <v>206.71078640427385</v>
      </c>
      <c r="F537">
        <v>5202300</v>
      </c>
      <c r="G537" s="2" t="s">
        <v>13</v>
      </c>
      <c r="H537">
        <v>3.729150349174315E-2</v>
      </c>
      <c r="I537">
        <v>103.40173705754543</v>
      </c>
      <c r="K537">
        <v>1.6193084045822113</v>
      </c>
      <c r="L537">
        <v>0</v>
      </c>
      <c r="M537" t="str">
        <f>VLOOKUP(fact_daily_prices[[#This Row],[Ticker]], dim_company[], 2, FALSE)</f>
        <v>JPMorgan Chase &amp; Co.</v>
      </c>
      <c r="N537" t="str">
        <f>VLOOKUP(fact_daily_prices[[#This Row],[Ticker]], dim_company[], 3, FALSE)</f>
        <v>Financials</v>
      </c>
    </row>
    <row r="538" spans="1:14" x14ac:dyDescent="0.3">
      <c r="A538" s="1">
        <v>45526</v>
      </c>
      <c r="B538">
        <v>208.83161926269531</v>
      </c>
      <c r="C538">
        <v>208.9954977287081</v>
      </c>
      <c r="D538">
        <v>206.62404791162533</v>
      </c>
      <c r="E538">
        <v>206.85541353337521</v>
      </c>
      <c r="F538">
        <v>5247100</v>
      </c>
      <c r="G538" s="2" t="s">
        <v>13</v>
      </c>
      <c r="H538">
        <v>0.94595418896912253</v>
      </c>
      <c r="I538">
        <v>104.37987012070811</v>
      </c>
      <c r="K538">
        <v>1.6252309561448413</v>
      </c>
      <c r="L538">
        <v>0</v>
      </c>
      <c r="M538" t="str">
        <f>VLOOKUP(fact_daily_prices[[#This Row],[Ticker]], dim_company[], 2, FALSE)</f>
        <v>JPMorgan Chase &amp; Co.</v>
      </c>
      <c r="N538" t="str">
        <f>VLOOKUP(fact_daily_prices[[#This Row],[Ticker]], dim_company[], 3, FALSE)</f>
        <v>Financials</v>
      </c>
    </row>
    <row r="539" spans="1:14" x14ac:dyDescent="0.3">
      <c r="A539" s="1">
        <v>45527</v>
      </c>
      <c r="B539">
        <v>210.45111083984369</v>
      </c>
      <c r="C539">
        <v>211.29943664811401</v>
      </c>
      <c r="D539">
        <v>208.70627092832649</v>
      </c>
      <c r="E539">
        <v>209.7666781886644</v>
      </c>
      <c r="F539">
        <v>7214000</v>
      </c>
      <c r="G539" s="2" t="s">
        <v>13</v>
      </c>
      <c r="H539">
        <v>0.77550113477364846</v>
      </c>
      <c r="I539">
        <v>105.18933719796945</v>
      </c>
      <c r="K539">
        <v>1.6079689770473278</v>
      </c>
      <c r="L539">
        <v>0</v>
      </c>
      <c r="M539" t="str">
        <f>VLOOKUP(fact_daily_prices[[#This Row],[Ticker]], dim_company[], 2, FALSE)</f>
        <v>JPMorgan Chase &amp; Co.</v>
      </c>
      <c r="N539" t="str">
        <f>VLOOKUP(fact_daily_prices[[#This Row],[Ticker]], dim_company[], 3, FALSE)</f>
        <v>Financials</v>
      </c>
    </row>
    <row r="540" spans="1:14" x14ac:dyDescent="0.3">
      <c r="A540" s="1">
        <v>45530</v>
      </c>
      <c r="B540">
        <v>211.2801818847656</v>
      </c>
      <c r="C540">
        <v>211.77181729592928</v>
      </c>
      <c r="D540">
        <v>210.20050504009541</v>
      </c>
      <c r="E540">
        <v>211.12593813281453</v>
      </c>
      <c r="F540">
        <v>5105200</v>
      </c>
      <c r="G540" s="2" t="s">
        <v>13</v>
      </c>
      <c r="H540">
        <v>0.3939494743521843</v>
      </c>
      <c r="I540">
        <v>105.60373003893542</v>
      </c>
      <c r="K540">
        <v>1.5504269591125937</v>
      </c>
      <c r="L540">
        <v>0</v>
      </c>
      <c r="M540" t="str">
        <f>VLOOKUP(fact_daily_prices[[#This Row],[Ticker]], dim_company[], 2, FALSE)</f>
        <v>JPMorgan Chase &amp; Co.</v>
      </c>
      <c r="N540" t="str">
        <f>VLOOKUP(fact_daily_prices[[#This Row],[Ticker]], dim_company[], 3, FALSE)</f>
        <v>Financials</v>
      </c>
    </row>
    <row r="541" spans="1:14" x14ac:dyDescent="0.3">
      <c r="A541" s="1">
        <v>45531</v>
      </c>
      <c r="B541">
        <v>212.25379943847656</v>
      </c>
      <c r="C541">
        <v>212.4851650461828</v>
      </c>
      <c r="D541">
        <v>211.29944756436009</v>
      </c>
      <c r="E541">
        <v>211.6079203318092</v>
      </c>
      <c r="F541">
        <v>5185200</v>
      </c>
      <c r="G541" s="2" t="s">
        <v>13</v>
      </c>
      <c r="H541">
        <v>0.46081821069332563</v>
      </c>
      <c r="I541">
        <v>106.09037125812624</v>
      </c>
      <c r="K541">
        <v>1.5241025939100212</v>
      </c>
      <c r="L541">
        <v>0</v>
      </c>
      <c r="M541" t="str">
        <f>VLOOKUP(fact_daily_prices[[#This Row],[Ticker]], dim_company[], 2, FALSE)</f>
        <v>JPMorgan Chase &amp; Co.</v>
      </c>
      <c r="N541" t="str">
        <f>VLOOKUP(fact_daily_prices[[#This Row],[Ticker]], dim_company[], 3, FALSE)</f>
        <v>Financials</v>
      </c>
    </row>
    <row r="542" spans="1:14" x14ac:dyDescent="0.3">
      <c r="A542" s="1">
        <v>45532</v>
      </c>
      <c r="B542">
        <v>213.32383728027344</v>
      </c>
      <c r="C542">
        <v>214.21073140431051</v>
      </c>
      <c r="D542">
        <v>211.299443413212</v>
      </c>
      <c r="E542">
        <v>211.35728113662915</v>
      </c>
      <c r="F542">
        <v>6506400</v>
      </c>
      <c r="G542" s="2" t="s">
        <v>13</v>
      </c>
      <c r="H542">
        <v>0.50413130159634445</v>
      </c>
      <c r="I542">
        <v>106.62520602761822</v>
      </c>
      <c r="K542">
        <v>1.5028371876764524</v>
      </c>
      <c r="L542">
        <v>0</v>
      </c>
      <c r="M542" t="str">
        <f>VLOOKUP(fact_daily_prices[[#This Row],[Ticker]], dim_company[], 2, FALSE)</f>
        <v>JPMorgan Chase &amp; Co.</v>
      </c>
      <c r="N542" t="str">
        <f>VLOOKUP(fact_daily_prices[[#This Row],[Ticker]], dim_company[], 3, FALSE)</f>
        <v>Financials</v>
      </c>
    </row>
    <row r="543" spans="1:14" x14ac:dyDescent="0.3">
      <c r="A543" s="1">
        <v>45533</v>
      </c>
      <c r="B543">
        <v>214.21072387695313</v>
      </c>
      <c r="C543">
        <v>214.95299424737959</v>
      </c>
      <c r="D543">
        <v>211.05843567605964</v>
      </c>
      <c r="E543">
        <v>214.15287144607669</v>
      </c>
      <c r="F543">
        <v>6416100</v>
      </c>
      <c r="G543" s="2" t="s">
        <v>13</v>
      </c>
      <c r="H543">
        <v>0.41574659821745907</v>
      </c>
      <c r="I543">
        <v>107.06849669452041</v>
      </c>
      <c r="K543">
        <v>1.3719297200109497</v>
      </c>
      <c r="L543">
        <v>0</v>
      </c>
      <c r="M543" t="str">
        <f>VLOOKUP(fact_daily_prices[[#This Row],[Ticker]], dim_company[], 2, FALSE)</f>
        <v>JPMorgan Chase &amp; Co.</v>
      </c>
      <c r="N543" t="str">
        <f>VLOOKUP(fact_daily_prices[[#This Row],[Ticker]], dim_company[], 3, FALSE)</f>
        <v>Financials</v>
      </c>
    </row>
    <row r="544" spans="1:14" x14ac:dyDescent="0.3">
      <c r="A544" s="1">
        <v>45534</v>
      </c>
      <c r="B544">
        <v>216.70751953125</v>
      </c>
      <c r="C544">
        <v>217.36303342834745</v>
      </c>
      <c r="D544">
        <v>213.94082548692816</v>
      </c>
      <c r="E544">
        <v>214.49031335022525</v>
      </c>
      <c r="F544">
        <v>8574100</v>
      </c>
      <c r="G544" s="2" t="s">
        <v>13</v>
      </c>
      <c r="H544">
        <v>1.1655792058903103</v>
      </c>
      <c r="I544">
        <v>108.31646482805108</v>
      </c>
      <c r="K544">
        <v>1.381910559985982</v>
      </c>
      <c r="L544">
        <v>0</v>
      </c>
      <c r="M544" t="str">
        <f>VLOOKUP(fact_daily_prices[[#This Row],[Ticker]], dim_company[], 2, FALSE)</f>
        <v>JPMorgan Chase &amp; Co.</v>
      </c>
      <c r="N544" t="str">
        <f>VLOOKUP(fact_daily_prices[[#This Row],[Ticker]], dim_company[], 3, FALSE)</f>
        <v>Financials</v>
      </c>
    </row>
    <row r="545" spans="1:14" x14ac:dyDescent="0.3">
      <c r="A545" s="1">
        <v>45538</v>
      </c>
      <c r="B545">
        <v>212.36949157714844</v>
      </c>
      <c r="C545">
        <v>216.03269949777567</v>
      </c>
      <c r="D545">
        <v>211.34765254186399</v>
      </c>
      <c r="E545">
        <v>214.29749419753199</v>
      </c>
      <c r="F545">
        <v>8956100</v>
      </c>
      <c r="G545" s="2" t="s">
        <v>13</v>
      </c>
      <c r="H545">
        <v>-2.0017893073045911</v>
      </c>
      <c r="I545">
        <v>106.14819741707282</v>
      </c>
      <c r="K545">
        <v>1.441256041708006</v>
      </c>
      <c r="L545">
        <v>0</v>
      </c>
      <c r="M545" t="str">
        <f>VLOOKUP(fact_daily_prices[[#This Row],[Ticker]], dim_company[], 2, FALSE)</f>
        <v>JPMorgan Chase &amp; Co.</v>
      </c>
      <c r="N545" t="str">
        <f>VLOOKUP(fact_daily_prices[[#This Row],[Ticker]], dim_company[], 3, FALSE)</f>
        <v>Financials</v>
      </c>
    </row>
    <row r="546" spans="1:14" x14ac:dyDescent="0.3">
      <c r="A546" s="1">
        <v>45539</v>
      </c>
      <c r="B546">
        <v>211.43440246582031</v>
      </c>
      <c r="C546">
        <v>214.07577126791631</v>
      </c>
      <c r="D546">
        <v>209.39072445966104</v>
      </c>
      <c r="E546">
        <v>213.08283641697943</v>
      </c>
      <c r="F546">
        <v>7389500</v>
      </c>
      <c r="G546" s="2" t="s">
        <v>13</v>
      </c>
      <c r="H546">
        <v>-0.44031235578319006</v>
      </c>
      <c r="I546">
        <v>105.68081378840432</v>
      </c>
      <c r="K546">
        <v>1.4453136477223638</v>
      </c>
      <c r="L546">
        <v>0</v>
      </c>
      <c r="M546" t="str">
        <f>VLOOKUP(fact_daily_prices[[#This Row],[Ticker]], dim_company[], 2, FALSE)</f>
        <v>JPMorgan Chase &amp; Co.</v>
      </c>
      <c r="N546" t="str">
        <f>VLOOKUP(fact_daily_prices[[#This Row],[Ticker]], dim_company[], 3, FALSE)</f>
        <v>Financials</v>
      </c>
    </row>
    <row r="547" spans="1:14" x14ac:dyDescent="0.3">
      <c r="A547" s="1">
        <v>45540</v>
      </c>
      <c r="B547">
        <v>209.79560852050781</v>
      </c>
      <c r="C547">
        <v>212.85149088939755</v>
      </c>
      <c r="D547">
        <v>208.25320055013469</v>
      </c>
      <c r="E547">
        <v>212.2248812160305</v>
      </c>
      <c r="F547">
        <v>8067900</v>
      </c>
      <c r="G547" s="2" t="s">
        <v>13</v>
      </c>
      <c r="H547">
        <v>-0.77508386818810893</v>
      </c>
      <c r="I547">
        <v>104.86169884896049</v>
      </c>
      <c r="K547">
        <v>1.4441279371960656</v>
      </c>
      <c r="L547">
        <v>0</v>
      </c>
      <c r="M547" t="str">
        <f>VLOOKUP(fact_daily_prices[[#This Row],[Ticker]], dim_company[], 2, FALSE)</f>
        <v>JPMorgan Chase &amp; Co.</v>
      </c>
      <c r="N547" t="str">
        <f>VLOOKUP(fact_daily_prices[[#This Row],[Ticker]], dim_company[], 3, FALSE)</f>
        <v>Financials</v>
      </c>
    </row>
    <row r="548" spans="1:14" x14ac:dyDescent="0.3">
      <c r="A548" s="1">
        <v>45541</v>
      </c>
      <c r="B548">
        <v>204.81172180175781</v>
      </c>
      <c r="C548">
        <v>210.86564876332929</v>
      </c>
      <c r="D548">
        <v>203.49103002390279</v>
      </c>
      <c r="E548">
        <v>209.76668787436864</v>
      </c>
      <c r="F548">
        <v>7777000</v>
      </c>
      <c r="G548" s="2" t="s">
        <v>13</v>
      </c>
      <c r="H548">
        <v>-2.3755915359223612</v>
      </c>
      <c r="I548">
        <v>102.37061320668018</v>
      </c>
      <c r="K548">
        <v>1.5161168147979414</v>
      </c>
      <c r="L548">
        <v>0</v>
      </c>
      <c r="M548" t="str">
        <f>VLOOKUP(fact_daily_prices[[#This Row],[Ticker]], dim_company[], 2, FALSE)</f>
        <v>JPMorgan Chase &amp; Co.</v>
      </c>
      <c r="N548" t="str">
        <f>VLOOKUP(fact_daily_prices[[#This Row],[Ticker]], dim_company[], 3, FALSE)</f>
        <v>Financials</v>
      </c>
    </row>
    <row r="549" spans="1:14" x14ac:dyDescent="0.3">
      <c r="A549" s="1">
        <v>45544</v>
      </c>
      <c r="B549">
        <v>209.00511169433599</v>
      </c>
      <c r="C549">
        <v>210.296869857818</v>
      </c>
      <c r="D549">
        <v>206.46978366297839</v>
      </c>
      <c r="E549">
        <v>207.44343435369325</v>
      </c>
      <c r="F549">
        <v>8935100</v>
      </c>
      <c r="G549" s="2" t="s">
        <v>13</v>
      </c>
      <c r="H549">
        <v>2.0474364727215422</v>
      </c>
      <c r="I549">
        <v>104.46658647882245</v>
      </c>
      <c r="K549">
        <v>1.5298519889770323</v>
      </c>
      <c r="L549">
        <v>0</v>
      </c>
      <c r="M549" t="str">
        <f>VLOOKUP(fact_daily_prices[[#This Row],[Ticker]], dim_company[], 2, FALSE)</f>
        <v>JPMorgan Chase &amp; Co.</v>
      </c>
      <c r="N549" t="str">
        <f>VLOOKUP(fact_daily_prices[[#This Row],[Ticker]], dim_company[], 3, FALSE)</f>
        <v>Financials</v>
      </c>
    </row>
    <row r="550" spans="1:14" x14ac:dyDescent="0.3">
      <c r="A550" s="1">
        <v>45545</v>
      </c>
      <c r="B550">
        <v>198.16011047363281</v>
      </c>
      <c r="C550">
        <v>210.7692495990519</v>
      </c>
      <c r="D550">
        <v>193.3883068457007</v>
      </c>
      <c r="E550">
        <v>210.73069601813924</v>
      </c>
      <c r="F550">
        <v>28406900</v>
      </c>
      <c r="G550" s="2" t="s">
        <v>13</v>
      </c>
      <c r="H550">
        <v>-5.1888688907110065</v>
      </c>
      <c r="I550">
        <v>99.04595227183512</v>
      </c>
      <c r="K550">
        <v>1.8045032553879508</v>
      </c>
      <c r="L550">
        <v>1</v>
      </c>
      <c r="M550" t="str">
        <f>VLOOKUP(fact_daily_prices[[#This Row],[Ticker]], dim_company[], 2, FALSE)</f>
        <v>JPMorgan Chase &amp; Co.</v>
      </c>
      <c r="N550" t="str">
        <f>VLOOKUP(fact_daily_prices[[#This Row],[Ticker]], dim_company[], 3, FALSE)</f>
        <v>Financials</v>
      </c>
    </row>
    <row r="551" spans="1:14" x14ac:dyDescent="0.3">
      <c r="A551" s="1">
        <v>45546</v>
      </c>
      <c r="B551">
        <v>199.76998901367188</v>
      </c>
      <c r="C551">
        <v>200.22307080989853</v>
      </c>
      <c r="D551">
        <v>194.56438778018585</v>
      </c>
      <c r="E551">
        <v>197.86127052265937</v>
      </c>
      <c r="F551">
        <v>13658700</v>
      </c>
      <c r="G551" s="2" t="s">
        <v>13</v>
      </c>
      <c r="H551">
        <v>0.81241302106220825</v>
      </c>
      <c r="I551">
        <v>99.850614484926581</v>
      </c>
      <c r="K551">
        <v>1.7678263605153626</v>
      </c>
      <c r="L551">
        <v>0</v>
      </c>
      <c r="M551" t="str">
        <f>VLOOKUP(fact_daily_prices[[#This Row],[Ticker]], dim_company[], 2, FALSE)</f>
        <v>JPMorgan Chase &amp; Co.</v>
      </c>
      <c r="N551" t="str">
        <f>VLOOKUP(fact_daily_prices[[#This Row],[Ticker]], dim_company[], 3, FALSE)</f>
        <v>Financials</v>
      </c>
    </row>
    <row r="552" spans="1:14" x14ac:dyDescent="0.3">
      <c r="A552" s="1">
        <v>45547</v>
      </c>
      <c r="B552">
        <v>199.16264343261719</v>
      </c>
      <c r="C552">
        <v>201.26415887862737</v>
      </c>
      <c r="D552">
        <v>197.51419499428232</v>
      </c>
      <c r="E552">
        <v>200.17483287231573</v>
      </c>
      <c r="F552">
        <v>9054400</v>
      </c>
      <c r="G552" s="2" t="s">
        <v>13</v>
      </c>
      <c r="H552">
        <v>-0.30402243302577459</v>
      </c>
      <c r="I552">
        <v>99.547046217378323</v>
      </c>
      <c r="J552">
        <v>203.40697448730469</v>
      </c>
      <c r="K552">
        <v>1.7581938534137584</v>
      </c>
      <c r="L552">
        <v>0</v>
      </c>
      <c r="M552" t="str">
        <f>VLOOKUP(fact_daily_prices[[#This Row],[Ticker]], dim_company[], 2, FALSE)</f>
        <v>JPMorgan Chase &amp; Co.</v>
      </c>
      <c r="N552" t="str">
        <f>VLOOKUP(fact_daily_prices[[#This Row],[Ticker]], dim_company[], 3, FALSE)</f>
        <v>Financials</v>
      </c>
    </row>
    <row r="553" spans="1:14" x14ac:dyDescent="0.3">
      <c r="A553" s="1">
        <v>45548</v>
      </c>
      <c r="B553">
        <v>196.96473693847656</v>
      </c>
      <c r="C553">
        <v>200.36766007881329</v>
      </c>
      <c r="D553">
        <v>195.71153240671291</v>
      </c>
      <c r="E553">
        <v>199.41329357265275</v>
      </c>
      <c r="F553">
        <v>10226700</v>
      </c>
      <c r="G553" s="2" t="s">
        <v>13</v>
      </c>
      <c r="H553">
        <v>-1.1035736703727039</v>
      </c>
      <c r="I553">
        <v>98.448471225689588</v>
      </c>
      <c r="J553">
        <v>203.34489196777344</v>
      </c>
      <c r="K553">
        <v>1.7204695324728003</v>
      </c>
      <c r="L553">
        <v>0</v>
      </c>
      <c r="M553" t="str">
        <f>VLOOKUP(fact_daily_prices[[#This Row],[Ticker]], dim_company[], 2, FALSE)</f>
        <v>JPMorgan Chase &amp; Co.</v>
      </c>
      <c r="N553" t="str">
        <f>VLOOKUP(fact_daily_prices[[#This Row],[Ticker]], dim_company[], 3, FALSE)</f>
        <v>Financials</v>
      </c>
    </row>
    <row r="554" spans="1:14" x14ac:dyDescent="0.3">
      <c r="A554" s="1">
        <v>45551</v>
      </c>
      <c r="B554">
        <v>200.3773193359375</v>
      </c>
      <c r="C554">
        <v>200.71472568909704</v>
      </c>
      <c r="D554">
        <v>198.18903217312973</v>
      </c>
      <c r="E554">
        <v>198.42039779039567</v>
      </c>
      <c r="F554">
        <v>8634900</v>
      </c>
      <c r="G554" s="2" t="s">
        <v>13</v>
      </c>
      <c r="H554">
        <v>1.7325854619991699</v>
      </c>
      <c r="I554">
        <v>100.15417512570633</v>
      </c>
      <c r="J554">
        <v>203.40408172607422</v>
      </c>
      <c r="K554">
        <v>1.5557913055696526</v>
      </c>
      <c r="L554">
        <v>0</v>
      </c>
      <c r="M554" t="str">
        <f>VLOOKUP(fact_daily_prices[[#This Row],[Ticker]], dim_company[], 2, FALSE)</f>
        <v>JPMorgan Chase &amp; Co.</v>
      </c>
      <c r="N554" t="str">
        <f>VLOOKUP(fact_daily_prices[[#This Row],[Ticker]], dim_company[], 3, FALSE)</f>
        <v>Financials</v>
      </c>
    </row>
    <row r="555" spans="1:14" x14ac:dyDescent="0.3">
      <c r="A555" s="1">
        <v>45552</v>
      </c>
      <c r="B555">
        <v>201.71725463867188</v>
      </c>
      <c r="C555">
        <v>202.37276840561569</v>
      </c>
      <c r="D555">
        <v>200.18449623406093</v>
      </c>
      <c r="E555">
        <v>200.25196867030928</v>
      </c>
      <c r="F555">
        <v>7573300</v>
      </c>
      <c r="G555" s="2" t="s">
        <v>13</v>
      </c>
      <c r="H555">
        <v>0.66870607271072302</v>
      </c>
      <c r="I555">
        <v>100.82391217684525</v>
      </c>
      <c r="J555">
        <v>203.48274383544921</v>
      </c>
      <c r="K555">
        <v>1.4969022609713789</v>
      </c>
      <c r="L555">
        <v>0</v>
      </c>
      <c r="M555" t="str">
        <f>VLOOKUP(fact_daily_prices[[#This Row],[Ticker]], dim_company[], 2, FALSE)</f>
        <v>JPMorgan Chase &amp; Co.</v>
      </c>
      <c r="N555" t="str">
        <f>VLOOKUP(fact_daily_prices[[#This Row],[Ticker]], dim_company[], 3, FALSE)</f>
        <v>Financials</v>
      </c>
    </row>
    <row r="556" spans="1:14" x14ac:dyDescent="0.3">
      <c r="A556" s="1">
        <v>45553</v>
      </c>
      <c r="B556">
        <v>200.05918884277344</v>
      </c>
      <c r="C556">
        <v>203.73203144648693</v>
      </c>
      <c r="D556">
        <v>199.25906599771241</v>
      </c>
      <c r="E556">
        <v>201.48590664975961</v>
      </c>
      <c r="F556">
        <v>8259900</v>
      </c>
      <c r="G556" s="2" t="s">
        <v>13</v>
      </c>
      <c r="H556">
        <v>-0.82197519437217093</v>
      </c>
      <c r="I556">
        <v>99.995164628756001</v>
      </c>
      <c r="J556">
        <v>203.48081542968751</v>
      </c>
      <c r="K556">
        <v>1.4290500460700042</v>
      </c>
      <c r="L556">
        <v>0</v>
      </c>
      <c r="M556" t="str">
        <f>VLOOKUP(fact_daily_prices[[#This Row],[Ticker]], dim_company[], 2, FALSE)</f>
        <v>JPMorgan Chase &amp; Co.</v>
      </c>
      <c r="N556" t="str">
        <f>VLOOKUP(fact_daily_prices[[#This Row],[Ticker]], dim_company[], 3, FALSE)</f>
        <v>Financials</v>
      </c>
    </row>
    <row r="557" spans="1:14" x14ac:dyDescent="0.3">
      <c r="A557" s="1">
        <v>45554</v>
      </c>
      <c r="B557">
        <v>202.90299987792969</v>
      </c>
      <c r="C557">
        <v>204.28152945633747</v>
      </c>
      <c r="D557">
        <v>199.87603622956823</v>
      </c>
      <c r="E557">
        <v>202.22820187533188</v>
      </c>
      <c r="F557">
        <v>11635200</v>
      </c>
      <c r="G557" s="2" t="s">
        <v>13</v>
      </c>
      <c r="H557">
        <v>1.4214848373654165</v>
      </c>
      <c r="I557">
        <v>101.41658073205232</v>
      </c>
      <c r="J557">
        <v>203.53248596191406</v>
      </c>
      <c r="K557">
        <v>1.4482245166794858</v>
      </c>
      <c r="L557">
        <v>0</v>
      </c>
      <c r="M557" t="str">
        <f>VLOOKUP(fact_daily_prices[[#This Row],[Ticker]], dim_company[], 2, FALSE)</f>
        <v>JPMorgan Chase &amp; Co.</v>
      </c>
      <c r="N557" t="str">
        <f>VLOOKUP(fact_daily_prices[[#This Row],[Ticker]], dim_company[], 3, FALSE)</f>
        <v>Financials</v>
      </c>
    </row>
    <row r="558" spans="1:14" x14ac:dyDescent="0.3">
      <c r="A558" s="1">
        <v>45555</v>
      </c>
      <c r="B558">
        <v>203.49104309082031</v>
      </c>
      <c r="C558">
        <v>203.8091653040384</v>
      </c>
      <c r="D558">
        <v>201.9582844621734</v>
      </c>
      <c r="E558">
        <v>202.37279798547689</v>
      </c>
      <c r="F558">
        <v>20885000</v>
      </c>
      <c r="G558" s="2" t="s">
        <v>13</v>
      </c>
      <c r="H558">
        <v>0.28981494272850572</v>
      </c>
      <c r="I558">
        <v>101.71050113741813</v>
      </c>
      <c r="J558">
        <v>203.60266571044923</v>
      </c>
      <c r="K558">
        <v>1.4145523828115125</v>
      </c>
      <c r="L558">
        <v>1</v>
      </c>
      <c r="M558" t="str">
        <f>VLOOKUP(fact_daily_prices[[#This Row],[Ticker]], dim_company[], 2, FALSE)</f>
        <v>JPMorgan Chase &amp; Co.</v>
      </c>
      <c r="N558" t="str">
        <f>VLOOKUP(fact_daily_prices[[#This Row],[Ticker]], dim_company[], 3, FALSE)</f>
        <v>Financials</v>
      </c>
    </row>
    <row r="559" spans="1:14" x14ac:dyDescent="0.3">
      <c r="A559" s="1">
        <v>45558</v>
      </c>
      <c r="B559">
        <v>203.82843017578125</v>
      </c>
      <c r="C559">
        <v>204.17547122015799</v>
      </c>
      <c r="D559">
        <v>202.43063128102489</v>
      </c>
      <c r="E559">
        <v>203.4042672649328</v>
      </c>
      <c r="F559">
        <v>7223500</v>
      </c>
      <c r="G559" s="2" t="s">
        <v>13</v>
      </c>
      <c r="H559">
        <v>0.16579947688919461</v>
      </c>
      <c r="I559">
        <v>101.87913661624535</v>
      </c>
      <c r="J559">
        <v>203.72798583984374</v>
      </c>
      <c r="K559">
        <v>1.4078740784258013</v>
      </c>
      <c r="L559">
        <v>0</v>
      </c>
      <c r="M559" t="str">
        <f>VLOOKUP(fact_daily_prices[[#This Row],[Ticker]], dim_company[], 2, FALSE)</f>
        <v>JPMorgan Chase &amp; Co.</v>
      </c>
      <c r="N559" t="str">
        <f>VLOOKUP(fact_daily_prices[[#This Row],[Ticker]], dim_company[], 3, FALSE)</f>
        <v>Financials</v>
      </c>
    </row>
    <row r="560" spans="1:14" x14ac:dyDescent="0.3">
      <c r="A560" s="1">
        <v>45559</v>
      </c>
      <c r="B560">
        <v>203.97303771972656</v>
      </c>
      <c r="C560">
        <v>205.2840801158477</v>
      </c>
      <c r="D560">
        <v>202.7969549213168</v>
      </c>
      <c r="E560">
        <v>203.54887478135009</v>
      </c>
      <c r="F560">
        <v>7323200</v>
      </c>
      <c r="G560" s="2" t="s">
        <v>13</v>
      </c>
      <c r="H560">
        <v>7.0945718328196961E-2</v>
      </c>
      <c r="I560">
        <v>101.95141550154432</v>
      </c>
      <c r="J560">
        <v>203.75767700195311</v>
      </c>
      <c r="K560">
        <v>1.4077802968543869</v>
      </c>
      <c r="L560">
        <v>0</v>
      </c>
      <c r="M560" t="str">
        <f>VLOOKUP(fact_daily_prices[[#This Row],[Ticker]], dim_company[], 2, FALSE)</f>
        <v>JPMorgan Chase &amp; Co.</v>
      </c>
      <c r="N560" t="str">
        <f>VLOOKUP(fact_daily_prices[[#This Row],[Ticker]], dim_company[], 3, FALSE)</f>
        <v>Financials</v>
      </c>
    </row>
    <row r="561" spans="1:14" x14ac:dyDescent="0.3">
      <c r="A561" s="1">
        <v>45560</v>
      </c>
      <c r="B561">
        <v>202.6234436035156</v>
      </c>
      <c r="C561">
        <v>204.5996492884681</v>
      </c>
      <c r="D561">
        <v>201.10031972421783</v>
      </c>
      <c r="E561">
        <v>204.0597961831719</v>
      </c>
      <c r="F561">
        <v>8976500</v>
      </c>
      <c r="G561" s="2" t="s">
        <v>13</v>
      </c>
      <c r="H561">
        <v>-0.66165319264667177</v>
      </c>
      <c r="I561">
        <v>101.27685070592989</v>
      </c>
      <c r="J561">
        <v>203.69154663085936</v>
      </c>
      <c r="K561">
        <v>1.406938526389593</v>
      </c>
      <c r="L561">
        <v>0</v>
      </c>
      <c r="M561" t="str">
        <f>VLOOKUP(fact_daily_prices[[#This Row],[Ticker]], dim_company[], 2, FALSE)</f>
        <v>JPMorgan Chase &amp; Co.</v>
      </c>
      <c r="N561" t="str">
        <f>VLOOKUP(fact_daily_prices[[#This Row],[Ticker]], dim_company[], 3, FALSE)</f>
        <v>Financials</v>
      </c>
    </row>
    <row r="562" spans="1:14" x14ac:dyDescent="0.3">
      <c r="A562" s="1">
        <v>45561</v>
      </c>
      <c r="B562">
        <v>202.22819519042969</v>
      </c>
      <c r="C562">
        <v>204.07907595472616</v>
      </c>
      <c r="D562">
        <v>201.48591005736264</v>
      </c>
      <c r="E562">
        <v>203.52960285273619</v>
      </c>
      <c r="F562">
        <v>7807500</v>
      </c>
      <c r="G562" s="2" t="s">
        <v>13</v>
      </c>
      <c r="H562">
        <v>-0.19506548998313722</v>
      </c>
      <c r="I562">
        <v>101.07929452086086</v>
      </c>
      <c r="J562">
        <v>203.55485107421876</v>
      </c>
      <c r="K562">
        <v>1.3931072600188676</v>
      </c>
      <c r="L562">
        <v>0</v>
      </c>
      <c r="M562" t="str">
        <f>VLOOKUP(fact_daily_prices[[#This Row],[Ticker]], dim_company[], 2, FALSE)</f>
        <v>JPMorgan Chase &amp; Co.</v>
      </c>
      <c r="N562" t="str">
        <f>VLOOKUP(fact_daily_prices[[#This Row],[Ticker]], dim_company[], 3, FALSE)</f>
        <v>Financials</v>
      </c>
    </row>
    <row r="563" spans="1:14" x14ac:dyDescent="0.3">
      <c r="A563" s="1">
        <v>45562</v>
      </c>
      <c r="B563">
        <v>202.9222717285156</v>
      </c>
      <c r="C563">
        <v>204.79243658632569</v>
      </c>
      <c r="D563">
        <v>201.79439198333469</v>
      </c>
      <c r="E563">
        <v>203.06686603834945</v>
      </c>
      <c r="F563">
        <v>7032500</v>
      </c>
      <c r="G563" s="2" t="s">
        <v>13</v>
      </c>
      <c r="H563">
        <v>0.34321452428149879</v>
      </c>
      <c r="I563">
        <v>101.42621334069774</v>
      </c>
      <c r="J563">
        <v>203.56487670898437</v>
      </c>
      <c r="K563">
        <v>1.3897392843773455</v>
      </c>
      <c r="L563">
        <v>0</v>
      </c>
      <c r="M563" t="str">
        <f>VLOOKUP(fact_daily_prices[[#This Row],[Ticker]], dim_company[], 2, FALSE)</f>
        <v>JPMorgan Chase &amp; Co.</v>
      </c>
      <c r="N563" t="str">
        <f>VLOOKUP(fact_daily_prices[[#This Row],[Ticker]], dim_company[], 3, FALSE)</f>
        <v>Financials</v>
      </c>
    </row>
    <row r="564" spans="1:14" x14ac:dyDescent="0.3">
      <c r="A564" s="1">
        <v>45565</v>
      </c>
      <c r="B564">
        <v>203.26930236816409</v>
      </c>
      <c r="C564">
        <v>203.36570837610927</v>
      </c>
      <c r="D564">
        <v>197.8708895320446</v>
      </c>
      <c r="E564">
        <v>198.88309377750343</v>
      </c>
      <c r="F564">
        <v>8398700</v>
      </c>
      <c r="G564" s="2" t="s">
        <v>13</v>
      </c>
      <c r="H564">
        <v>0.17101653588462717</v>
      </c>
      <c r="I564">
        <v>101.59966893723195</v>
      </c>
      <c r="J564">
        <v>203.58569885253905</v>
      </c>
      <c r="K564">
        <v>1.373206786371002</v>
      </c>
      <c r="L564">
        <v>0</v>
      </c>
      <c r="M564" t="str">
        <f>VLOOKUP(fact_daily_prices[[#This Row],[Ticker]], dim_company[], 2, FALSE)</f>
        <v>JPMorgan Chase &amp; Co.</v>
      </c>
      <c r="N564" t="str">
        <f>VLOOKUP(fact_daily_prices[[#This Row],[Ticker]], dim_company[], 3, FALSE)</f>
        <v>Financials</v>
      </c>
    </row>
    <row r="565" spans="1:14" x14ac:dyDescent="0.3">
      <c r="A565" s="1">
        <v>45566</v>
      </c>
      <c r="B565">
        <v>199.58680725097656</v>
      </c>
      <c r="C565">
        <v>201.56301270510659</v>
      </c>
      <c r="D565">
        <v>198.76741503501432</v>
      </c>
      <c r="E565">
        <v>201.37985011874699</v>
      </c>
      <c r="F565">
        <v>8540100</v>
      </c>
      <c r="G565" s="2" t="s">
        <v>13</v>
      </c>
      <c r="H565">
        <v>-1.8116336673984046</v>
      </c>
      <c r="I565">
        <v>99.75905512879973</v>
      </c>
      <c r="J565">
        <v>203.52323120117188</v>
      </c>
      <c r="K565">
        <v>1.4029779929424409</v>
      </c>
      <c r="L565">
        <v>0</v>
      </c>
      <c r="M565" t="str">
        <f>VLOOKUP(fact_daily_prices[[#This Row],[Ticker]], dim_company[], 2, FALSE)</f>
        <v>JPMorgan Chase &amp; Co.</v>
      </c>
      <c r="N565" t="str">
        <f>VLOOKUP(fact_daily_prices[[#This Row],[Ticker]], dim_company[], 3, FALSE)</f>
        <v>Financials</v>
      </c>
    </row>
    <row r="566" spans="1:14" x14ac:dyDescent="0.3">
      <c r="A566" s="1">
        <v>45567</v>
      </c>
      <c r="B566">
        <v>199.82783508300781</v>
      </c>
      <c r="C566">
        <v>201.4280808680096</v>
      </c>
      <c r="D566">
        <v>198.2854417354765</v>
      </c>
      <c r="E566">
        <v>199.62540303508803</v>
      </c>
      <c r="F566">
        <v>5810900</v>
      </c>
      <c r="G566" s="2" t="s">
        <v>13</v>
      </c>
      <c r="H566">
        <v>0.1207634088400189</v>
      </c>
      <c r="I566">
        <v>99.879527564399879</v>
      </c>
      <c r="J566">
        <v>203.46462005615234</v>
      </c>
      <c r="K566">
        <v>1.4024118930772584</v>
      </c>
      <c r="L566">
        <v>0</v>
      </c>
      <c r="M566" t="str">
        <f>VLOOKUP(fact_daily_prices[[#This Row],[Ticker]], dim_company[], 2, FALSE)</f>
        <v>JPMorgan Chase &amp; Co.</v>
      </c>
      <c r="N566" t="str">
        <f>VLOOKUP(fact_daily_prices[[#This Row],[Ticker]], dim_company[], 3, FALSE)</f>
        <v>Financials</v>
      </c>
    </row>
    <row r="567" spans="1:14" x14ac:dyDescent="0.3">
      <c r="A567" s="1">
        <v>45568</v>
      </c>
      <c r="B567">
        <v>197.84197998046875</v>
      </c>
      <c r="C567">
        <v>199.05663101596809</v>
      </c>
      <c r="D567">
        <v>196.9840194235567</v>
      </c>
      <c r="E567">
        <v>198.7481435436215</v>
      </c>
      <c r="F567">
        <v>7251300</v>
      </c>
      <c r="G567" s="2" t="s">
        <v>13</v>
      </c>
      <c r="H567">
        <v>-0.9937830241288137</v>
      </c>
      <c r="I567">
        <v>98.886941774884804</v>
      </c>
      <c r="J567">
        <v>203.3998388671875</v>
      </c>
      <c r="K567">
        <v>1.4114213829891933</v>
      </c>
      <c r="L567">
        <v>0</v>
      </c>
      <c r="M567" t="str">
        <f>VLOOKUP(fact_daily_prices[[#This Row],[Ticker]], dim_company[], 2, FALSE)</f>
        <v>JPMorgan Chase &amp; Co.</v>
      </c>
      <c r="N567" t="str">
        <f>VLOOKUP(fact_daily_prices[[#This Row],[Ticker]], dim_company[], 3, FALSE)</f>
        <v>Financials</v>
      </c>
    </row>
    <row r="568" spans="1:14" x14ac:dyDescent="0.3">
      <c r="A568" s="1">
        <v>45569</v>
      </c>
      <c r="B568">
        <v>204.8641357421875</v>
      </c>
      <c r="C568">
        <v>205.30059173762103</v>
      </c>
      <c r="D568">
        <v>200.68383122656712</v>
      </c>
      <c r="E568">
        <v>203.00191264193967</v>
      </c>
      <c r="F568">
        <v>10211700</v>
      </c>
      <c r="G568" s="2" t="s">
        <v>13</v>
      </c>
      <c r="H568">
        <v>3.5493760032183186</v>
      </c>
      <c r="I568">
        <v>102.39681115655902</v>
      </c>
      <c r="J568">
        <v>203.47395904541017</v>
      </c>
      <c r="K568">
        <v>1.5533260101064963</v>
      </c>
      <c r="L568">
        <v>0</v>
      </c>
      <c r="M568" t="str">
        <f>VLOOKUP(fact_daily_prices[[#This Row],[Ticker]], dim_company[], 2, FALSE)</f>
        <v>JPMorgan Chase &amp; Co.</v>
      </c>
      <c r="N568" t="str">
        <f>VLOOKUP(fact_daily_prices[[#This Row],[Ticker]], dim_company[], 3, FALSE)</f>
        <v>Financials</v>
      </c>
    </row>
    <row r="569" spans="1:14" x14ac:dyDescent="0.3">
      <c r="A569" s="1">
        <v>45572</v>
      </c>
      <c r="B569">
        <v>204.58282470703125</v>
      </c>
      <c r="C569">
        <v>206.91061434984081</v>
      </c>
      <c r="D569">
        <v>203.38014745122959</v>
      </c>
      <c r="E569">
        <v>204.67982149201009</v>
      </c>
      <c r="F569">
        <v>6718900</v>
      </c>
      <c r="G569" s="2" t="s">
        <v>13</v>
      </c>
      <c r="H569">
        <v>-0.13731590165213525</v>
      </c>
      <c r="I569">
        <v>102.25620405205638</v>
      </c>
      <c r="J569">
        <v>203.47362274169922</v>
      </c>
      <c r="K569">
        <v>1.5454753492819082</v>
      </c>
      <c r="L569">
        <v>0</v>
      </c>
      <c r="M569" t="str">
        <f>VLOOKUP(fact_daily_prices[[#This Row],[Ticker]], dim_company[], 2, FALSE)</f>
        <v>JPMorgan Chase &amp; Co.</v>
      </c>
      <c r="N569" t="str">
        <f>VLOOKUP(fact_daily_prices[[#This Row],[Ticker]], dim_company[], 3, FALSE)</f>
        <v>Financials</v>
      </c>
    </row>
    <row r="570" spans="1:14" x14ac:dyDescent="0.3">
      <c r="A570" s="1">
        <v>45573</v>
      </c>
      <c r="B570">
        <v>204.40826416015625</v>
      </c>
      <c r="C570">
        <v>204.97081299762056</v>
      </c>
      <c r="D570">
        <v>202.10958521366825</v>
      </c>
      <c r="E570">
        <v>204.24338145256661</v>
      </c>
      <c r="F570">
        <v>6021800</v>
      </c>
      <c r="G570" s="2" t="s">
        <v>13</v>
      </c>
      <c r="H570">
        <v>-8.5325123027790717E-2</v>
      </c>
      <c r="I570">
        <v>102.16895382014542</v>
      </c>
      <c r="J570">
        <v>203.49659454345704</v>
      </c>
      <c r="K570">
        <v>1.5428546580010878</v>
      </c>
      <c r="L570">
        <v>0</v>
      </c>
      <c r="M570" t="str">
        <f>VLOOKUP(fact_daily_prices[[#This Row],[Ticker]], dim_company[], 2, FALSE)</f>
        <v>JPMorgan Chase &amp; Co.</v>
      </c>
      <c r="N570" t="str">
        <f>VLOOKUP(fact_daily_prices[[#This Row],[Ticker]], dim_company[], 3, FALSE)</f>
        <v>Financials</v>
      </c>
    </row>
    <row r="571" spans="1:14" x14ac:dyDescent="0.3">
      <c r="A571" s="1">
        <v>45574</v>
      </c>
      <c r="B571">
        <v>206.9979248046875</v>
      </c>
      <c r="C571">
        <v>207.79325708795159</v>
      </c>
      <c r="D571">
        <v>203.07949994465</v>
      </c>
      <c r="E571">
        <v>203.3898630505735</v>
      </c>
      <c r="F571">
        <v>7024000</v>
      </c>
      <c r="G571" s="2" t="s">
        <v>13</v>
      </c>
      <c r="H571">
        <v>1.2669060398175613</v>
      </c>
      <c r="I571">
        <v>103.46333846691125</v>
      </c>
      <c r="J571">
        <v>203.48768432617189</v>
      </c>
      <c r="K571">
        <v>1.5598575791873124</v>
      </c>
      <c r="L571">
        <v>0</v>
      </c>
      <c r="M571" t="str">
        <f>VLOOKUP(fact_daily_prices[[#This Row],[Ticker]], dim_company[], 2, FALSE)</f>
        <v>JPMorgan Chase &amp; Co.</v>
      </c>
      <c r="N571" t="str">
        <f>VLOOKUP(fact_daily_prices[[#This Row],[Ticker]], dim_company[], 3, FALSE)</f>
        <v>Financials</v>
      </c>
    </row>
    <row r="572" spans="1:14" x14ac:dyDescent="0.3">
      <c r="A572" s="1">
        <v>45575</v>
      </c>
      <c r="B572">
        <v>206.43536376953125</v>
      </c>
      <c r="C572">
        <v>208.34608508892401</v>
      </c>
      <c r="D572">
        <v>205.10659358890169</v>
      </c>
      <c r="E572">
        <v>208.34608508892401</v>
      </c>
      <c r="F572">
        <v>7927100</v>
      </c>
      <c r="G572" s="2" t="s">
        <v>13</v>
      </c>
      <c r="H572">
        <v>-0.27177134055187402</v>
      </c>
      <c r="I572">
        <v>103.18215476498</v>
      </c>
      <c r="J572">
        <v>203.51360198974609</v>
      </c>
      <c r="K572">
        <v>1.5564099008766075</v>
      </c>
      <c r="L572">
        <v>0</v>
      </c>
      <c r="M572" t="str">
        <f>VLOOKUP(fact_daily_prices[[#This Row],[Ticker]], dim_company[], 2, FALSE)</f>
        <v>JPMorgan Chase &amp; Co.</v>
      </c>
      <c r="N572" t="str">
        <f>VLOOKUP(fact_daily_prices[[#This Row],[Ticker]], dim_company[], 3, FALSE)</f>
        <v>Financials</v>
      </c>
    </row>
    <row r="573" spans="1:14" x14ac:dyDescent="0.3">
      <c r="A573" s="1">
        <v>45576</v>
      </c>
      <c r="B573">
        <v>215.60101318359369</v>
      </c>
      <c r="C573">
        <v>217.87061094482129</v>
      </c>
      <c r="D573">
        <v>208.6855737425154</v>
      </c>
      <c r="E573">
        <v>209.18022188553985</v>
      </c>
      <c r="F573">
        <v>18320700</v>
      </c>
      <c r="G573" s="2" t="s">
        <v>13</v>
      </c>
      <c r="H573">
        <v>4.4399608897897735</v>
      </c>
      <c r="I573">
        <v>107.76340208178748</v>
      </c>
      <c r="J573">
        <v>203.81614746093749</v>
      </c>
      <c r="K573">
        <v>1.7620082866436468</v>
      </c>
      <c r="L573">
        <v>0</v>
      </c>
      <c r="M573" t="str">
        <f>VLOOKUP(fact_daily_prices[[#This Row],[Ticker]], dim_company[], 2, FALSE)</f>
        <v>JPMorgan Chase &amp; Co.</v>
      </c>
      <c r="N573" t="str">
        <f>VLOOKUP(fact_daily_prices[[#This Row],[Ticker]], dim_company[], 3, FALSE)</f>
        <v>Financials</v>
      </c>
    </row>
    <row r="574" spans="1:14" x14ac:dyDescent="0.3">
      <c r="A574" s="1">
        <v>45579</v>
      </c>
      <c r="B574">
        <v>214.81536865234369</v>
      </c>
      <c r="C574">
        <v>216.96856708937395</v>
      </c>
      <c r="D574">
        <v>212.29361498349439</v>
      </c>
      <c r="E574">
        <v>216.48361275309929</v>
      </c>
      <c r="F574">
        <v>9048900</v>
      </c>
      <c r="G574" s="2" t="s">
        <v>13</v>
      </c>
      <c r="H574">
        <v>-0.36439742079550363</v>
      </c>
      <c r="I574">
        <v>107.37071502403994</v>
      </c>
      <c r="J574">
        <v>204.27303100585937</v>
      </c>
      <c r="K574">
        <v>1.7503076022127217</v>
      </c>
      <c r="L574">
        <v>0</v>
      </c>
      <c r="M574" t="str">
        <f>VLOOKUP(fact_daily_prices[[#This Row],[Ticker]], dim_company[], 2, FALSE)</f>
        <v>JPMorgan Chase &amp; Co.</v>
      </c>
      <c r="N574" t="str">
        <f>VLOOKUP(fact_daily_prices[[#This Row],[Ticker]], dim_company[], 3, FALSE)</f>
        <v>Financials</v>
      </c>
    </row>
    <row r="575" spans="1:14" x14ac:dyDescent="0.3">
      <c r="A575" s="1">
        <v>45580</v>
      </c>
      <c r="B575">
        <v>215.697998046875</v>
      </c>
      <c r="C575">
        <v>218.66591634009171</v>
      </c>
      <c r="D575">
        <v>215.14515777638977</v>
      </c>
      <c r="E575">
        <v>216.92978625602399</v>
      </c>
      <c r="F575">
        <v>9235800</v>
      </c>
      <c r="G575" s="2" t="s">
        <v>13</v>
      </c>
      <c r="H575">
        <v>0.41087814157270142</v>
      </c>
      <c r="I575">
        <v>107.81187782252404</v>
      </c>
      <c r="J575">
        <v>204.82931396484375</v>
      </c>
      <c r="K575">
        <v>1.7108255265651324</v>
      </c>
      <c r="L575">
        <v>0</v>
      </c>
      <c r="M575" t="str">
        <f>VLOOKUP(fact_daily_prices[[#This Row],[Ticker]], dim_company[], 2, FALSE)</f>
        <v>JPMorgan Chase &amp; Co.</v>
      </c>
      <c r="N575" t="str">
        <f>VLOOKUP(fact_daily_prices[[#This Row],[Ticker]], dim_company[], 3, FALSE)</f>
        <v>Financials</v>
      </c>
    </row>
    <row r="576" spans="1:14" x14ac:dyDescent="0.3">
      <c r="A576" s="1">
        <v>45581</v>
      </c>
      <c r="B576">
        <v>216.91041564941409</v>
      </c>
      <c r="C576">
        <v>216.94920549175859</v>
      </c>
      <c r="D576">
        <v>214.38864670761583</v>
      </c>
      <c r="E576">
        <v>215.6398374178375</v>
      </c>
      <c r="F576">
        <v>6382500</v>
      </c>
      <c r="G576" s="2" t="s">
        <v>13</v>
      </c>
      <c r="H576">
        <v>0.56209033626524185</v>
      </c>
      <c r="I576">
        <v>108.41787796911055</v>
      </c>
      <c r="J576">
        <v>205.30496215820313</v>
      </c>
      <c r="K576">
        <v>1.7103840379234361</v>
      </c>
      <c r="L576">
        <v>0</v>
      </c>
      <c r="M576" t="str">
        <f>VLOOKUP(fact_daily_prices[[#This Row],[Ticker]], dim_company[], 2, FALSE)</f>
        <v>JPMorgan Chase &amp; Co.</v>
      </c>
      <c r="N576" t="str">
        <f>VLOOKUP(fact_daily_prices[[#This Row],[Ticker]], dim_company[], 3, FALSE)</f>
        <v>Financials</v>
      </c>
    </row>
    <row r="577" spans="1:14" x14ac:dyDescent="0.3">
      <c r="A577" s="1">
        <v>45582</v>
      </c>
      <c r="B577">
        <v>217.66691589355469</v>
      </c>
      <c r="C577">
        <v>219.05389307634081</v>
      </c>
      <c r="D577">
        <v>216.59031660888084</v>
      </c>
      <c r="E577">
        <v>217.521435503585</v>
      </c>
      <c r="F577">
        <v>6470200</v>
      </c>
      <c r="G577" s="2" t="s">
        <v>13</v>
      </c>
      <c r="H577">
        <v>0.34876160366743569</v>
      </c>
      <c r="I577">
        <v>108.79599789897783</v>
      </c>
      <c r="J577">
        <v>205.79458374023437</v>
      </c>
      <c r="K577">
        <v>1.7028601866677935</v>
      </c>
      <c r="L577">
        <v>0</v>
      </c>
      <c r="M577" t="str">
        <f>VLOOKUP(fact_daily_prices[[#This Row],[Ticker]], dim_company[], 2, FALSE)</f>
        <v>JPMorgan Chase &amp; Co.</v>
      </c>
      <c r="N577" t="str">
        <f>VLOOKUP(fact_daily_prices[[#This Row],[Ticker]], dim_company[], 3, FALSE)</f>
        <v>Financials</v>
      </c>
    </row>
    <row r="578" spans="1:14" x14ac:dyDescent="0.3">
      <c r="A578" s="1">
        <v>45583</v>
      </c>
      <c r="B578">
        <v>218.58831787109369</v>
      </c>
      <c r="C578">
        <v>219.12177061330635</v>
      </c>
      <c r="D578">
        <v>216.38663578902961</v>
      </c>
      <c r="E578">
        <v>218.2294563898017</v>
      </c>
      <c r="F578">
        <v>7000500</v>
      </c>
      <c r="G578" s="2" t="s">
        <v>13</v>
      </c>
      <c r="H578">
        <v>0.42330823393923467</v>
      </c>
      <c r="I578">
        <v>109.25654031628056</v>
      </c>
      <c r="J578">
        <v>206.23206817626954</v>
      </c>
      <c r="K578">
        <v>1.6358115844304517</v>
      </c>
      <c r="L578">
        <v>0</v>
      </c>
      <c r="M578" t="str">
        <f>VLOOKUP(fact_daily_prices[[#This Row],[Ticker]], dim_company[], 2, FALSE)</f>
        <v>JPMorgan Chase &amp; Co.</v>
      </c>
      <c r="N578" t="str">
        <f>VLOOKUP(fact_daily_prices[[#This Row],[Ticker]], dim_company[], 3, FALSE)</f>
        <v>Financials</v>
      </c>
    </row>
    <row r="579" spans="1:14" x14ac:dyDescent="0.3">
      <c r="A579" s="1">
        <v>45586</v>
      </c>
      <c r="B579">
        <v>216.2896423339844</v>
      </c>
      <c r="C579">
        <v>218.90839289110613</v>
      </c>
      <c r="D579">
        <v>216.19264554312963</v>
      </c>
      <c r="E579">
        <v>218.44284085419463</v>
      </c>
      <c r="F579">
        <v>5870000</v>
      </c>
      <c r="G579" s="2" t="s">
        <v>13</v>
      </c>
      <c r="H579">
        <v>-1.0516003597524692</v>
      </c>
      <c r="I579">
        <v>108.10759814526145</v>
      </c>
      <c r="J579">
        <v>206.59003143310548</v>
      </c>
      <c r="K579">
        <v>1.6148134501685818</v>
      </c>
      <c r="L579">
        <v>0</v>
      </c>
      <c r="M579" t="str">
        <f>VLOOKUP(fact_daily_prices[[#This Row],[Ticker]], dim_company[], 2, FALSE)</f>
        <v>JPMorgan Chase &amp; Co.</v>
      </c>
      <c r="N579" t="str">
        <f>VLOOKUP(fact_daily_prices[[#This Row],[Ticker]], dim_company[], 3, FALSE)</f>
        <v>Financials</v>
      </c>
    </row>
    <row r="580" spans="1:14" x14ac:dyDescent="0.3">
      <c r="A580" s="1">
        <v>45587</v>
      </c>
      <c r="B580">
        <v>217.37594604492188</v>
      </c>
      <c r="C580">
        <v>218.50104375579213</v>
      </c>
      <c r="D580">
        <v>214.4468322523353</v>
      </c>
      <c r="E580">
        <v>216.30905529120685</v>
      </c>
      <c r="F580">
        <v>9586800</v>
      </c>
      <c r="G580" s="2" t="s">
        <v>13</v>
      </c>
      <c r="H580">
        <v>0.50224490605059735</v>
      </c>
      <c r="I580">
        <v>108.65056304999968</v>
      </c>
      <c r="J580">
        <v>206.96220123291016</v>
      </c>
      <c r="K580">
        <v>1.2652503624250635</v>
      </c>
      <c r="L580">
        <v>0</v>
      </c>
      <c r="M580" t="str">
        <f>VLOOKUP(fact_daily_prices[[#This Row],[Ticker]], dim_company[], 2, FALSE)</f>
        <v>JPMorgan Chase &amp; Co.</v>
      </c>
      <c r="N580" t="str">
        <f>VLOOKUP(fact_daily_prices[[#This Row],[Ticker]], dim_company[], 3, FALSE)</f>
        <v>Financials</v>
      </c>
    </row>
    <row r="581" spans="1:14" x14ac:dyDescent="0.3">
      <c r="A581" s="1">
        <v>45588</v>
      </c>
      <c r="B581">
        <v>217.37594604492188</v>
      </c>
      <c r="C581">
        <v>218.03550481569224</v>
      </c>
      <c r="D581">
        <v>215.8338076592832</v>
      </c>
      <c r="E581">
        <v>216.92980935734141</v>
      </c>
      <c r="F581">
        <v>6180500</v>
      </c>
      <c r="G581" s="2" t="s">
        <v>13</v>
      </c>
      <c r="H581">
        <v>0</v>
      </c>
      <c r="I581">
        <v>108.65056304999968</v>
      </c>
      <c r="J581">
        <v>207.3006314086914</v>
      </c>
      <c r="K581">
        <v>1.2629646120121307</v>
      </c>
      <c r="L581">
        <v>0</v>
      </c>
      <c r="M581" t="str">
        <f>VLOOKUP(fact_daily_prices[[#This Row],[Ticker]], dim_company[], 2, FALSE)</f>
        <v>JPMorgan Chase &amp; Co.</v>
      </c>
      <c r="N581" t="str">
        <f>VLOOKUP(fact_daily_prices[[#This Row],[Ticker]], dim_company[], 3, FALSE)</f>
        <v>Financials</v>
      </c>
    </row>
    <row r="582" spans="1:14" x14ac:dyDescent="0.3">
      <c r="A582" s="1">
        <v>45589</v>
      </c>
      <c r="B582">
        <v>218.2100524902344</v>
      </c>
      <c r="C582">
        <v>218.28764696123304</v>
      </c>
      <c r="D582">
        <v>214.98996334176661</v>
      </c>
      <c r="E582">
        <v>215.15484604277671</v>
      </c>
      <c r="F582">
        <v>6002200</v>
      </c>
      <c r="G582" s="2" t="s">
        <v>13</v>
      </c>
      <c r="H582">
        <v>0.38371607369114269</v>
      </c>
      <c r="I582">
        <v>109.06747272457842</v>
      </c>
      <c r="J582">
        <v>207.61139953613281</v>
      </c>
      <c r="K582">
        <v>1.2580515371001066</v>
      </c>
      <c r="L582">
        <v>0</v>
      </c>
      <c r="M582" t="str">
        <f>VLOOKUP(fact_daily_prices[[#This Row],[Ticker]], dim_company[], 2, FALSE)</f>
        <v>JPMorgan Chase &amp; Co.</v>
      </c>
      <c r="N582" t="str">
        <f>VLOOKUP(fact_daily_prices[[#This Row],[Ticker]], dim_company[], 3, FALSE)</f>
        <v>Financials</v>
      </c>
    </row>
    <row r="583" spans="1:14" x14ac:dyDescent="0.3">
      <c r="A583" s="1">
        <v>45590</v>
      </c>
      <c r="B583">
        <v>215.62040710449219</v>
      </c>
      <c r="C583">
        <v>218.8308026284756</v>
      </c>
      <c r="D583">
        <v>214.23344472630609</v>
      </c>
      <c r="E583">
        <v>218.22946395257759</v>
      </c>
      <c r="F583">
        <v>6369700</v>
      </c>
      <c r="G583" s="2" t="s">
        <v>13</v>
      </c>
      <c r="H583">
        <v>-1.1867672255191364</v>
      </c>
      <c r="I583">
        <v>107.77309570458111</v>
      </c>
      <c r="J583">
        <v>207.84511810302735</v>
      </c>
      <c r="K583">
        <v>1.2613678243545681</v>
      </c>
      <c r="L583">
        <v>0</v>
      </c>
      <c r="M583" t="str">
        <f>VLOOKUP(fact_daily_prices[[#This Row],[Ticker]], dim_company[], 2, FALSE)</f>
        <v>JPMorgan Chase &amp; Co.</v>
      </c>
      <c r="N583" t="str">
        <f>VLOOKUP(fact_daily_prices[[#This Row],[Ticker]], dim_company[], 3, FALSE)</f>
        <v>Financials</v>
      </c>
    </row>
    <row r="584" spans="1:14" x14ac:dyDescent="0.3">
      <c r="A584" s="1">
        <v>45593</v>
      </c>
      <c r="B584">
        <v>218.71440124511719</v>
      </c>
      <c r="C584">
        <v>218.85018786454799</v>
      </c>
      <c r="D584">
        <v>216.24113122011303</v>
      </c>
      <c r="E584">
        <v>216.62910356108063</v>
      </c>
      <c r="F584">
        <v>6843000</v>
      </c>
      <c r="G584" s="2" t="s">
        <v>13</v>
      </c>
      <c r="H584">
        <v>1.4349263978179927</v>
      </c>
      <c r="I584">
        <v>109.3195603045918</v>
      </c>
      <c r="J584">
        <v>208.0940591430664</v>
      </c>
      <c r="K584">
        <v>1.2509166118257617</v>
      </c>
      <c r="L584">
        <v>0</v>
      </c>
      <c r="M584" t="str">
        <f>VLOOKUP(fact_daily_prices[[#This Row],[Ticker]], dim_company[], 2, FALSE)</f>
        <v>JPMorgan Chase &amp; Co.</v>
      </c>
      <c r="N584" t="str">
        <f>VLOOKUP(fact_daily_prices[[#This Row],[Ticker]], dim_company[], 3, FALSE)</f>
        <v>Financials</v>
      </c>
    </row>
    <row r="585" spans="1:14" x14ac:dyDescent="0.3">
      <c r="A585" s="1">
        <v>45594</v>
      </c>
      <c r="B585">
        <v>216.19265747070313</v>
      </c>
      <c r="C585">
        <v>219.92681213014208</v>
      </c>
      <c r="D585">
        <v>216.10536923389751</v>
      </c>
      <c r="E585">
        <v>218.43315914614644</v>
      </c>
      <c r="F585">
        <v>6580000</v>
      </c>
      <c r="G585" s="2" t="s">
        <v>13</v>
      </c>
      <c r="H585">
        <v>-1.1529847874936716</v>
      </c>
      <c r="I585">
        <v>108.05912240452489</v>
      </c>
      <c r="J585">
        <v>208.26403106689452</v>
      </c>
      <c r="K585">
        <v>1.2763456082899989</v>
      </c>
      <c r="L585">
        <v>0</v>
      </c>
      <c r="M585" t="str">
        <f>VLOOKUP(fact_daily_prices[[#This Row],[Ticker]], dim_company[], 2, FALSE)</f>
        <v>JPMorgan Chase &amp; Co.</v>
      </c>
      <c r="N585" t="str">
        <f>VLOOKUP(fact_daily_prices[[#This Row],[Ticker]], dim_company[], 3, FALSE)</f>
        <v>Financials</v>
      </c>
    </row>
    <row r="586" spans="1:14" x14ac:dyDescent="0.3">
      <c r="A586" s="1">
        <v>45595</v>
      </c>
      <c r="B586">
        <v>217.65721130371091</v>
      </c>
      <c r="C586">
        <v>219.50003188324951</v>
      </c>
      <c r="D586">
        <v>214.91236795234585</v>
      </c>
      <c r="E586">
        <v>215.8434720010865</v>
      </c>
      <c r="F586">
        <v>7110900</v>
      </c>
      <c r="G586" s="2" t="s">
        <v>13</v>
      </c>
      <c r="H586">
        <v>0.67742995999124922</v>
      </c>
      <c r="I586">
        <v>108.79114727419675</v>
      </c>
      <c r="J586">
        <v>208.48122406005859</v>
      </c>
      <c r="K586">
        <v>1.2626491538326841</v>
      </c>
      <c r="L586">
        <v>0</v>
      </c>
      <c r="M586" t="str">
        <f>VLOOKUP(fact_daily_prices[[#This Row],[Ticker]], dim_company[], 2, FALSE)</f>
        <v>JPMorgan Chase &amp; Co.</v>
      </c>
      <c r="N586" t="str">
        <f>VLOOKUP(fact_daily_prices[[#This Row],[Ticker]], dim_company[], 3, FALSE)</f>
        <v>Financials</v>
      </c>
    </row>
    <row r="587" spans="1:14" x14ac:dyDescent="0.3">
      <c r="A587" s="1">
        <v>45596</v>
      </c>
      <c r="B587">
        <v>215.24215698242188</v>
      </c>
      <c r="C587">
        <v>218.89871726600515</v>
      </c>
      <c r="D587">
        <v>215.1451749831653</v>
      </c>
      <c r="E587">
        <v>217.93850223567321</v>
      </c>
      <c r="F587">
        <v>7829900</v>
      </c>
      <c r="G587" s="2" t="s">
        <v>13</v>
      </c>
      <c r="H587">
        <v>-1.1095677955366035</v>
      </c>
      <c r="I587">
        <v>107.58403573964745</v>
      </c>
      <c r="J587">
        <v>208.64857360839844</v>
      </c>
      <c r="K587">
        <v>1.2689146896201022</v>
      </c>
      <c r="L587">
        <v>0</v>
      </c>
      <c r="M587" t="str">
        <f>VLOOKUP(fact_daily_prices[[#This Row],[Ticker]], dim_company[], 2, FALSE)</f>
        <v>JPMorgan Chase &amp; Co.</v>
      </c>
      <c r="N587" t="str">
        <f>VLOOKUP(fact_daily_prices[[#This Row],[Ticker]], dim_company[], 3, FALSE)</f>
        <v>Financials</v>
      </c>
    </row>
    <row r="588" spans="1:14" x14ac:dyDescent="0.3">
      <c r="A588" s="1">
        <v>45597</v>
      </c>
      <c r="B588">
        <v>215.24215698242188</v>
      </c>
      <c r="C588">
        <v>219.34484391378845</v>
      </c>
      <c r="D588">
        <v>215.99866189946741</v>
      </c>
      <c r="E588">
        <v>216.83278396329408</v>
      </c>
      <c r="F588">
        <v>6923500</v>
      </c>
      <c r="G588" s="2" t="s">
        <v>13</v>
      </c>
      <c r="H588">
        <v>0</v>
      </c>
      <c r="I588">
        <v>107.58403573964745</v>
      </c>
      <c r="J588">
        <v>208.77678436279297</v>
      </c>
      <c r="K588">
        <v>1.2693470340966992</v>
      </c>
      <c r="L588">
        <v>0</v>
      </c>
      <c r="M588" t="str">
        <f>VLOOKUP(fact_daily_prices[[#This Row],[Ticker]], dim_company[], 2, FALSE)</f>
        <v>JPMorgan Chase &amp; Co.</v>
      </c>
      <c r="N588" t="str">
        <f>VLOOKUP(fact_daily_prices[[#This Row],[Ticker]], dim_company[], 3, FALSE)</f>
        <v>Financials</v>
      </c>
    </row>
    <row r="589" spans="1:14" x14ac:dyDescent="0.3">
      <c r="A589" s="1">
        <v>45600</v>
      </c>
      <c r="B589">
        <v>213.16653442382807</v>
      </c>
      <c r="C589">
        <v>217.02676693348931</v>
      </c>
      <c r="D589">
        <v>212.57488952061908</v>
      </c>
      <c r="E589">
        <v>215.95016767681813</v>
      </c>
      <c r="F589">
        <v>8229600</v>
      </c>
      <c r="G589" s="2" t="s">
        <v>13</v>
      </c>
      <c r="H589">
        <v>-0.96431971677524153</v>
      </c>
      <c r="I589">
        <v>106.54658167090751</v>
      </c>
      <c r="J589">
        <v>208.83109283447266</v>
      </c>
      <c r="K589">
        <v>1.2868911001733949</v>
      </c>
      <c r="L589">
        <v>0</v>
      </c>
      <c r="M589" t="str">
        <f>VLOOKUP(fact_daily_prices[[#This Row],[Ticker]], dim_company[], 2, FALSE)</f>
        <v>JPMorgan Chase &amp; Co.</v>
      </c>
      <c r="N589" t="str">
        <f>VLOOKUP(fact_daily_prices[[#This Row],[Ticker]], dim_company[], 3, FALSE)</f>
        <v>Financials</v>
      </c>
    </row>
    <row r="590" spans="1:14" x14ac:dyDescent="0.3">
      <c r="A590" s="1">
        <v>45601</v>
      </c>
      <c r="B590">
        <v>214.82508850097656</v>
      </c>
      <c r="C590">
        <v>215.28094678500293</v>
      </c>
      <c r="D590">
        <v>213.3799191750596</v>
      </c>
      <c r="E590">
        <v>213.40901525279463</v>
      </c>
      <c r="F590">
        <v>8398700</v>
      </c>
      <c r="G590" s="2" t="s">
        <v>13</v>
      </c>
      <c r="H590">
        <v>0.77805556187862113</v>
      </c>
      <c r="I590">
        <v>107.37557327558956</v>
      </c>
      <c r="J590">
        <v>208.90199096679689</v>
      </c>
      <c r="K590">
        <v>1.291721243109446</v>
      </c>
      <c r="L590">
        <v>0</v>
      </c>
      <c r="M590" t="str">
        <f>VLOOKUP(fact_daily_prices[[#This Row],[Ticker]], dim_company[], 2, FALSE)</f>
        <v>JPMorgan Chase &amp; Co.</v>
      </c>
      <c r="N590" t="str">
        <f>VLOOKUP(fact_daily_prices[[#This Row],[Ticker]], dim_company[], 3, FALSE)</f>
        <v>Financials</v>
      </c>
    </row>
    <row r="591" spans="1:14" x14ac:dyDescent="0.3">
      <c r="A591" s="1">
        <v>45602</v>
      </c>
      <c r="B591">
        <v>239.62565612792969</v>
      </c>
      <c r="C591">
        <v>240.53737273122323</v>
      </c>
      <c r="D591">
        <v>227.70548396691856</v>
      </c>
      <c r="E591">
        <v>227.92855883805424</v>
      </c>
      <c r="F591">
        <v>23987800</v>
      </c>
      <c r="G591" s="2" t="s">
        <v>13</v>
      </c>
      <c r="H591">
        <v>11.544539699719646</v>
      </c>
      <c r="I591">
        <v>119.77158896019155</v>
      </c>
      <c r="J591">
        <v>209.44942810058595</v>
      </c>
      <c r="K591">
        <v>2.434268605648171</v>
      </c>
      <c r="L591">
        <v>1</v>
      </c>
      <c r="M591" t="str">
        <f>VLOOKUP(fact_daily_prices[[#This Row],[Ticker]], dim_company[], 2, FALSE)</f>
        <v>JPMorgan Chase &amp; Co.</v>
      </c>
      <c r="N591" t="str">
        <f>VLOOKUP(fact_daily_prices[[#This Row],[Ticker]], dim_company[], 3, FALSE)</f>
        <v>Financials</v>
      </c>
    </row>
    <row r="592" spans="1:14" x14ac:dyDescent="0.3">
      <c r="A592" s="1">
        <v>45603</v>
      </c>
      <c r="B592">
        <v>229.26702880859369</v>
      </c>
      <c r="C592">
        <v>237.21058362240817</v>
      </c>
      <c r="D592">
        <v>228.14193113736411</v>
      </c>
      <c r="E592">
        <v>237.14268290793603</v>
      </c>
      <c r="F592">
        <v>16451100</v>
      </c>
      <c r="G592" s="2" t="s">
        <v>13</v>
      </c>
      <c r="H592">
        <v>-4.3228373316611002</v>
      </c>
      <c r="I592">
        <v>114.59405799989672</v>
      </c>
      <c r="J592">
        <v>209.76829193115233</v>
      </c>
      <c r="K592">
        <v>2.5916138400571231</v>
      </c>
      <c r="L592">
        <v>0</v>
      </c>
      <c r="M592" t="str">
        <f>VLOOKUP(fact_daily_prices[[#This Row],[Ticker]], dim_company[], 2, FALSE)</f>
        <v>JPMorgan Chase &amp; Co.</v>
      </c>
      <c r="N592" t="str">
        <f>VLOOKUP(fact_daily_prices[[#This Row],[Ticker]], dim_company[], 3, FALSE)</f>
        <v>Financials</v>
      </c>
    </row>
    <row r="593" spans="1:14" x14ac:dyDescent="0.3">
      <c r="A593" s="1">
        <v>45604</v>
      </c>
      <c r="B593">
        <v>229.84898376464844</v>
      </c>
      <c r="C593">
        <v>232.13796912945921</v>
      </c>
      <c r="D593">
        <v>228.6850961621216</v>
      </c>
      <c r="E593">
        <v>232.13796912945921</v>
      </c>
      <c r="F593">
        <v>9502100</v>
      </c>
      <c r="G593" s="2" t="s">
        <v>13</v>
      </c>
      <c r="H593">
        <v>0.25383281629238752</v>
      </c>
      <c r="I593">
        <v>114.88493532462161</v>
      </c>
      <c r="J593">
        <v>210.08105712890625</v>
      </c>
      <c r="K593">
        <v>2.5917924021061047</v>
      </c>
      <c r="L593">
        <v>0</v>
      </c>
      <c r="M593" t="str">
        <f>VLOOKUP(fact_daily_prices[[#This Row],[Ticker]], dim_company[], 2, FALSE)</f>
        <v>JPMorgan Chase &amp; Co.</v>
      </c>
      <c r="N593" t="str">
        <f>VLOOKUP(fact_daily_prices[[#This Row],[Ticker]], dim_company[], 3, FALSE)</f>
        <v>Financials</v>
      </c>
    </row>
    <row r="594" spans="1:14" x14ac:dyDescent="0.3">
      <c r="A594" s="1">
        <v>45607</v>
      </c>
      <c r="B594">
        <v>232.0894775390625</v>
      </c>
      <c r="C594">
        <v>234.8149337844668</v>
      </c>
      <c r="D594">
        <v>231.8082104900559</v>
      </c>
      <c r="E594">
        <v>232.7781193205582</v>
      </c>
      <c r="F594">
        <v>9017100</v>
      </c>
      <c r="G594" s="2" t="s">
        <v>13</v>
      </c>
      <c r="H594">
        <v>0.97476775303395602</v>
      </c>
      <c r="I594">
        <v>116.00479662725994</v>
      </c>
      <c r="J594">
        <v>210.38869628906249</v>
      </c>
      <c r="K594">
        <v>2.5929931513751785</v>
      </c>
      <c r="L594">
        <v>0</v>
      </c>
      <c r="M594" t="str">
        <f>VLOOKUP(fact_daily_prices[[#This Row],[Ticker]], dim_company[], 2, FALSE)</f>
        <v>JPMorgan Chase &amp; Co.</v>
      </c>
      <c r="N594" t="str">
        <f>VLOOKUP(fact_daily_prices[[#This Row],[Ticker]], dim_company[], 3, FALSE)</f>
        <v>Financials</v>
      </c>
    </row>
    <row r="595" spans="1:14" x14ac:dyDescent="0.3">
      <c r="A595" s="1">
        <v>45608</v>
      </c>
      <c r="B595">
        <v>232.35133361816409</v>
      </c>
      <c r="C595">
        <v>234.194169089919</v>
      </c>
      <c r="D595">
        <v>231.57540367214264</v>
      </c>
      <c r="E595">
        <v>233.31154859132425</v>
      </c>
      <c r="F595">
        <v>6861000</v>
      </c>
      <c r="G595" s="2" t="s">
        <v>13</v>
      </c>
      <c r="H595">
        <v>0.11282548518707358</v>
      </c>
      <c r="I595">
        <v>116.13567960189492</v>
      </c>
      <c r="J595">
        <v>210.7883331298828</v>
      </c>
      <c r="K595">
        <v>2.5580687828534843</v>
      </c>
      <c r="L595">
        <v>0</v>
      </c>
      <c r="M595" t="str">
        <f>VLOOKUP(fact_daily_prices[[#This Row],[Ticker]], dim_company[], 2, FALSE)</f>
        <v>JPMorgan Chase &amp; Co.</v>
      </c>
      <c r="N595" t="str">
        <f>VLOOKUP(fact_daily_prices[[#This Row],[Ticker]], dim_company[], 3, FALSE)</f>
        <v>Financials</v>
      </c>
    </row>
    <row r="596" spans="1:14" x14ac:dyDescent="0.3">
      <c r="A596" s="1">
        <v>45609</v>
      </c>
      <c r="B596">
        <v>233.90318298339844</v>
      </c>
      <c r="C596">
        <v>236.74500833825084</v>
      </c>
      <c r="D596">
        <v>233.07875467792289</v>
      </c>
      <c r="E596">
        <v>233.34063416784119</v>
      </c>
      <c r="F596">
        <v>11472600</v>
      </c>
      <c r="G596" s="2" t="s">
        <v>13</v>
      </c>
      <c r="H596">
        <v>0.66788915779780744</v>
      </c>
      <c r="I596">
        <v>116.9113372142908</v>
      </c>
      <c r="J596">
        <v>211.23770874023438</v>
      </c>
      <c r="K596">
        <v>2.5569407380228597</v>
      </c>
      <c r="L596">
        <v>0</v>
      </c>
      <c r="M596" t="str">
        <f>VLOOKUP(fact_daily_prices[[#This Row],[Ticker]], dim_company[], 2, FALSE)</f>
        <v>JPMorgan Chase &amp; Co.</v>
      </c>
      <c r="N596" t="str">
        <f>VLOOKUP(fact_daily_prices[[#This Row],[Ticker]], dim_company[], 3, FALSE)</f>
        <v>Financials</v>
      </c>
    </row>
    <row r="597" spans="1:14" x14ac:dyDescent="0.3">
      <c r="A597" s="1">
        <v>45610</v>
      </c>
      <c r="B597">
        <v>234.59181213378903</v>
      </c>
      <c r="C597">
        <v>236.93898940783777</v>
      </c>
      <c r="D597">
        <v>233.79649469695167</v>
      </c>
      <c r="E597">
        <v>235.12526487780747</v>
      </c>
      <c r="F597">
        <v>10172200</v>
      </c>
      <c r="G597" s="2" t="s">
        <v>13</v>
      </c>
      <c r="H597">
        <v>0.29440777231299897</v>
      </c>
      <c r="I597">
        <v>117.2555332777647</v>
      </c>
      <c r="J597">
        <v>211.73363281249999</v>
      </c>
      <c r="K597">
        <v>2.540776353656383</v>
      </c>
      <c r="L597">
        <v>0</v>
      </c>
      <c r="M597" t="str">
        <f>VLOOKUP(fact_daily_prices[[#This Row],[Ticker]], dim_company[], 2, FALSE)</f>
        <v>JPMorgan Chase &amp; Co.</v>
      </c>
      <c r="N597" t="str">
        <f>VLOOKUP(fact_daily_prices[[#This Row],[Ticker]], dim_company[], 3, FALSE)</f>
        <v>Financials</v>
      </c>
    </row>
    <row r="598" spans="1:14" x14ac:dyDescent="0.3">
      <c r="A598" s="1">
        <v>45611</v>
      </c>
      <c r="B598">
        <v>237.9283142089844</v>
      </c>
      <c r="C598">
        <v>239.00491351851235</v>
      </c>
      <c r="D598">
        <v>234.194174383774</v>
      </c>
      <c r="E598">
        <v>234.194174383774</v>
      </c>
      <c r="F598">
        <v>11518800</v>
      </c>
      <c r="G598" s="2" t="s">
        <v>13</v>
      </c>
      <c r="H598">
        <v>1.4222585370083252</v>
      </c>
      <c r="I598">
        <v>118.92321010992235</v>
      </c>
      <c r="J598">
        <v>212.39596466064452</v>
      </c>
      <c r="K598">
        <v>2.4846722222000976</v>
      </c>
      <c r="L598">
        <v>0</v>
      </c>
      <c r="M598" t="str">
        <f>VLOOKUP(fact_daily_prices[[#This Row],[Ticker]], dim_company[], 2, FALSE)</f>
        <v>JPMorgan Chase &amp; Co.</v>
      </c>
      <c r="N598" t="str">
        <f>VLOOKUP(fact_daily_prices[[#This Row],[Ticker]], dim_company[], 3, FALSE)</f>
        <v>Financials</v>
      </c>
    </row>
    <row r="599" spans="1:14" x14ac:dyDescent="0.3">
      <c r="A599" s="1">
        <v>45614</v>
      </c>
      <c r="B599">
        <v>237.65673828125</v>
      </c>
      <c r="C599">
        <v>240.46946771808439</v>
      </c>
      <c r="D599">
        <v>235.37744681373624</v>
      </c>
      <c r="E599">
        <v>240.30458500761367</v>
      </c>
      <c r="F599">
        <v>9051400</v>
      </c>
      <c r="G599" s="2" t="s">
        <v>13</v>
      </c>
      <c r="H599">
        <v>-0.11414191229710546</v>
      </c>
      <c r="I599">
        <v>118.78746888373779</v>
      </c>
      <c r="J599">
        <v>212.9689971923828</v>
      </c>
      <c r="K599">
        <v>2.4844617135933387</v>
      </c>
      <c r="L599">
        <v>0</v>
      </c>
      <c r="M599" t="str">
        <f>VLOOKUP(fact_daily_prices[[#This Row],[Ticker]], dim_company[], 2, FALSE)</f>
        <v>JPMorgan Chase &amp; Co.</v>
      </c>
      <c r="N599" t="str">
        <f>VLOOKUP(fact_daily_prices[[#This Row],[Ticker]], dim_company[], 3, FALSE)</f>
        <v>Financials</v>
      </c>
    </row>
    <row r="600" spans="1:14" x14ac:dyDescent="0.3">
      <c r="A600" s="1">
        <v>45615</v>
      </c>
      <c r="B600">
        <v>235.77511596679688</v>
      </c>
      <c r="C600">
        <v>237.77312563640768</v>
      </c>
      <c r="D600">
        <v>234.28146299425185</v>
      </c>
      <c r="E600">
        <v>234.96039616359047</v>
      </c>
      <c r="F600">
        <v>6792700</v>
      </c>
      <c r="G600" s="2" t="s">
        <v>13</v>
      </c>
      <c r="H600">
        <v>-0.79173951812229193</v>
      </c>
      <c r="I600">
        <v>117.84698155000801</v>
      </c>
      <c r="J600">
        <v>213.72129730224611</v>
      </c>
      <c r="K600">
        <v>2.4938165820055418</v>
      </c>
      <c r="L600">
        <v>0</v>
      </c>
      <c r="M600" t="str">
        <f>VLOOKUP(fact_daily_prices[[#This Row],[Ticker]], dim_company[], 2, FALSE)</f>
        <v>JPMorgan Chase &amp; Co.</v>
      </c>
      <c r="N600" t="str">
        <f>VLOOKUP(fact_daily_prices[[#This Row],[Ticker]], dim_company[], 3, FALSE)</f>
        <v>Financials</v>
      </c>
    </row>
    <row r="601" spans="1:14" x14ac:dyDescent="0.3">
      <c r="A601" s="1">
        <v>45616</v>
      </c>
      <c r="B601">
        <v>233.53462219238281</v>
      </c>
      <c r="C601">
        <v>237.24937439416908</v>
      </c>
      <c r="D601">
        <v>231.45901810779449</v>
      </c>
      <c r="E601">
        <v>237.0456870495828</v>
      </c>
      <c r="F601">
        <v>9015300</v>
      </c>
      <c r="G601" s="2" t="s">
        <v>13</v>
      </c>
      <c r="H601">
        <v>-0.95026727703086955</v>
      </c>
      <c r="I601">
        <v>116.72712024736968</v>
      </c>
      <c r="J601">
        <v>214.39658996582031</v>
      </c>
      <c r="K601">
        <v>2.5033130684656797</v>
      </c>
      <c r="L601">
        <v>0</v>
      </c>
      <c r="M601" t="str">
        <f>VLOOKUP(fact_daily_prices[[#This Row],[Ticker]], dim_company[], 2, FALSE)</f>
        <v>JPMorgan Chase &amp; Co.</v>
      </c>
      <c r="N601" t="str">
        <f>VLOOKUP(fact_daily_prices[[#This Row],[Ticker]], dim_company[], 3, FALSE)</f>
        <v>Financials</v>
      </c>
    </row>
    <row r="602" spans="1:14" x14ac:dyDescent="0.3">
      <c r="A602" s="1">
        <v>45617</v>
      </c>
      <c r="B602">
        <v>233.53462219238281</v>
      </c>
      <c r="C602">
        <v>238.10289570204409</v>
      </c>
      <c r="D602">
        <v>234.8245995104416</v>
      </c>
      <c r="E602">
        <v>235.91089253503449</v>
      </c>
      <c r="F602">
        <v>8783500</v>
      </c>
      <c r="G602" s="2" t="s">
        <v>13</v>
      </c>
      <c r="H602">
        <v>0</v>
      </c>
      <c r="I602">
        <v>116.72712024736968</v>
      </c>
      <c r="J602">
        <v>215.08402954101564</v>
      </c>
      <c r="K602">
        <v>2.5011703135468393</v>
      </c>
      <c r="L602">
        <v>0</v>
      </c>
      <c r="M602" t="str">
        <f>VLOOKUP(fact_daily_prices[[#This Row],[Ticker]], dim_company[], 2, FALSE)</f>
        <v>JPMorgan Chase &amp; Co.</v>
      </c>
      <c r="N602" t="str">
        <f>VLOOKUP(fact_daily_prices[[#This Row],[Ticker]], dim_company[], 3, FALSE)</f>
        <v>Financials</v>
      </c>
    </row>
    <row r="603" spans="1:14" x14ac:dyDescent="0.3">
      <c r="A603" s="1">
        <v>45618</v>
      </c>
      <c r="B603">
        <v>241.07081604003903</v>
      </c>
      <c r="C603">
        <v>241.65275239400751</v>
      </c>
      <c r="D603">
        <v>235.71691574566023</v>
      </c>
      <c r="E603">
        <v>236.27946458090591</v>
      </c>
      <c r="F603">
        <v>7997300</v>
      </c>
      <c r="G603" s="2" t="s">
        <v>13</v>
      </c>
      <c r="H603">
        <v>3.2270135266915689</v>
      </c>
      <c r="I603">
        <v>120.49392020706982</v>
      </c>
      <c r="J603">
        <v>215.96615112304687</v>
      </c>
      <c r="K603">
        <v>2.4434312559148927</v>
      </c>
      <c r="L603">
        <v>0</v>
      </c>
      <c r="M603" t="str">
        <f>VLOOKUP(fact_daily_prices[[#This Row],[Ticker]], dim_company[], 2, FALSE)</f>
        <v>JPMorgan Chase &amp; Co.</v>
      </c>
      <c r="N603" t="str">
        <f>VLOOKUP(fact_daily_prices[[#This Row],[Ticker]], dim_company[], 3, FALSE)</f>
        <v>Financials</v>
      </c>
    </row>
    <row r="604" spans="1:14" x14ac:dyDescent="0.3">
      <c r="A604" s="1">
        <v>45621</v>
      </c>
      <c r="B604">
        <v>242.75845336914065</v>
      </c>
      <c r="C604">
        <v>246.65749066946253</v>
      </c>
      <c r="D604">
        <v>241.56546975622129</v>
      </c>
      <c r="E604">
        <v>242.07952020730173</v>
      </c>
      <c r="F604">
        <v>10295400</v>
      </c>
      <c r="G604" s="2" t="s">
        <v>13</v>
      </c>
      <c r="H604">
        <v>0.7000587449047746</v>
      </c>
      <c r="I604">
        <v>121.33744843255801</v>
      </c>
      <c r="J604">
        <v>216.81377380371094</v>
      </c>
      <c r="K604">
        <v>2.4396690220213268</v>
      </c>
      <c r="L604">
        <v>0</v>
      </c>
      <c r="M604" t="str">
        <f>VLOOKUP(fact_daily_prices[[#This Row],[Ticker]], dim_company[], 2, FALSE)</f>
        <v>JPMorgan Chase &amp; Co.</v>
      </c>
      <c r="N604" t="str">
        <f>VLOOKUP(fact_daily_prices[[#This Row],[Ticker]], dim_company[], 3, FALSE)</f>
        <v>Financials</v>
      </c>
    </row>
    <row r="605" spans="1:14" x14ac:dyDescent="0.3">
      <c r="A605" s="1">
        <v>45622</v>
      </c>
      <c r="B605">
        <v>242.44805908203125</v>
      </c>
      <c r="C605">
        <v>243.44706377730628</v>
      </c>
      <c r="D605">
        <v>240.86710329452777</v>
      </c>
      <c r="E605">
        <v>242.95241570865383</v>
      </c>
      <c r="F605">
        <v>6212100</v>
      </c>
      <c r="G605" s="2" t="s">
        <v>13</v>
      </c>
      <c r="H605">
        <v>-0.12786137117022367</v>
      </c>
      <c r="I605">
        <v>121.18230470724917</v>
      </c>
      <c r="J605">
        <v>217.62838989257813</v>
      </c>
      <c r="K605">
        <v>2.4418408086648871</v>
      </c>
      <c r="L605">
        <v>0</v>
      </c>
      <c r="M605" t="str">
        <f>VLOOKUP(fact_daily_prices[[#This Row],[Ticker]], dim_company[], 2, FALSE)</f>
        <v>JPMorgan Chase &amp; Co.</v>
      </c>
      <c r="N605" t="str">
        <f>VLOOKUP(fact_daily_prices[[#This Row],[Ticker]], dim_company[], 3, FALSE)</f>
        <v>Financials</v>
      </c>
    </row>
    <row r="606" spans="1:14" x14ac:dyDescent="0.3">
      <c r="A606" s="1">
        <v>45623</v>
      </c>
      <c r="B606">
        <v>242.27349853515625</v>
      </c>
      <c r="C606">
        <v>243.6313796558816</v>
      </c>
      <c r="D606">
        <v>241.28420227248881</v>
      </c>
      <c r="E606">
        <v>241.84675111969361</v>
      </c>
      <c r="F606">
        <v>5472300</v>
      </c>
      <c r="G606" s="2" t="s">
        <v>13</v>
      </c>
      <c r="H606">
        <v>-7.1999152121871024E-2</v>
      </c>
      <c r="I606">
        <v>121.09505447533822</v>
      </c>
      <c r="J606">
        <v>218.47267608642579</v>
      </c>
      <c r="K606">
        <v>2.4432932616381637</v>
      </c>
      <c r="L606">
        <v>0</v>
      </c>
      <c r="M606" t="str">
        <f>VLOOKUP(fact_daily_prices[[#This Row],[Ticker]], dim_company[], 2, FALSE)</f>
        <v>JPMorgan Chase &amp; Co.</v>
      </c>
      <c r="N606" t="str">
        <f>VLOOKUP(fact_daily_prices[[#This Row],[Ticker]], dim_company[], 3, FALSE)</f>
        <v>Financials</v>
      </c>
    </row>
    <row r="607" spans="1:14" x14ac:dyDescent="0.3">
      <c r="A607" s="1">
        <v>45625</v>
      </c>
      <c r="B607">
        <v>242.20562744140625</v>
      </c>
      <c r="C607">
        <v>244.19394344725544</v>
      </c>
      <c r="D607">
        <v>241.94374792072875</v>
      </c>
      <c r="E607">
        <v>242.34141408182529</v>
      </c>
      <c r="F607">
        <v>5494800</v>
      </c>
      <c r="G607" s="2" t="s">
        <v>13</v>
      </c>
      <c r="H607">
        <v>-2.8014245949459227E-2</v>
      </c>
      <c r="I607">
        <v>121.06113060894485</v>
      </c>
      <c r="J607">
        <v>219.2587286376953</v>
      </c>
      <c r="K607">
        <v>2.444516402813774</v>
      </c>
      <c r="L607">
        <v>0</v>
      </c>
      <c r="M607" t="str">
        <f>VLOOKUP(fact_daily_prices[[#This Row],[Ticker]], dim_company[], 2, FALSE)</f>
        <v>JPMorgan Chase &amp; Co.</v>
      </c>
      <c r="N607" t="str">
        <f>VLOOKUP(fact_daily_prices[[#This Row],[Ticker]], dim_company[], 3, FALSE)</f>
        <v>Financials</v>
      </c>
    </row>
    <row r="608" spans="1:14" x14ac:dyDescent="0.3">
      <c r="A608" s="1">
        <v>45628</v>
      </c>
      <c r="B608">
        <v>238.84002685546875</v>
      </c>
      <c r="C608">
        <v>242.7196618094662</v>
      </c>
      <c r="D608">
        <v>237.65673701052887</v>
      </c>
      <c r="E608">
        <v>242.04072865244319</v>
      </c>
      <c r="F608">
        <v>8899700</v>
      </c>
      <c r="G608" s="2" t="s">
        <v>13</v>
      </c>
      <c r="H608">
        <v>-1.3895633315752276</v>
      </c>
      <c r="I608">
        <v>119.37890952921255</v>
      </c>
      <c r="J608">
        <v>219.96570831298828</v>
      </c>
      <c r="K608">
        <v>2.465829998197298</v>
      </c>
      <c r="L608">
        <v>0</v>
      </c>
      <c r="M608" t="str">
        <f>VLOOKUP(fact_daily_prices[[#This Row],[Ticker]], dim_company[], 2, FALSE)</f>
        <v>JPMorgan Chase &amp; Co.</v>
      </c>
      <c r="N608" t="str">
        <f>VLOOKUP(fact_daily_prices[[#This Row],[Ticker]], dim_company[], 3, FALSE)</f>
        <v>Financials</v>
      </c>
    </row>
    <row r="609" spans="1:14" x14ac:dyDescent="0.3">
      <c r="A609" s="1">
        <v>45629</v>
      </c>
      <c r="B609">
        <v>237.45307922363281</v>
      </c>
      <c r="C609">
        <v>241.54608073886425</v>
      </c>
      <c r="D609">
        <v>237.26879418392127</v>
      </c>
      <c r="E609">
        <v>240.76045697978563</v>
      </c>
      <c r="F609">
        <v>6657700</v>
      </c>
      <c r="G609" s="2" t="s">
        <v>13</v>
      </c>
      <c r="H609">
        <v>-0.58070150556264188</v>
      </c>
      <c r="I609">
        <v>118.68567440425215</v>
      </c>
      <c r="J609">
        <v>220.63820129394531</v>
      </c>
      <c r="K609">
        <v>2.4582603072939642</v>
      </c>
      <c r="L609">
        <v>0</v>
      </c>
      <c r="M609" t="str">
        <f>VLOOKUP(fact_daily_prices[[#This Row],[Ticker]], dim_company[], 2, FALSE)</f>
        <v>JPMorgan Chase &amp; Co.</v>
      </c>
      <c r="N609" t="str">
        <f>VLOOKUP(fact_daily_prices[[#This Row],[Ticker]], dim_company[], 3, FALSE)</f>
        <v>Financials</v>
      </c>
    </row>
    <row r="610" spans="1:14" x14ac:dyDescent="0.3">
      <c r="A610" s="1">
        <v>45630</v>
      </c>
      <c r="B610">
        <v>236.07579040527344</v>
      </c>
      <c r="C610">
        <v>237.96712436015684</v>
      </c>
      <c r="D610">
        <v>234.94099891212343</v>
      </c>
      <c r="E610">
        <v>237.33667477531787</v>
      </c>
      <c r="F610">
        <v>7346300</v>
      </c>
      <c r="G610" s="2" t="s">
        <v>13</v>
      </c>
      <c r="H610">
        <v>-0.58002567196117072</v>
      </c>
      <c r="I610">
        <v>117.99726702376725</v>
      </c>
      <c r="J610">
        <v>221.28025634765626</v>
      </c>
      <c r="K610">
        <v>2.4637239582643295</v>
      </c>
      <c r="L610">
        <v>0</v>
      </c>
      <c r="M610" t="str">
        <f>VLOOKUP(fact_daily_prices[[#This Row],[Ticker]], dim_company[], 2, FALSE)</f>
        <v>JPMorgan Chase &amp; Co.</v>
      </c>
      <c r="N610" t="str">
        <f>VLOOKUP(fact_daily_prices[[#This Row],[Ticker]], dim_company[], 3, FALSE)</f>
        <v>Financials</v>
      </c>
    </row>
    <row r="611" spans="1:14" x14ac:dyDescent="0.3">
      <c r="A611" s="1">
        <v>45631</v>
      </c>
      <c r="B611">
        <v>238.09320068359369</v>
      </c>
      <c r="C611">
        <v>239.74204263244479</v>
      </c>
      <c r="D611">
        <v>237.25907854952089</v>
      </c>
      <c r="E611">
        <v>238.00591244621759</v>
      </c>
      <c r="F611">
        <v>6572500</v>
      </c>
      <c r="G611" s="2" t="s">
        <v>13</v>
      </c>
      <c r="H611">
        <v>0.85456042521638853</v>
      </c>
      <c r="I611">
        <v>119.00562497058927</v>
      </c>
      <c r="J611">
        <v>221.98965148925782</v>
      </c>
      <c r="K611">
        <v>2.4650353656193578</v>
      </c>
      <c r="L611">
        <v>0</v>
      </c>
      <c r="M611" t="str">
        <f>VLOOKUP(fact_daily_prices[[#This Row],[Ticker]], dim_company[], 2, FALSE)</f>
        <v>JPMorgan Chase &amp; Co.</v>
      </c>
      <c r="N611" t="str">
        <f>VLOOKUP(fact_daily_prices[[#This Row],[Ticker]], dim_company[], 3, FALSE)</f>
        <v>Financials</v>
      </c>
    </row>
    <row r="612" spans="1:14" x14ac:dyDescent="0.3">
      <c r="A612" s="1">
        <v>45632</v>
      </c>
      <c r="B612">
        <v>239.9166259765625</v>
      </c>
      <c r="C612">
        <v>240.28519603281265</v>
      </c>
      <c r="D612">
        <v>237.47245181338519</v>
      </c>
      <c r="E612">
        <v>238.30657391988672</v>
      </c>
      <c r="F612">
        <v>5519700</v>
      </c>
      <c r="G612" s="2" t="s">
        <v>13</v>
      </c>
      <c r="H612">
        <v>0.76584517648279338</v>
      </c>
      <c r="I612">
        <v>119.91702380916973</v>
      </c>
      <c r="J612">
        <v>222.74342010498046</v>
      </c>
      <c r="K612">
        <v>2.4662995859936414</v>
      </c>
      <c r="L612">
        <v>0</v>
      </c>
      <c r="M612" t="str">
        <f>VLOOKUP(fact_daily_prices[[#This Row],[Ticker]], dim_company[], 2, FALSE)</f>
        <v>JPMorgan Chase &amp; Co.</v>
      </c>
      <c r="N612" t="str">
        <f>VLOOKUP(fact_daily_prices[[#This Row],[Ticker]], dim_company[], 3, FALSE)</f>
        <v>Financials</v>
      </c>
    </row>
    <row r="613" spans="1:14" x14ac:dyDescent="0.3">
      <c r="A613" s="1">
        <v>45635</v>
      </c>
      <c r="B613">
        <v>236.47344970703125</v>
      </c>
      <c r="C613">
        <v>240.4112768597183</v>
      </c>
      <c r="D613">
        <v>236.4249513096585</v>
      </c>
      <c r="E613">
        <v>239.69355385728025</v>
      </c>
      <c r="F613">
        <v>7076500</v>
      </c>
      <c r="G613" s="2" t="s">
        <v>13</v>
      </c>
      <c r="H613">
        <v>-1.4351553401170336</v>
      </c>
      <c r="I613">
        <v>118.19602823826301</v>
      </c>
      <c r="J613">
        <v>223.41444366455079</v>
      </c>
      <c r="K613">
        <v>2.4720280410385107</v>
      </c>
      <c r="L613">
        <v>0</v>
      </c>
      <c r="M613" t="str">
        <f>VLOOKUP(fact_daily_prices[[#This Row],[Ticker]], dim_company[], 2, FALSE)</f>
        <v>JPMorgan Chase &amp; Co.</v>
      </c>
      <c r="N613" t="str">
        <f>VLOOKUP(fact_daily_prices[[#This Row],[Ticker]], dim_company[], 3, FALSE)</f>
        <v>Financials</v>
      </c>
    </row>
    <row r="614" spans="1:14" x14ac:dyDescent="0.3">
      <c r="A614" s="1">
        <v>45636</v>
      </c>
      <c r="B614">
        <v>236.47344970703125</v>
      </c>
      <c r="C614">
        <v>240.49858844470623</v>
      </c>
      <c r="D614">
        <v>234.93130670009893</v>
      </c>
      <c r="E614">
        <v>236.55105259242768</v>
      </c>
      <c r="F614">
        <v>9108300</v>
      </c>
      <c r="G614" s="2" t="s">
        <v>13</v>
      </c>
      <c r="H614">
        <v>0</v>
      </c>
      <c r="I614">
        <v>118.19602823826301</v>
      </c>
      <c r="J614">
        <v>224.07852661132813</v>
      </c>
      <c r="K614">
        <v>2.4639067840175013</v>
      </c>
      <c r="L614">
        <v>0</v>
      </c>
      <c r="M614" t="str">
        <f>VLOOKUP(fact_daily_prices[[#This Row],[Ticker]], dim_company[], 2, FALSE)</f>
        <v>JPMorgan Chase &amp; Co.</v>
      </c>
      <c r="N614" t="str">
        <f>VLOOKUP(fact_daily_prices[[#This Row],[Ticker]], dim_company[], 3, FALSE)</f>
        <v>Financials</v>
      </c>
    </row>
    <row r="615" spans="1:14" x14ac:dyDescent="0.3">
      <c r="A615" s="1">
        <v>45637</v>
      </c>
      <c r="B615">
        <v>236.20187377929688</v>
      </c>
      <c r="C615">
        <v>236.91961157327901</v>
      </c>
      <c r="D615">
        <v>234.89249106315413</v>
      </c>
      <c r="E615">
        <v>236.6577320701239</v>
      </c>
      <c r="F615">
        <v>7884400</v>
      </c>
      <c r="G615" s="2" t="s">
        <v>13</v>
      </c>
      <c r="H615">
        <v>-0.11484415187871244</v>
      </c>
      <c r="I615">
        <v>118.06028701207845</v>
      </c>
      <c r="J615">
        <v>224.81082794189453</v>
      </c>
      <c r="K615">
        <v>2.4502159947295641</v>
      </c>
      <c r="L615">
        <v>0</v>
      </c>
      <c r="M615" t="str">
        <f>VLOOKUP(fact_daily_prices[[#This Row],[Ticker]], dim_company[], 2, FALSE)</f>
        <v>JPMorgan Chase &amp; Co.</v>
      </c>
      <c r="N615" t="str">
        <f>VLOOKUP(fact_daily_prices[[#This Row],[Ticker]], dim_company[], 3, FALSE)</f>
        <v>Financials</v>
      </c>
    </row>
    <row r="616" spans="1:14" x14ac:dyDescent="0.3">
      <c r="A616" s="1">
        <v>45638</v>
      </c>
      <c r="B616">
        <v>234.26206970214844</v>
      </c>
      <c r="C616">
        <v>236.75474240518315</v>
      </c>
      <c r="D616">
        <v>233.78680906548141</v>
      </c>
      <c r="E616">
        <v>235.68783681251583</v>
      </c>
      <c r="F616">
        <v>6113800</v>
      </c>
      <c r="G616" s="2" t="s">
        <v>13</v>
      </c>
      <c r="H616">
        <v>-0.82124838643784503</v>
      </c>
      <c r="I616">
        <v>117.09071880996787</v>
      </c>
      <c r="J616">
        <v>225.49951263427735</v>
      </c>
      <c r="K616">
        <v>2.4580077052881313</v>
      </c>
      <c r="L616">
        <v>0</v>
      </c>
      <c r="M616" t="str">
        <f>VLOOKUP(fact_daily_prices[[#This Row],[Ticker]], dim_company[], 2, FALSE)</f>
        <v>JPMorgan Chase &amp; Co.</v>
      </c>
      <c r="N616" t="str">
        <f>VLOOKUP(fact_daily_prices[[#This Row],[Ticker]], dim_company[], 3, FALSE)</f>
        <v>Financials</v>
      </c>
    </row>
    <row r="617" spans="1:14" x14ac:dyDescent="0.3">
      <c r="A617" s="1">
        <v>45639</v>
      </c>
      <c r="B617">
        <v>232.71990966796875</v>
      </c>
      <c r="C617">
        <v>235.41625483014329</v>
      </c>
      <c r="D617">
        <v>231.9439797019572</v>
      </c>
      <c r="E617">
        <v>234.78582005755251</v>
      </c>
      <c r="F617">
        <v>10392700</v>
      </c>
      <c r="G617" s="2" t="s">
        <v>13</v>
      </c>
      <c r="H617">
        <v>-0.65830547648642046</v>
      </c>
      <c r="I617">
        <v>116.31990419558453</v>
      </c>
      <c r="J617">
        <v>226.19707122802734</v>
      </c>
      <c r="K617">
        <v>2.4506240542407025</v>
      </c>
      <c r="L617">
        <v>0</v>
      </c>
      <c r="M617" t="str">
        <f>VLOOKUP(fact_daily_prices[[#This Row],[Ticker]], dim_company[], 2, FALSE)</f>
        <v>JPMorgan Chase &amp; Co.</v>
      </c>
      <c r="N617" t="str">
        <f>VLOOKUP(fact_daily_prices[[#This Row],[Ticker]], dim_company[], 3, FALSE)</f>
        <v>Financials</v>
      </c>
    </row>
    <row r="618" spans="1:14" x14ac:dyDescent="0.3">
      <c r="A618" s="1">
        <v>45642</v>
      </c>
      <c r="B618">
        <v>232.37074279785159</v>
      </c>
      <c r="C618">
        <v>233.42793979570948</v>
      </c>
      <c r="D618">
        <v>230.37273311760401</v>
      </c>
      <c r="E618">
        <v>233.36974763797539</v>
      </c>
      <c r="F618">
        <v>9032000</v>
      </c>
      <c r="G618" s="2" t="s">
        <v>13</v>
      </c>
      <c r="H618">
        <v>-0.15003738640811948</v>
      </c>
      <c r="I618">
        <v>116.14538085145705</v>
      </c>
      <c r="J618">
        <v>226.74720336914064</v>
      </c>
      <c r="K618">
        <v>2.4513854076944619</v>
      </c>
      <c r="L618">
        <v>0</v>
      </c>
      <c r="M618" t="str">
        <f>VLOOKUP(fact_daily_prices[[#This Row],[Ticker]], dim_company[], 2, FALSE)</f>
        <v>JPMorgan Chase &amp; Co.</v>
      </c>
      <c r="N618" t="str">
        <f>VLOOKUP(fact_daily_prices[[#This Row],[Ticker]], dim_company[], 3, FALSE)</f>
        <v>Financials</v>
      </c>
    </row>
    <row r="619" spans="1:14" x14ac:dyDescent="0.3">
      <c r="A619" s="1">
        <v>45643</v>
      </c>
      <c r="B619">
        <v>231.18746948242188</v>
      </c>
      <c r="C619">
        <v>231.82761286260936</v>
      </c>
      <c r="D619">
        <v>229.50953134917376</v>
      </c>
      <c r="E619">
        <v>231.46873653149163</v>
      </c>
      <c r="F619">
        <v>8083600</v>
      </c>
      <c r="G619" s="2" t="s">
        <v>13</v>
      </c>
      <c r="H619">
        <v>-0.50921785642312756</v>
      </c>
      <c r="I619">
        <v>115.55394783275077</v>
      </c>
      <c r="J619">
        <v>227.27929626464845</v>
      </c>
      <c r="K619">
        <v>2.4447986260967438</v>
      </c>
      <c r="L619">
        <v>0</v>
      </c>
      <c r="M619" t="str">
        <f>VLOOKUP(fact_daily_prices[[#This Row],[Ticker]], dim_company[], 2, FALSE)</f>
        <v>JPMorgan Chase &amp; Co.</v>
      </c>
      <c r="N619" t="str">
        <f>VLOOKUP(fact_daily_prices[[#This Row],[Ticker]], dim_company[], 3, FALSE)</f>
        <v>Financials</v>
      </c>
    </row>
    <row r="620" spans="1:14" x14ac:dyDescent="0.3">
      <c r="A620" s="1">
        <v>45644</v>
      </c>
      <c r="B620">
        <v>223.4378662109375</v>
      </c>
      <c r="C620">
        <v>231.87608388142587</v>
      </c>
      <c r="D620">
        <v>222.62314644125647</v>
      </c>
      <c r="E620">
        <v>231.80818316746959</v>
      </c>
      <c r="F620">
        <v>11322400</v>
      </c>
      <c r="G620" s="2" t="s">
        <v>13</v>
      </c>
      <c r="H620">
        <v>-3.3520862046866329</v>
      </c>
      <c r="I620">
        <v>111.68047988847836</v>
      </c>
      <c r="J620">
        <v>227.65988830566405</v>
      </c>
      <c r="K620">
        <v>2.5316004372935654</v>
      </c>
      <c r="L620">
        <v>0</v>
      </c>
      <c r="M620" t="str">
        <f>VLOOKUP(fact_daily_prices[[#This Row],[Ticker]], dim_company[], 2, FALSE)</f>
        <v>JPMorgan Chase &amp; Co.</v>
      </c>
      <c r="N620" t="str">
        <f>VLOOKUP(fact_daily_prices[[#This Row],[Ticker]], dim_company[], 3, FALSE)</f>
        <v>Financials</v>
      </c>
    </row>
    <row r="621" spans="1:14" x14ac:dyDescent="0.3">
      <c r="A621" s="1">
        <v>45645</v>
      </c>
      <c r="B621">
        <v>225.94993591308599</v>
      </c>
      <c r="C621">
        <v>229.2476195535192</v>
      </c>
      <c r="D621">
        <v>225.28069654614561</v>
      </c>
      <c r="E621">
        <v>225.28069654614561</v>
      </c>
      <c r="F621">
        <v>11790800</v>
      </c>
      <c r="G621" s="2" t="s">
        <v>13</v>
      </c>
      <c r="H621">
        <v>1.1242811009378961</v>
      </c>
      <c r="I621">
        <v>112.93608241730129</v>
      </c>
      <c r="J621">
        <v>228.03892852783204</v>
      </c>
      <c r="K621">
        <v>1.3592287918739467</v>
      </c>
      <c r="L621">
        <v>0</v>
      </c>
      <c r="M621" t="str">
        <f>VLOOKUP(fact_daily_prices[[#This Row],[Ticker]], dim_company[], 2, FALSE)</f>
        <v>JPMorgan Chase &amp; Co.</v>
      </c>
      <c r="N621" t="str">
        <f>VLOOKUP(fact_daily_prices[[#This Row],[Ticker]], dim_company[], 3, FALSE)</f>
        <v>Financials</v>
      </c>
    </row>
    <row r="622" spans="1:14" x14ac:dyDescent="0.3">
      <c r="A622" s="1">
        <v>45646</v>
      </c>
      <c r="B622">
        <v>230.4503173828125</v>
      </c>
      <c r="C622">
        <v>232.01187101122611</v>
      </c>
      <c r="D622">
        <v>224.62115651419421</v>
      </c>
      <c r="E622">
        <v>224.941228167182</v>
      </c>
      <c r="F622">
        <v>32348400</v>
      </c>
      <c r="G622" s="2" t="s">
        <v>13</v>
      </c>
      <c r="H622">
        <v>1.9917604541643374</v>
      </c>
      <c r="I622">
        <v>115.18549864537152</v>
      </c>
      <c r="J622">
        <v>228.51922760009765</v>
      </c>
      <c r="K622">
        <v>1.1727687808715255</v>
      </c>
      <c r="L622">
        <v>1</v>
      </c>
      <c r="M622" t="str">
        <f>VLOOKUP(fact_daily_prices[[#This Row],[Ticker]], dim_company[], 2, FALSE)</f>
        <v>JPMorgan Chase &amp; Co.</v>
      </c>
      <c r="N622" t="str">
        <f>VLOOKUP(fact_daily_prices[[#This Row],[Ticker]], dim_company[], 3, FALSE)</f>
        <v>Financials</v>
      </c>
    </row>
    <row r="623" spans="1:14" x14ac:dyDescent="0.3">
      <c r="A623" s="1">
        <v>45649</v>
      </c>
      <c r="B623">
        <v>231.216552734375</v>
      </c>
      <c r="C623">
        <v>231.43962760916577</v>
      </c>
      <c r="D623">
        <v>227.81217825530683</v>
      </c>
      <c r="E623">
        <v>228.96637206776501</v>
      </c>
      <c r="F623">
        <v>8611500</v>
      </c>
      <c r="G623" s="2" t="s">
        <v>13</v>
      </c>
      <c r="H623">
        <v>0.33249481287962457</v>
      </c>
      <c r="I623">
        <v>115.56848445355692</v>
      </c>
      <c r="J623">
        <v>228.83153839111327</v>
      </c>
      <c r="K623">
        <v>1.1733885705881684</v>
      </c>
      <c r="L623">
        <v>0</v>
      </c>
      <c r="M623" t="str">
        <f>VLOOKUP(fact_daily_prices[[#This Row],[Ticker]], dim_company[], 2, FALSE)</f>
        <v>JPMorgan Chase &amp; Co.</v>
      </c>
      <c r="N623" t="str">
        <f>VLOOKUP(fact_daily_prices[[#This Row],[Ticker]], dim_company[], 3, FALSE)</f>
        <v>Financials</v>
      </c>
    </row>
    <row r="624" spans="1:14" x14ac:dyDescent="0.3">
      <c r="A624" s="1">
        <v>45650</v>
      </c>
      <c r="B624">
        <v>235.01860046386719</v>
      </c>
      <c r="C624">
        <v>235.19319174479392</v>
      </c>
      <c r="D624">
        <v>231.876105403525</v>
      </c>
      <c r="E624">
        <v>232.22525836611069</v>
      </c>
      <c r="F624">
        <v>3729100</v>
      </c>
      <c r="G624" s="2" t="s">
        <v>13</v>
      </c>
      <c r="H624">
        <v>1.6443665838492327</v>
      </c>
      <c r="I624">
        <v>117.46885399337221</v>
      </c>
      <c r="J624">
        <v>229.23560302734376</v>
      </c>
      <c r="K624">
        <v>1.1981567430722526</v>
      </c>
      <c r="L624">
        <v>0</v>
      </c>
      <c r="M624" t="str">
        <f>VLOOKUP(fact_daily_prices[[#This Row],[Ticker]], dim_company[], 2, FALSE)</f>
        <v>JPMorgan Chase &amp; Co.</v>
      </c>
      <c r="N624" t="str">
        <f>VLOOKUP(fact_daily_prices[[#This Row],[Ticker]], dim_company[], 3, FALSE)</f>
        <v>Financials</v>
      </c>
    </row>
    <row r="625" spans="1:14" x14ac:dyDescent="0.3">
      <c r="A625" s="1">
        <v>45652</v>
      </c>
      <c r="B625">
        <v>235.82362365722656</v>
      </c>
      <c r="C625">
        <v>235.94000797666129</v>
      </c>
      <c r="D625">
        <v>233.54433207073799</v>
      </c>
      <c r="E625">
        <v>234.16507310711287</v>
      </c>
      <c r="F625">
        <v>4451800</v>
      </c>
      <c r="G625" s="2" t="s">
        <v>13</v>
      </c>
      <c r="H625">
        <v>0.34253594897188933</v>
      </c>
      <c r="I625">
        <v>117.87122704714481</v>
      </c>
      <c r="J625">
        <v>229.63811553955077</v>
      </c>
      <c r="K625">
        <v>1.1993137787354493</v>
      </c>
      <c r="L625">
        <v>0</v>
      </c>
      <c r="M625" t="str">
        <f>VLOOKUP(fact_daily_prices[[#This Row],[Ticker]], dim_company[], 2, FALSE)</f>
        <v>JPMorgan Chase &amp; Co.</v>
      </c>
      <c r="N625" t="str">
        <f>VLOOKUP(fact_daily_prices[[#This Row],[Ticker]], dim_company[], 3, FALSE)</f>
        <v>Financials</v>
      </c>
    </row>
    <row r="626" spans="1:14" x14ac:dyDescent="0.3">
      <c r="A626" s="1">
        <v>45653</v>
      </c>
      <c r="B626">
        <v>233.91287231445313</v>
      </c>
      <c r="C626">
        <v>236.06607074717232</v>
      </c>
      <c r="D626">
        <v>232.81687078078448</v>
      </c>
      <c r="E626">
        <v>235.4162337138211</v>
      </c>
      <c r="F626">
        <v>5730200</v>
      </c>
      <c r="G626" s="2" t="s">
        <v>13</v>
      </c>
      <c r="H626">
        <v>-0.81024594276897233</v>
      </c>
      <c r="I626">
        <v>116.91618021230332</v>
      </c>
      <c r="J626">
        <v>229.97816467285156</v>
      </c>
      <c r="K626">
        <v>1.2036812124007998</v>
      </c>
      <c r="L626">
        <v>0</v>
      </c>
      <c r="M626" t="str">
        <f>VLOOKUP(fact_daily_prices[[#This Row],[Ticker]], dim_company[], 2, FALSE)</f>
        <v>JPMorgan Chase &amp; Co.</v>
      </c>
      <c r="N626" t="str">
        <f>VLOOKUP(fact_daily_prices[[#This Row],[Ticker]], dim_company[], 3, FALSE)</f>
        <v>Financials</v>
      </c>
    </row>
    <row r="627" spans="1:14" x14ac:dyDescent="0.3">
      <c r="A627" s="1">
        <v>45656</v>
      </c>
      <c r="B627">
        <v>232.11857604980469</v>
      </c>
      <c r="C627">
        <v>233.59282673786723</v>
      </c>
      <c r="D627">
        <v>229.97507113678503</v>
      </c>
      <c r="E627">
        <v>231.58512326152979</v>
      </c>
      <c r="F627">
        <v>5723800</v>
      </c>
      <c r="G627" s="2" t="s">
        <v>13</v>
      </c>
      <c r="H627">
        <v>-0.76707889005626084</v>
      </c>
      <c r="I627">
        <v>116.01934087483461</v>
      </c>
      <c r="J627">
        <v>230.26719787597656</v>
      </c>
      <c r="K627">
        <v>1.2105275845188079</v>
      </c>
      <c r="L627">
        <v>0</v>
      </c>
      <c r="M627" t="str">
        <f>VLOOKUP(fact_daily_prices[[#This Row],[Ticker]], dim_company[], 2, FALSE)</f>
        <v>JPMorgan Chase &amp; Co.</v>
      </c>
      <c r="N627" t="str">
        <f>VLOOKUP(fact_daily_prices[[#This Row],[Ticker]], dim_company[], 3, FALSE)</f>
        <v>Financials</v>
      </c>
    </row>
    <row r="628" spans="1:14" x14ac:dyDescent="0.3">
      <c r="A628" s="1">
        <v>45657</v>
      </c>
      <c r="B628">
        <v>232.49684143066409</v>
      </c>
      <c r="C628">
        <v>234.17477948529643</v>
      </c>
      <c r="D628">
        <v>231.83729576086603</v>
      </c>
      <c r="E628">
        <v>232.8266068657463</v>
      </c>
      <c r="F628">
        <v>4871000</v>
      </c>
      <c r="G628" s="2" t="s">
        <v>13</v>
      </c>
      <c r="H628">
        <v>0.16296213224151757</v>
      </c>
      <c r="I628">
        <v>116.20840846653677</v>
      </c>
      <c r="J628">
        <v>230.54536834716797</v>
      </c>
      <c r="K628">
        <v>1.1799426052369268</v>
      </c>
      <c r="L628">
        <v>0</v>
      </c>
      <c r="M628" t="str">
        <f>VLOOKUP(fact_daily_prices[[#This Row],[Ticker]], dim_company[], 2, FALSE)</f>
        <v>JPMorgan Chase &amp; Co.</v>
      </c>
      <c r="N628" t="str">
        <f>VLOOKUP(fact_daily_prices[[#This Row],[Ticker]], dim_company[], 3, FALSE)</f>
        <v>Financials</v>
      </c>
    </row>
    <row r="629" spans="1:14" x14ac:dyDescent="0.3">
      <c r="A629" s="1">
        <v>45659</v>
      </c>
      <c r="B629">
        <v>232.77810668945313</v>
      </c>
      <c r="C629">
        <v>235.95940629690497</v>
      </c>
      <c r="D629">
        <v>232.24465390169644</v>
      </c>
      <c r="E629">
        <v>233.67042098914001</v>
      </c>
      <c r="F629">
        <v>9220900</v>
      </c>
      <c r="G629" s="2" t="s">
        <v>13</v>
      </c>
      <c r="H629">
        <v>0.12097594834332703</v>
      </c>
      <c r="I629">
        <v>116.34899269073387</v>
      </c>
      <c r="J629">
        <v>230.87513763427734</v>
      </c>
      <c r="K629">
        <v>1.1804215630892549</v>
      </c>
      <c r="L629">
        <v>0</v>
      </c>
      <c r="M629" t="str">
        <f>VLOOKUP(fact_daily_prices[[#This Row],[Ticker]], dim_company[], 2, FALSE)</f>
        <v>JPMorgan Chase &amp; Co.</v>
      </c>
      <c r="N629" t="str">
        <f>VLOOKUP(fact_daily_prices[[#This Row],[Ticker]], dim_company[], 3, FALSE)</f>
        <v>Financials</v>
      </c>
    </row>
    <row r="630" spans="1:14" x14ac:dyDescent="0.3">
      <c r="A630" s="1">
        <v>45660</v>
      </c>
      <c r="B630">
        <v>235.95941162109369</v>
      </c>
      <c r="C630">
        <v>237.51127162055965</v>
      </c>
      <c r="D630">
        <v>233.0302829019279</v>
      </c>
      <c r="E630">
        <v>236.55105658093129</v>
      </c>
      <c r="F630">
        <v>9491100</v>
      </c>
      <c r="G630" s="2" t="s">
        <v>13</v>
      </c>
      <c r="H630">
        <v>1.3666684452781075</v>
      </c>
      <c r="I630">
        <v>117.93909766023707</v>
      </c>
      <c r="J630">
        <v>231.24680694580078</v>
      </c>
      <c r="K630">
        <v>1.2000488487916434</v>
      </c>
      <c r="L630">
        <v>0</v>
      </c>
      <c r="M630" t="str">
        <f>VLOOKUP(fact_daily_prices[[#This Row],[Ticker]], dim_company[], 2, FALSE)</f>
        <v>JPMorgan Chase &amp; Co.</v>
      </c>
      <c r="N630" t="str">
        <f>VLOOKUP(fact_daily_prices[[#This Row],[Ticker]], dim_company[], 3, FALSE)</f>
        <v>Financials</v>
      </c>
    </row>
    <row r="631" spans="1:14" x14ac:dyDescent="0.3">
      <c r="A631" s="1">
        <v>45663</v>
      </c>
      <c r="B631">
        <v>234.80900573730469</v>
      </c>
      <c r="C631">
        <v>239.52760527673689</v>
      </c>
      <c r="D631">
        <v>234.54577371258085</v>
      </c>
      <c r="E631">
        <v>237.587513105592</v>
      </c>
      <c r="F631">
        <v>9917800</v>
      </c>
      <c r="G631" s="2" t="s">
        <v>13</v>
      </c>
      <c r="H631">
        <v>-0.48754397033178298</v>
      </c>
      <c r="I631">
        <v>117.36409270093087</v>
      </c>
      <c r="J631">
        <v>231.59546813964843</v>
      </c>
      <c r="K631">
        <v>1.1902202724532769</v>
      </c>
      <c r="L631">
        <v>0</v>
      </c>
      <c r="M631" t="str">
        <f>VLOOKUP(fact_daily_prices[[#This Row],[Ticker]], dim_company[], 2, FALSE)</f>
        <v>JPMorgan Chase &amp; Co.</v>
      </c>
      <c r="N631" t="str">
        <f>VLOOKUP(fact_daily_prices[[#This Row],[Ticker]], dim_company[], 3, FALSE)</f>
        <v>Financials</v>
      </c>
    </row>
    <row r="632" spans="1:14" x14ac:dyDescent="0.3">
      <c r="A632" s="1">
        <v>45664</v>
      </c>
      <c r="B632">
        <v>237.07080078125</v>
      </c>
      <c r="C632">
        <v>239.1083757665875</v>
      </c>
      <c r="D632">
        <v>234.85773282590424</v>
      </c>
      <c r="E632">
        <v>236.06663646307629</v>
      </c>
      <c r="F632">
        <v>8753400</v>
      </c>
      <c r="G632" s="2" t="s">
        <v>13</v>
      </c>
      <c r="H632">
        <v>0.96324884850274017</v>
      </c>
      <c r="I632">
        <v>118.49460097242826</v>
      </c>
      <c r="J632">
        <v>231.97268310546875</v>
      </c>
      <c r="K632">
        <v>1.2024527846577224</v>
      </c>
      <c r="L632">
        <v>0</v>
      </c>
      <c r="M632" t="str">
        <f>VLOOKUP(fact_daily_prices[[#This Row],[Ticker]], dim_company[], 2, FALSE)</f>
        <v>JPMorgan Chase &amp; Co.</v>
      </c>
      <c r="N632" t="str">
        <f>VLOOKUP(fact_daily_prices[[#This Row],[Ticker]], dim_company[], 3, FALSE)</f>
        <v>Financials</v>
      </c>
    </row>
    <row r="633" spans="1:14" x14ac:dyDescent="0.3">
      <c r="A633" s="1">
        <v>45665</v>
      </c>
      <c r="B633">
        <v>237.03181457519531</v>
      </c>
      <c r="C633">
        <v>238.12371795861469</v>
      </c>
      <c r="D633">
        <v>234.46777551298601</v>
      </c>
      <c r="E633">
        <v>236.66134098036321</v>
      </c>
      <c r="F633">
        <v>8675300</v>
      </c>
      <c r="G633" s="2" t="s">
        <v>13</v>
      </c>
      <c r="H633">
        <v>-1.6444963245665356E-2</v>
      </c>
      <c r="I633">
        <v>118.47511457885025</v>
      </c>
      <c r="J633">
        <v>232.4009112548828</v>
      </c>
      <c r="K633">
        <v>1.0428284490780209</v>
      </c>
      <c r="L633">
        <v>0</v>
      </c>
      <c r="M633" t="str">
        <f>VLOOKUP(fact_daily_prices[[#This Row],[Ticker]], dim_company[], 2, FALSE)</f>
        <v>JPMorgan Chase &amp; Co.</v>
      </c>
      <c r="N633" t="str">
        <f>VLOOKUP(fact_daily_prices[[#This Row],[Ticker]], dim_company[], 3, FALSE)</f>
        <v>Financials</v>
      </c>
    </row>
    <row r="634" spans="1:14" x14ac:dyDescent="0.3">
      <c r="A634" s="1">
        <v>45667</v>
      </c>
      <c r="B634">
        <v>233.85356140136719</v>
      </c>
      <c r="C634">
        <v>237.69474046339533</v>
      </c>
      <c r="D634">
        <v>232.75191424539267</v>
      </c>
      <c r="E634">
        <v>236.99279835682839</v>
      </c>
      <c r="F634">
        <v>10256800</v>
      </c>
      <c r="G634" s="2" t="s">
        <v>13</v>
      </c>
      <c r="H634">
        <v>-1.3408550997781155</v>
      </c>
      <c r="I634">
        <v>116.88653496305174</v>
      </c>
      <c r="J634">
        <v>232.70369445800782</v>
      </c>
      <c r="K634">
        <v>1.0585929661789428</v>
      </c>
      <c r="L634">
        <v>0</v>
      </c>
      <c r="M634" t="str">
        <f>VLOOKUP(fact_daily_prices[[#This Row],[Ticker]], dim_company[], 2, FALSE)</f>
        <v>JPMorgan Chase &amp; Co.</v>
      </c>
      <c r="N634" t="str">
        <f>VLOOKUP(fact_daily_prices[[#This Row],[Ticker]], dim_company[], 3, FALSE)</f>
        <v>Financials</v>
      </c>
    </row>
    <row r="635" spans="1:14" x14ac:dyDescent="0.3">
      <c r="A635" s="1">
        <v>45670</v>
      </c>
      <c r="B635">
        <v>238.084716796875</v>
      </c>
      <c r="C635">
        <v>238.40642662630341</v>
      </c>
      <c r="D635">
        <v>233.00538778135987</v>
      </c>
      <c r="E635">
        <v>233.65858101637204</v>
      </c>
      <c r="F635">
        <v>10005300</v>
      </c>
      <c r="G635" s="2" t="s">
        <v>13</v>
      </c>
      <c r="H635">
        <v>1.8093183486933562</v>
      </c>
      <c r="I635">
        <v>119.00138448729012</v>
      </c>
      <c r="J635">
        <v>233.14153564453125</v>
      </c>
      <c r="K635">
        <v>1.1155854305572102</v>
      </c>
      <c r="L635">
        <v>0</v>
      </c>
      <c r="M635" t="str">
        <f>VLOOKUP(fact_daily_prices[[#This Row],[Ticker]], dim_company[], 2, FALSE)</f>
        <v>JPMorgan Chase &amp; Co.</v>
      </c>
      <c r="N635" t="str">
        <f>VLOOKUP(fact_daily_prices[[#This Row],[Ticker]], dim_company[], 3, FALSE)</f>
        <v>Financials</v>
      </c>
    </row>
    <row r="636" spans="1:14" x14ac:dyDescent="0.3">
      <c r="A636" s="1">
        <v>45671</v>
      </c>
      <c r="B636">
        <v>241.26295471191409</v>
      </c>
      <c r="C636">
        <v>241.50668420793559</v>
      </c>
      <c r="D636">
        <v>236.11538894602401</v>
      </c>
      <c r="E636">
        <v>236.57360158863</v>
      </c>
      <c r="F636">
        <v>12407400</v>
      </c>
      <c r="G636" s="2" t="s">
        <v>13</v>
      </c>
      <c r="H636">
        <v>1.3349189136531825</v>
      </c>
      <c r="I636">
        <v>120.5899564763201</v>
      </c>
      <c r="J636">
        <v>233.6136505126953</v>
      </c>
      <c r="K636">
        <v>1.1440329719805087</v>
      </c>
      <c r="L636">
        <v>0</v>
      </c>
      <c r="M636" t="str">
        <f>VLOOKUP(fact_daily_prices[[#This Row],[Ticker]], dim_company[], 2, FALSE)</f>
        <v>JPMorgan Chase &amp; Co.</v>
      </c>
      <c r="N636" t="str">
        <f>VLOOKUP(fact_daily_prices[[#This Row],[Ticker]], dim_company[], 3, FALSE)</f>
        <v>Financials</v>
      </c>
    </row>
    <row r="637" spans="1:14" x14ac:dyDescent="0.3">
      <c r="A637" s="1">
        <v>45672</v>
      </c>
      <c r="B637">
        <v>246.02053833007807</v>
      </c>
      <c r="C637">
        <v>247.30742222416936</v>
      </c>
      <c r="D637">
        <v>237.567987035329</v>
      </c>
      <c r="E637">
        <v>244.1194365217934</v>
      </c>
      <c r="F637">
        <v>18448500</v>
      </c>
      <c r="G637" s="2" t="s">
        <v>13</v>
      </c>
      <c r="H637">
        <v>1.9719494954560712</v>
      </c>
      <c r="I637">
        <v>122.96792951462558</v>
      </c>
      <c r="J637">
        <v>234.22921813964842</v>
      </c>
      <c r="K637">
        <v>1.199717307587687</v>
      </c>
      <c r="L637">
        <v>0</v>
      </c>
      <c r="M637" t="str">
        <f>VLOOKUP(fact_daily_prices[[#This Row],[Ticker]], dim_company[], 2, FALSE)</f>
        <v>JPMorgan Chase &amp; Co.</v>
      </c>
      <c r="N637" t="str">
        <f>VLOOKUP(fact_daily_prices[[#This Row],[Ticker]], dim_company[], 3, FALSE)</f>
        <v>Financials</v>
      </c>
    </row>
    <row r="638" spans="1:14" x14ac:dyDescent="0.3">
      <c r="A638" s="1">
        <v>45673</v>
      </c>
      <c r="B638">
        <v>247.89241027832031</v>
      </c>
      <c r="C638">
        <v>250.59293737173945</v>
      </c>
      <c r="D638">
        <v>246.0010669304408</v>
      </c>
      <c r="E638">
        <v>247.62917824638129</v>
      </c>
      <c r="F638">
        <v>15292300</v>
      </c>
      <c r="G638" s="2" t="s">
        <v>13</v>
      </c>
      <c r="H638">
        <v>0.76086003264117519</v>
      </c>
      <c r="I638">
        <v>123.90354334326874</v>
      </c>
      <c r="J638">
        <v>234.88222320556642</v>
      </c>
      <c r="K638">
        <v>1.1741481376753333</v>
      </c>
      <c r="L638">
        <v>0</v>
      </c>
      <c r="M638" t="str">
        <f>VLOOKUP(fact_daily_prices[[#This Row],[Ticker]], dim_company[], 2, FALSE)</f>
        <v>JPMorgan Chase &amp; Co.</v>
      </c>
      <c r="N638" t="str">
        <f>VLOOKUP(fact_daily_prices[[#This Row],[Ticker]], dim_company[], 3, FALSE)</f>
        <v>Financials</v>
      </c>
    </row>
    <row r="639" spans="1:14" x14ac:dyDescent="0.3">
      <c r="A639" s="1">
        <v>45674</v>
      </c>
      <c r="B639">
        <v>252.6597595214844</v>
      </c>
      <c r="C639">
        <v>254.08313151072235</v>
      </c>
      <c r="D639">
        <v>245.81583080464321</v>
      </c>
      <c r="E639">
        <v>247.76566685921361</v>
      </c>
      <c r="F639">
        <v>17678100</v>
      </c>
      <c r="G639" s="2" t="s">
        <v>13</v>
      </c>
      <c r="H639">
        <v>1.9231525635704516</v>
      </c>
      <c r="I639">
        <v>126.28639751342942</v>
      </c>
      <c r="J639">
        <v>235.67208770751952</v>
      </c>
      <c r="K639">
        <v>1.2102661871853957</v>
      </c>
      <c r="L639">
        <v>0</v>
      </c>
      <c r="M639" t="str">
        <f>VLOOKUP(fact_daily_prices[[#This Row],[Ticker]], dim_company[], 2, FALSE)</f>
        <v>JPMorgan Chase &amp; Co.</v>
      </c>
      <c r="N639" t="str">
        <f>VLOOKUP(fact_daily_prices[[#This Row],[Ticker]], dim_company[], 3, FALSE)</f>
        <v>Financials</v>
      </c>
    </row>
    <row r="640" spans="1:14" x14ac:dyDescent="0.3">
      <c r="A640" s="1">
        <v>45678</v>
      </c>
      <c r="B640">
        <v>256.4326171875</v>
      </c>
      <c r="C640">
        <v>257.62201804462183</v>
      </c>
      <c r="D640">
        <v>252.99115868525769</v>
      </c>
      <c r="E640">
        <v>253.54686894889241</v>
      </c>
      <c r="F640">
        <v>13712100</v>
      </c>
      <c r="G640" s="2" t="s">
        <v>13</v>
      </c>
      <c r="H640">
        <v>1.4932562562242069</v>
      </c>
      <c r="I640">
        <v>128.1721770450589</v>
      </c>
      <c r="J640">
        <v>236.50423828125</v>
      </c>
      <c r="K640">
        <v>1.2224816246116579</v>
      </c>
      <c r="L640">
        <v>0</v>
      </c>
      <c r="M640" t="str">
        <f>VLOOKUP(fact_daily_prices[[#This Row],[Ticker]], dim_company[], 2, FALSE)</f>
        <v>JPMorgan Chase &amp; Co.</v>
      </c>
      <c r="N640" t="str">
        <f>VLOOKUP(fact_daily_prices[[#This Row],[Ticker]], dim_company[], 3, FALSE)</f>
        <v>Financials</v>
      </c>
    </row>
    <row r="641" spans="1:14" x14ac:dyDescent="0.3">
      <c r="A641" s="1">
        <v>45679</v>
      </c>
      <c r="B641">
        <v>256.24746704101563</v>
      </c>
      <c r="C641">
        <v>256.77393113987694</v>
      </c>
      <c r="D641">
        <v>253.72243275979159</v>
      </c>
      <c r="E641">
        <v>256.30595974620701</v>
      </c>
      <c r="F641">
        <v>9021900</v>
      </c>
      <c r="G641" s="2" t="s">
        <v>13</v>
      </c>
      <c r="H641">
        <v>-7.2202260584108835E-2</v>
      </c>
      <c r="I641">
        <v>128.07963383579249</v>
      </c>
      <c r="J641">
        <v>236.83667449951173</v>
      </c>
      <c r="K641">
        <v>1.2192544295874905</v>
      </c>
      <c r="L641">
        <v>0</v>
      </c>
      <c r="M641" t="str">
        <f>VLOOKUP(fact_daily_prices[[#This Row],[Ticker]], dim_company[], 2, FALSE)</f>
        <v>JPMorgan Chase &amp; Co.</v>
      </c>
      <c r="N641" t="str">
        <f>VLOOKUP(fact_daily_prices[[#This Row],[Ticker]], dim_company[], 3, FALSE)</f>
        <v>Financials</v>
      </c>
    </row>
    <row r="642" spans="1:14" x14ac:dyDescent="0.3">
      <c r="A642" s="1">
        <v>45680</v>
      </c>
      <c r="B642">
        <v>259.27944946289063</v>
      </c>
      <c r="C642">
        <v>260.1665986454837</v>
      </c>
      <c r="D642">
        <v>257.19311069838079</v>
      </c>
      <c r="E642">
        <v>258.05104328370686</v>
      </c>
      <c r="F642">
        <v>10749700</v>
      </c>
      <c r="G642" s="2" t="s">
        <v>13</v>
      </c>
      <c r="H642">
        <v>1.1832243482780225</v>
      </c>
      <c r="I642">
        <v>129.59510324852292</v>
      </c>
      <c r="J642">
        <v>237.43692291259765</v>
      </c>
      <c r="K642">
        <v>1.2276670298161634</v>
      </c>
      <c r="L642">
        <v>0</v>
      </c>
      <c r="M642" t="str">
        <f>VLOOKUP(fact_daily_prices[[#This Row],[Ticker]], dim_company[], 2, FALSE)</f>
        <v>JPMorgan Chase &amp; Co.</v>
      </c>
      <c r="N642" t="str">
        <f>VLOOKUP(fact_daily_prices[[#This Row],[Ticker]], dim_company[], 3, FALSE)</f>
        <v>Financials</v>
      </c>
    </row>
    <row r="643" spans="1:14" x14ac:dyDescent="0.3">
      <c r="A643" s="1">
        <v>45681</v>
      </c>
      <c r="B643">
        <v>258.19729614257813</v>
      </c>
      <c r="C643">
        <v>260.40062048485652</v>
      </c>
      <c r="D643">
        <v>256.4132091788652</v>
      </c>
      <c r="E643">
        <v>257.07614632095562</v>
      </c>
      <c r="F643">
        <v>7666300</v>
      </c>
      <c r="G643" s="2" t="s">
        <v>13</v>
      </c>
      <c r="H643">
        <v>-0.41736949170257942</v>
      </c>
      <c r="I643">
        <v>129.05421282482314</v>
      </c>
      <c r="J643">
        <v>238.00388916015626</v>
      </c>
      <c r="K643">
        <v>1.1925867557924335</v>
      </c>
      <c r="L643">
        <v>0</v>
      </c>
      <c r="M643" t="str">
        <f>VLOOKUP(fact_daily_prices[[#This Row],[Ticker]], dim_company[], 2, FALSE)</f>
        <v>JPMorgan Chase &amp; Co.</v>
      </c>
      <c r="N643" t="str">
        <f>VLOOKUP(fact_daily_prices[[#This Row],[Ticker]], dim_company[], 3, FALSE)</f>
        <v>Financials</v>
      </c>
    </row>
    <row r="644" spans="1:14" x14ac:dyDescent="0.3">
      <c r="A644" s="1">
        <v>45684</v>
      </c>
      <c r="B644">
        <v>259.18194580078125</v>
      </c>
      <c r="C644">
        <v>259.29893119572284</v>
      </c>
      <c r="D644">
        <v>255.681993892148</v>
      </c>
      <c r="E644">
        <v>257.54409076732867</v>
      </c>
      <c r="F644">
        <v>7522300</v>
      </c>
      <c r="G644" s="2" t="s">
        <v>13</v>
      </c>
      <c r="H644">
        <v>0.38135552653479898</v>
      </c>
      <c r="I644">
        <v>129.54636819765656</v>
      </c>
      <c r="J644">
        <v>238.54573852539062</v>
      </c>
      <c r="K644">
        <v>1.1913074093986356</v>
      </c>
      <c r="L644">
        <v>0</v>
      </c>
      <c r="M644" t="str">
        <f>VLOOKUP(fact_daily_prices[[#This Row],[Ticker]], dim_company[], 2, FALSE)</f>
        <v>JPMorgan Chase &amp; Co.</v>
      </c>
      <c r="N644" t="str">
        <f>VLOOKUP(fact_daily_prices[[#This Row],[Ticker]], dim_company[], 3, FALSE)</f>
        <v>Financials</v>
      </c>
    </row>
    <row r="645" spans="1:14" x14ac:dyDescent="0.3">
      <c r="A645" s="1">
        <v>45685</v>
      </c>
      <c r="B645">
        <v>260.43960571289063</v>
      </c>
      <c r="C645">
        <v>260.62481275872921</v>
      </c>
      <c r="D645">
        <v>258.18751778762919</v>
      </c>
      <c r="E645">
        <v>259.18195317720495</v>
      </c>
      <c r="F645">
        <v>7375400</v>
      </c>
      <c r="G645" s="2" t="s">
        <v>13</v>
      </c>
      <c r="H645">
        <v>0.48524209825790976</v>
      </c>
      <c r="I645">
        <v>130.17498171291578</v>
      </c>
      <c r="J645">
        <v>239.10750396728517</v>
      </c>
      <c r="K645">
        <v>1.1889115023546377</v>
      </c>
      <c r="L645">
        <v>0</v>
      </c>
      <c r="M645" t="str">
        <f>VLOOKUP(fact_daily_prices[[#This Row],[Ticker]], dim_company[], 2, FALSE)</f>
        <v>JPMorgan Chase &amp; Co.</v>
      </c>
      <c r="N645" t="str">
        <f>VLOOKUP(fact_daily_prices[[#This Row],[Ticker]], dim_company[], 3, FALSE)</f>
        <v>Financials</v>
      </c>
    </row>
    <row r="646" spans="1:14" x14ac:dyDescent="0.3">
      <c r="A646" s="1">
        <v>45686</v>
      </c>
      <c r="B646">
        <v>259.89364624023438</v>
      </c>
      <c r="C646">
        <v>263.89081628120829</v>
      </c>
      <c r="D646">
        <v>258.94797452140983</v>
      </c>
      <c r="E646">
        <v>260.50784938522139</v>
      </c>
      <c r="F646">
        <v>7684900</v>
      </c>
      <c r="G646" s="2" t="s">
        <v>13</v>
      </c>
      <c r="H646">
        <v>-0.20962997204738709</v>
      </c>
      <c r="I646">
        <v>129.90209593513833</v>
      </c>
      <c r="J646">
        <v>239.62731323242187</v>
      </c>
      <c r="K646">
        <v>1.1735812796405016</v>
      </c>
      <c r="L646">
        <v>0</v>
      </c>
      <c r="M646" t="str">
        <f>VLOOKUP(fact_daily_prices[[#This Row],[Ticker]], dim_company[], 2, FALSE)</f>
        <v>JPMorgan Chase &amp; Co.</v>
      </c>
      <c r="N646" t="str">
        <f>VLOOKUP(fact_daily_prices[[#This Row],[Ticker]], dim_company[], 3, FALSE)</f>
        <v>Financials</v>
      </c>
    </row>
    <row r="647" spans="1:14" x14ac:dyDescent="0.3">
      <c r="A647" s="1">
        <v>45687</v>
      </c>
      <c r="B647">
        <v>261.50225830078125</v>
      </c>
      <c r="C647">
        <v>262.93538890948997</v>
      </c>
      <c r="D647">
        <v>259.93262489498824</v>
      </c>
      <c r="E647">
        <v>261.89221953909521</v>
      </c>
      <c r="F647">
        <v>8753500</v>
      </c>
      <c r="G647" s="2" t="s">
        <v>13</v>
      </c>
      <c r="H647">
        <v>0.61895012972341679</v>
      </c>
      <c r="I647">
        <v>130.70612512644232</v>
      </c>
      <c r="J647">
        <v>240.16552215576172</v>
      </c>
      <c r="K647">
        <v>1.1586872034787778</v>
      </c>
      <c r="L647">
        <v>0</v>
      </c>
      <c r="M647" t="str">
        <f>VLOOKUP(fact_daily_prices[[#This Row],[Ticker]], dim_company[], 2, FALSE)</f>
        <v>JPMorgan Chase &amp; Co.</v>
      </c>
      <c r="N647" t="str">
        <f>VLOOKUP(fact_daily_prices[[#This Row],[Ticker]], dim_company[], 3, FALSE)</f>
        <v>Financials</v>
      </c>
    </row>
    <row r="648" spans="1:14" x14ac:dyDescent="0.3">
      <c r="A648" s="1">
        <v>45688</v>
      </c>
      <c r="B648">
        <v>260.59555053710938</v>
      </c>
      <c r="C648">
        <v>264.02728068876934</v>
      </c>
      <c r="D648">
        <v>260.26408201148479</v>
      </c>
      <c r="E648">
        <v>262.47716475181869</v>
      </c>
      <c r="F648">
        <v>7193800</v>
      </c>
      <c r="G648" s="2" t="s">
        <v>13</v>
      </c>
      <c r="H648">
        <v>-0.34673037608301538</v>
      </c>
      <c r="I648">
        <v>130.25292728722786</v>
      </c>
      <c r="J648">
        <v>240.61886688232423</v>
      </c>
      <c r="K648">
        <v>1.1624337045166011</v>
      </c>
      <c r="L648">
        <v>0</v>
      </c>
      <c r="M648" t="str">
        <f>VLOOKUP(fact_daily_prices[[#This Row],[Ticker]], dim_company[], 2, FALSE)</f>
        <v>JPMorgan Chase &amp; Co.</v>
      </c>
      <c r="N648" t="str">
        <f>VLOOKUP(fact_daily_prices[[#This Row],[Ticker]], dim_company[], 3, FALSE)</f>
        <v>Financials</v>
      </c>
    </row>
    <row r="649" spans="1:14" x14ac:dyDescent="0.3">
      <c r="A649" s="1">
        <v>45691</v>
      </c>
      <c r="B649">
        <v>260.11782836914063</v>
      </c>
      <c r="C649">
        <v>261.44373211212439</v>
      </c>
      <c r="D649">
        <v>255.13601245216159</v>
      </c>
      <c r="E649">
        <v>255.26272678047675</v>
      </c>
      <c r="F649">
        <v>8381400</v>
      </c>
      <c r="G649" s="2" t="s">
        <v>13</v>
      </c>
      <c r="H649">
        <v>-0.18331938783456847</v>
      </c>
      <c r="I649">
        <v>130.0141484182883</v>
      </c>
      <c r="J649">
        <v>241.06808868408203</v>
      </c>
      <c r="K649">
        <v>1.155246831090549</v>
      </c>
      <c r="L649">
        <v>0</v>
      </c>
      <c r="M649" t="str">
        <f>VLOOKUP(fact_daily_prices[[#This Row],[Ticker]], dim_company[], 2, FALSE)</f>
        <v>JPMorgan Chase &amp; Co.</v>
      </c>
      <c r="N649" t="str">
        <f>VLOOKUP(fact_daily_prices[[#This Row],[Ticker]], dim_company[], 3, FALSE)</f>
        <v>Financials</v>
      </c>
    </row>
    <row r="650" spans="1:14" x14ac:dyDescent="0.3">
      <c r="A650" s="1">
        <v>45692</v>
      </c>
      <c r="B650">
        <v>261.21954345703125</v>
      </c>
      <c r="C650">
        <v>263.07188179280973</v>
      </c>
      <c r="D650">
        <v>260.13736895555724</v>
      </c>
      <c r="E650">
        <v>263.07188179280973</v>
      </c>
      <c r="F650">
        <v>5626000</v>
      </c>
      <c r="G650" s="2" t="s">
        <v>13</v>
      </c>
      <c r="H650">
        <v>0.42354462775506807</v>
      </c>
      <c r="I650">
        <v>130.56481635923546</v>
      </c>
      <c r="J650">
        <v>241.57697723388671</v>
      </c>
      <c r="K650">
        <v>0.91252715187164446</v>
      </c>
      <c r="L650">
        <v>0</v>
      </c>
      <c r="M650" t="str">
        <f>VLOOKUP(fact_daily_prices[[#This Row],[Ticker]], dim_company[], 2, FALSE)</f>
        <v>JPMorgan Chase &amp; Co.</v>
      </c>
      <c r="N650" t="str">
        <f>VLOOKUP(fact_daily_prices[[#This Row],[Ticker]], dim_company[], 3, FALSE)</f>
        <v>Financials</v>
      </c>
    </row>
    <row r="651" spans="1:14" x14ac:dyDescent="0.3">
      <c r="A651" s="1">
        <v>45693</v>
      </c>
      <c r="B651">
        <v>263.64706420898438</v>
      </c>
      <c r="C651">
        <v>263.85181840788931</v>
      </c>
      <c r="D651">
        <v>261.59973048488587</v>
      </c>
      <c r="E651">
        <v>262.16519957881019</v>
      </c>
      <c r="F651">
        <v>5704400</v>
      </c>
      <c r="G651" s="2" t="s">
        <v>13</v>
      </c>
      <c r="H651">
        <v>0.92930288439634356</v>
      </c>
      <c r="I651">
        <v>131.7781589636686</v>
      </c>
      <c r="J651">
        <v>242.17922607421875</v>
      </c>
      <c r="K651">
        <v>0.90880674711181841</v>
      </c>
      <c r="L651">
        <v>0</v>
      </c>
      <c r="M651" t="str">
        <f>VLOOKUP(fact_daily_prices[[#This Row],[Ticker]], dim_company[], 2, FALSE)</f>
        <v>JPMorgan Chase &amp; Co.</v>
      </c>
      <c r="N651" t="str">
        <f>VLOOKUP(fact_daily_prices[[#This Row],[Ticker]], dim_company[], 3, FALSE)</f>
        <v>Financials</v>
      </c>
    </row>
    <row r="652" spans="1:14" x14ac:dyDescent="0.3">
      <c r="A652" s="1">
        <v>45694</v>
      </c>
      <c r="B652">
        <v>269.95477294921875</v>
      </c>
      <c r="C652">
        <v>270.0327830459936</v>
      </c>
      <c r="D652">
        <v>264.38799981532753</v>
      </c>
      <c r="E652">
        <v>265.61640594638817</v>
      </c>
      <c r="F652">
        <v>7264400</v>
      </c>
      <c r="G652" s="2" t="s">
        <v>13</v>
      </c>
      <c r="H652">
        <v>2.3924820703614902</v>
      </c>
      <c r="I652">
        <v>134.93092778952683</v>
      </c>
      <c r="J652">
        <v>242.90762908935548</v>
      </c>
      <c r="K652">
        <v>0.93379134142887465</v>
      </c>
      <c r="L652">
        <v>0</v>
      </c>
      <c r="M652" t="str">
        <f>VLOOKUP(fact_daily_prices[[#This Row],[Ticker]], dim_company[], 2, FALSE)</f>
        <v>JPMorgan Chase &amp; Co.</v>
      </c>
      <c r="N652" t="str">
        <f>VLOOKUP(fact_daily_prices[[#This Row],[Ticker]], dim_company[], 3, FALSE)</f>
        <v>Financials</v>
      </c>
    </row>
    <row r="653" spans="1:14" x14ac:dyDescent="0.3">
      <c r="A653" s="1">
        <v>45695</v>
      </c>
      <c r="B653">
        <v>268.88235473632813</v>
      </c>
      <c r="C653">
        <v>271.56337905921515</v>
      </c>
      <c r="D653">
        <v>267.81969775678539</v>
      </c>
      <c r="E653">
        <v>270.31548529173858</v>
      </c>
      <c r="F653">
        <v>6857900</v>
      </c>
      <c r="G653" s="2" t="s">
        <v>13</v>
      </c>
      <c r="H653">
        <v>-0.39725847451208551</v>
      </c>
      <c r="I653">
        <v>134.39490324414515</v>
      </c>
      <c r="J653">
        <v>243.46385986328124</v>
      </c>
      <c r="K653">
        <v>0.94858186871587624</v>
      </c>
      <c r="L653">
        <v>0</v>
      </c>
      <c r="M653" t="str">
        <f>VLOOKUP(fact_daily_prices[[#This Row],[Ticker]], dim_company[], 2, FALSE)</f>
        <v>JPMorgan Chase &amp; Co.</v>
      </c>
      <c r="N653" t="str">
        <f>VLOOKUP(fact_daily_prices[[#This Row],[Ticker]], dim_company[], 3, FALSE)</f>
        <v>Financials</v>
      </c>
    </row>
    <row r="654" spans="1:14" x14ac:dyDescent="0.3">
      <c r="A654" s="1">
        <v>45698</v>
      </c>
      <c r="B654">
        <v>264.24176025390625</v>
      </c>
      <c r="C654">
        <v>269.25282287048054</v>
      </c>
      <c r="D654">
        <v>262.8281173750097</v>
      </c>
      <c r="E654">
        <v>269.22357652308909</v>
      </c>
      <c r="F654">
        <v>8627400</v>
      </c>
      <c r="G654" s="2" t="s">
        <v>13</v>
      </c>
      <c r="H654">
        <v>-1.7258828631475431</v>
      </c>
      <c r="I654">
        <v>132.07540464011075</v>
      </c>
      <c r="J654">
        <v>243.89352600097655</v>
      </c>
      <c r="K654">
        <v>1.0072002079642606</v>
      </c>
      <c r="L654">
        <v>0</v>
      </c>
      <c r="M654" t="str">
        <f>VLOOKUP(fact_daily_prices[[#This Row],[Ticker]], dim_company[], 2, FALSE)</f>
        <v>JPMorgan Chase &amp; Co.</v>
      </c>
      <c r="N654" t="str">
        <f>VLOOKUP(fact_daily_prices[[#This Row],[Ticker]], dim_company[], 3, FALSE)</f>
        <v>Financials</v>
      </c>
    </row>
    <row r="655" spans="1:14" x14ac:dyDescent="0.3">
      <c r="A655" s="1">
        <v>45699</v>
      </c>
      <c r="B655">
        <v>268.09268188476563</v>
      </c>
      <c r="C655">
        <v>269.29184169342403</v>
      </c>
      <c r="D655">
        <v>262.89638221818285</v>
      </c>
      <c r="E655">
        <v>263.4813389480683</v>
      </c>
      <c r="F655">
        <v>7196400</v>
      </c>
      <c r="G655" s="2" t="s">
        <v>13</v>
      </c>
      <c r="H655">
        <v>1.4573478571892284</v>
      </c>
      <c r="I655">
        <v>134.0002027195074</v>
      </c>
      <c r="J655">
        <v>244.40641845703124</v>
      </c>
      <c r="K655">
        <v>1.0255459753830611</v>
      </c>
      <c r="L655">
        <v>0</v>
      </c>
      <c r="M655" t="str">
        <f>VLOOKUP(fact_daily_prices[[#This Row],[Ticker]], dim_company[], 2, FALSE)</f>
        <v>JPMorgan Chase &amp; Co.</v>
      </c>
      <c r="N655" t="str">
        <f>VLOOKUP(fact_daily_prices[[#This Row],[Ticker]], dim_company[], 3, FALSE)</f>
        <v>Financials</v>
      </c>
    </row>
    <row r="656" spans="1:14" x14ac:dyDescent="0.3">
      <c r="A656" s="1">
        <v>45700</v>
      </c>
      <c r="B656">
        <v>268.54110717773438</v>
      </c>
      <c r="C656">
        <v>269.51602493150779</v>
      </c>
      <c r="D656">
        <v>266.39627621858142</v>
      </c>
      <c r="E656">
        <v>267.20544486327668</v>
      </c>
      <c r="F656">
        <v>6683900</v>
      </c>
      <c r="G656" s="2" t="s">
        <v>13</v>
      </c>
      <c r="H656">
        <v>0.16726502559345491</v>
      </c>
      <c r="I656">
        <v>134.22433819288145</v>
      </c>
      <c r="J656">
        <v>244.93177062988281</v>
      </c>
      <c r="K656">
        <v>0.99987534152805035</v>
      </c>
      <c r="L656">
        <v>0</v>
      </c>
      <c r="M656" t="str">
        <f>VLOOKUP(fact_daily_prices[[#This Row],[Ticker]], dim_company[], 2, FALSE)</f>
        <v>JPMorgan Chase &amp; Co.</v>
      </c>
      <c r="N656" t="str">
        <f>VLOOKUP(fact_daily_prices[[#This Row],[Ticker]], dim_company[], 3, FALSE)</f>
        <v>Financials</v>
      </c>
    </row>
    <row r="657" spans="1:14" x14ac:dyDescent="0.3">
      <c r="A657" s="1">
        <v>45701</v>
      </c>
      <c r="B657">
        <v>269.38931274414063</v>
      </c>
      <c r="C657">
        <v>270.02300340866191</v>
      </c>
      <c r="D657">
        <v>266.94225937189088</v>
      </c>
      <c r="E657">
        <v>268.58987295092561</v>
      </c>
      <c r="F657">
        <v>8398700</v>
      </c>
      <c r="G657" s="2" t="s">
        <v>13</v>
      </c>
      <c r="H657">
        <v>0.3158568813991236</v>
      </c>
      <c r="I657">
        <v>134.64829500157609</v>
      </c>
      <c r="J657">
        <v>245.47544433593751</v>
      </c>
      <c r="K657">
        <v>0.97300839141083817</v>
      </c>
      <c r="L657">
        <v>0</v>
      </c>
      <c r="M657" t="str">
        <f>VLOOKUP(fact_daily_prices[[#This Row],[Ticker]], dim_company[], 2, FALSE)</f>
        <v>JPMorgan Chase &amp; Co.</v>
      </c>
      <c r="N657" t="str">
        <f>VLOOKUP(fact_daily_prices[[#This Row],[Ticker]], dim_company[], 3, FALSE)</f>
        <v>Financials</v>
      </c>
    </row>
    <row r="658" spans="1:14" x14ac:dyDescent="0.3">
      <c r="A658" s="1">
        <v>45702</v>
      </c>
      <c r="B658">
        <v>269.65255737304688</v>
      </c>
      <c r="C658">
        <v>272.22635509125433</v>
      </c>
      <c r="D658">
        <v>269.51608432854903</v>
      </c>
      <c r="E658">
        <v>270.41299219849265</v>
      </c>
      <c r="F658">
        <v>5688600</v>
      </c>
      <c r="G658" s="2" t="s">
        <v>13</v>
      </c>
      <c r="H658">
        <v>9.7719032067278278E-2</v>
      </c>
      <c r="I658">
        <v>134.77987201214671</v>
      </c>
      <c r="J658">
        <v>246.09169494628907</v>
      </c>
      <c r="K658">
        <v>0.97386519823305884</v>
      </c>
      <c r="L658">
        <v>0</v>
      </c>
      <c r="M658" t="str">
        <f>VLOOKUP(fact_daily_prices[[#This Row],[Ticker]], dim_company[], 2, FALSE)</f>
        <v>JPMorgan Chase &amp; Co.</v>
      </c>
      <c r="N658" t="str">
        <f>VLOOKUP(fact_daily_prices[[#This Row],[Ticker]], dim_company[], 3, FALSE)</f>
        <v>Financials</v>
      </c>
    </row>
    <row r="659" spans="1:14" x14ac:dyDescent="0.3">
      <c r="A659" s="1">
        <v>45706</v>
      </c>
      <c r="B659">
        <v>272.92828369140625</v>
      </c>
      <c r="C659">
        <v>272.94777133904427</v>
      </c>
      <c r="D659">
        <v>269.09683365296951</v>
      </c>
      <c r="E659">
        <v>269.81829314544927</v>
      </c>
      <c r="F659">
        <v>7919800</v>
      </c>
      <c r="G659" s="2" t="s">
        <v>13</v>
      </c>
      <c r="H659">
        <v>1.2147951980398419</v>
      </c>
      <c r="I659">
        <v>136.41717142527449</v>
      </c>
      <c r="J659">
        <v>246.80119903564454</v>
      </c>
      <c r="K659">
        <v>0.97964498266177835</v>
      </c>
      <c r="L659">
        <v>0</v>
      </c>
      <c r="M659" t="str">
        <f>VLOOKUP(fact_daily_prices[[#This Row],[Ticker]], dim_company[], 2, FALSE)</f>
        <v>JPMorgan Chase &amp; Co.</v>
      </c>
      <c r="N659" t="str">
        <f>VLOOKUP(fact_daily_prices[[#This Row],[Ticker]], dim_company[], 3, FALSE)</f>
        <v>Financials</v>
      </c>
    </row>
    <row r="660" spans="1:14" x14ac:dyDescent="0.3">
      <c r="A660" s="1">
        <v>45707</v>
      </c>
      <c r="B660">
        <v>272.24581909179688</v>
      </c>
      <c r="C660">
        <v>273.22073697574245</v>
      </c>
      <c r="D660">
        <v>270.2667369774727</v>
      </c>
      <c r="E660">
        <v>271.39764529310548</v>
      </c>
      <c r="F660">
        <v>8398700</v>
      </c>
      <c r="G660" s="2" t="s">
        <v>13</v>
      </c>
      <c r="H660">
        <v>-0.25005272094885678</v>
      </c>
      <c r="I660">
        <v>136.07605657628415</v>
      </c>
      <c r="J660">
        <v>247.524599609375</v>
      </c>
      <c r="K660">
        <v>0.97686324344643838</v>
      </c>
      <c r="L660">
        <v>0</v>
      </c>
      <c r="M660" t="str">
        <f>VLOOKUP(fact_daily_prices[[#This Row],[Ticker]], dim_company[], 2, FALSE)</f>
        <v>JPMorgan Chase &amp; Co.</v>
      </c>
      <c r="N660" t="str">
        <f>VLOOKUP(fact_daily_prices[[#This Row],[Ticker]], dim_company[], 3, FALSE)</f>
        <v>Financials</v>
      </c>
    </row>
    <row r="661" spans="1:14" x14ac:dyDescent="0.3">
      <c r="A661" s="1">
        <v>45708</v>
      </c>
      <c r="B661">
        <v>260.10809326171875</v>
      </c>
      <c r="C661">
        <v>271.74861579046939</v>
      </c>
      <c r="D661">
        <v>259.07468263037401</v>
      </c>
      <c r="E661">
        <v>271.69012309451659</v>
      </c>
      <c r="F661">
        <v>13846700</v>
      </c>
      <c r="G661" s="2" t="s">
        <v>13</v>
      </c>
      <c r="H661">
        <v>-4.4583699652649189</v>
      </c>
      <c r="I661">
        <v>130.0092825399702</v>
      </c>
      <c r="J661">
        <v>247.96489746093749</v>
      </c>
      <c r="K661">
        <v>1.3211752613609</v>
      </c>
      <c r="L661">
        <v>0</v>
      </c>
      <c r="M661" t="str">
        <f>VLOOKUP(fact_daily_prices[[#This Row],[Ticker]], dim_company[], 2, FALSE)</f>
        <v>JPMorgan Chase &amp; Co.</v>
      </c>
      <c r="N661" t="str">
        <f>VLOOKUP(fact_daily_prices[[#This Row],[Ticker]], dim_company[], 3, FALSE)</f>
        <v>Financials</v>
      </c>
    </row>
    <row r="662" spans="1:14" x14ac:dyDescent="0.3">
      <c r="A662" s="1">
        <v>45709</v>
      </c>
      <c r="B662">
        <v>257.61233520507813</v>
      </c>
      <c r="C662">
        <v>262.44795013948351</v>
      </c>
      <c r="D662">
        <v>256.24745588977726</v>
      </c>
      <c r="E662">
        <v>261.59001749782652</v>
      </c>
      <c r="F662">
        <v>12835600</v>
      </c>
      <c r="G662" s="2" t="s">
        <v>13</v>
      </c>
      <c r="H662">
        <v>-0.95950803581087429</v>
      </c>
      <c r="I662">
        <v>128.76183302669912</v>
      </c>
      <c r="J662">
        <v>248.31881164550782</v>
      </c>
      <c r="K662">
        <v>1.3369529105250726</v>
      </c>
      <c r="L662">
        <v>0</v>
      </c>
      <c r="M662" t="str">
        <f>VLOOKUP(fact_daily_prices[[#This Row],[Ticker]], dim_company[], 2, FALSE)</f>
        <v>JPMorgan Chase &amp; Co.</v>
      </c>
      <c r="N662" t="str">
        <f>VLOOKUP(fact_daily_prices[[#This Row],[Ticker]], dim_company[], 3, FALSE)</f>
        <v>Financials</v>
      </c>
    </row>
    <row r="663" spans="1:14" x14ac:dyDescent="0.3">
      <c r="A663" s="1">
        <v>45712</v>
      </c>
      <c r="B663">
        <v>254.7850341796875</v>
      </c>
      <c r="C663">
        <v>260.30307292888529</v>
      </c>
      <c r="D663">
        <v>252.12349766706268</v>
      </c>
      <c r="E663">
        <v>258.8309374152343</v>
      </c>
      <c r="F663">
        <v>10372800</v>
      </c>
      <c r="G663" s="2" t="s">
        <v>13</v>
      </c>
      <c r="H663">
        <v>-1.0975021918651073</v>
      </c>
      <c r="I663">
        <v>127.34866908694539</v>
      </c>
      <c r="J663">
        <v>248.68504333496094</v>
      </c>
      <c r="K663">
        <v>1.3597630237730132</v>
      </c>
      <c r="L663">
        <v>0</v>
      </c>
      <c r="M663" t="str">
        <f>VLOOKUP(fact_daily_prices[[#This Row],[Ticker]], dim_company[], 2, FALSE)</f>
        <v>JPMorgan Chase &amp; Co.</v>
      </c>
      <c r="N663" t="str">
        <f>VLOOKUP(fact_daily_prices[[#This Row],[Ticker]], dim_company[], 3, FALSE)</f>
        <v>Financials</v>
      </c>
    </row>
    <row r="664" spans="1:14" x14ac:dyDescent="0.3">
      <c r="A664" s="1">
        <v>45713</v>
      </c>
      <c r="B664">
        <v>250.94386291503903</v>
      </c>
      <c r="C664">
        <v>256.40340913604308</v>
      </c>
      <c r="D664">
        <v>246.99545729877843</v>
      </c>
      <c r="E664">
        <v>255.6527330596067</v>
      </c>
      <c r="F664">
        <v>9608400</v>
      </c>
      <c r="G664" s="2" t="s">
        <v>13</v>
      </c>
      <c r="H664">
        <v>-1.5076125946783314</v>
      </c>
      <c r="I664">
        <v>125.42874451263539</v>
      </c>
      <c r="J664">
        <v>248.9744515991211</v>
      </c>
      <c r="K664">
        <v>1.3668133688885655</v>
      </c>
      <c r="L664">
        <v>0</v>
      </c>
      <c r="M664" t="str">
        <f>VLOOKUP(fact_daily_prices[[#This Row],[Ticker]], dim_company[], 2, FALSE)</f>
        <v>JPMorgan Chase &amp; Co.</v>
      </c>
      <c r="N664" t="str">
        <f>VLOOKUP(fact_daily_prices[[#This Row],[Ticker]], dim_company[], 3, FALSE)</f>
        <v>Financials</v>
      </c>
    </row>
    <row r="665" spans="1:14" x14ac:dyDescent="0.3">
      <c r="A665" s="1">
        <v>45714</v>
      </c>
      <c r="B665">
        <v>252.29902648925781</v>
      </c>
      <c r="C665">
        <v>254.36584779830204</v>
      </c>
      <c r="D665">
        <v>250.48566361764875</v>
      </c>
      <c r="E665">
        <v>250.70990545858649</v>
      </c>
      <c r="F665">
        <v>5943600</v>
      </c>
      <c r="G665" s="2" t="s">
        <v>13</v>
      </c>
      <c r="H665">
        <v>0.54002658541907334</v>
      </c>
      <c r="I665">
        <v>126.10609307876098</v>
      </c>
      <c r="J665">
        <v>249.29639465332031</v>
      </c>
      <c r="K665">
        <v>1.3360023952087232</v>
      </c>
      <c r="L665">
        <v>0</v>
      </c>
      <c r="M665" t="str">
        <f>VLOOKUP(fact_daily_prices[[#This Row],[Ticker]], dim_company[], 2, FALSE)</f>
        <v>JPMorgan Chase &amp; Co.</v>
      </c>
      <c r="N665" t="str">
        <f>VLOOKUP(fact_daily_prices[[#This Row],[Ticker]], dim_company[], 3, FALSE)</f>
        <v>Financials</v>
      </c>
    </row>
    <row r="666" spans="1:14" x14ac:dyDescent="0.3">
      <c r="A666" s="1">
        <v>45715</v>
      </c>
      <c r="B666">
        <v>252.55245971679688</v>
      </c>
      <c r="C666">
        <v>257.02735887580104</v>
      </c>
      <c r="D666">
        <v>251.39230508329683</v>
      </c>
      <c r="E666">
        <v>253.65412165887105</v>
      </c>
      <c r="F666">
        <v>8204400</v>
      </c>
      <c r="G666" s="2" t="s">
        <v>13</v>
      </c>
      <c r="H666">
        <v>0.10044954634411685</v>
      </c>
      <c r="I666">
        <v>126.23276607717087</v>
      </c>
      <c r="J666">
        <v>249.66220245361328</v>
      </c>
      <c r="K666">
        <v>1.3188116114073734</v>
      </c>
      <c r="L666">
        <v>0</v>
      </c>
      <c r="M666" t="str">
        <f>VLOOKUP(fact_daily_prices[[#This Row],[Ticker]], dim_company[], 2, FALSE)</f>
        <v>JPMorgan Chase &amp; Co.</v>
      </c>
      <c r="N666" t="str">
        <f>VLOOKUP(fact_daily_prices[[#This Row],[Ticker]], dim_company[], 3, FALSE)</f>
        <v>Financials</v>
      </c>
    </row>
    <row r="667" spans="1:14" x14ac:dyDescent="0.3">
      <c r="A667" s="1">
        <v>45716</v>
      </c>
      <c r="B667">
        <v>258.01202392578125</v>
      </c>
      <c r="C667">
        <v>258.16801436465698</v>
      </c>
      <c r="D667">
        <v>251.42159895805173</v>
      </c>
      <c r="E667">
        <v>254.19036230579465</v>
      </c>
      <c r="F667">
        <v>10467100</v>
      </c>
      <c r="G667" s="2" t="s">
        <v>13</v>
      </c>
      <c r="H667">
        <v>2.1617545182915698</v>
      </c>
      <c r="I667">
        <v>128.96160860140856</v>
      </c>
      <c r="J667">
        <v>250.16804473876954</v>
      </c>
      <c r="K667">
        <v>1.3282204928163353</v>
      </c>
      <c r="L667">
        <v>0</v>
      </c>
      <c r="M667" t="str">
        <f>VLOOKUP(fact_daily_prices[[#This Row],[Ticker]], dim_company[], 2, FALSE)</f>
        <v>JPMorgan Chase &amp; Co.</v>
      </c>
      <c r="N667" t="str">
        <f>VLOOKUP(fact_daily_prices[[#This Row],[Ticker]], dim_company[], 3, FALSE)</f>
        <v>Financials</v>
      </c>
    </row>
    <row r="668" spans="1:14" x14ac:dyDescent="0.3">
      <c r="A668" s="1">
        <v>45719</v>
      </c>
      <c r="B668">
        <v>254.08314514160159</v>
      </c>
      <c r="C668">
        <v>259.64019009610251</v>
      </c>
      <c r="D668">
        <v>251.35338641961368</v>
      </c>
      <c r="E668">
        <v>257.37837301094754</v>
      </c>
      <c r="F668">
        <v>9058300</v>
      </c>
      <c r="G668" s="2" t="s">
        <v>13</v>
      </c>
      <c r="H668">
        <v>-1.5227502673711979</v>
      </c>
      <c r="I668">
        <v>126.9978453616244</v>
      </c>
      <c r="J668">
        <v>250.60229278564452</v>
      </c>
      <c r="K668">
        <v>1.3581348097216184</v>
      </c>
      <c r="L668">
        <v>0</v>
      </c>
      <c r="M668" t="str">
        <f>VLOOKUP(fact_daily_prices[[#This Row],[Ticker]], dim_company[], 2, FALSE)</f>
        <v>JPMorgan Chase &amp; Co.</v>
      </c>
      <c r="N668" t="str">
        <f>VLOOKUP(fact_daily_prices[[#This Row],[Ticker]], dim_company[], 3, FALSE)</f>
        <v>Financials</v>
      </c>
    </row>
    <row r="669" spans="1:14" x14ac:dyDescent="0.3">
      <c r="A669" s="1">
        <v>45720</v>
      </c>
      <c r="B669">
        <v>243.97322082519531</v>
      </c>
      <c r="C669">
        <v>250.7781589340054</v>
      </c>
      <c r="D669">
        <v>239.7810705990394</v>
      </c>
      <c r="E669">
        <v>248.87705700074719</v>
      </c>
      <c r="F669">
        <v>13465600</v>
      </c>
      <c r="G669" s="2" t="s">
        <v>13</v>
      </c>
      <c r="H669">
        <v>-3.9789826715077803</v>
      </c>
      <c r="I669">
        <v>121.94462310149711</v>
      </c>
      <c r="J669">
        <v>250.85800781250001</v>
      </c>
      <c r="K669">
        <v>1.5033427433314723</v>
      </c>
      <c r="L669">
        <v>0</v>
      </c>
      <c r="M669" t="str">
        <f>VLOOKUP(fact_daily_prices[[#This Row],[Ticker]], dim_company[], 2, FALSE)</f>
        <v>JPMorgan Chase &amp; Co.</v>
      </c>
      <c r="N669" t="str">
        <f>VLOOKUP(fact_daily_prices[[#This Row],[Ticker]], dim_company[], 3, FALSE)</f>
        <v>Financials</v>
      </c>
    </row>
    <row r="670" spans="1:14" x14ac:dyDescent="0.3">
      <c r="A670" s="1">
        <v>45721</v>
      </c>
      <c r="B670">
        <v>245.22111511230469</v>
      </c>
      <c r="C670">
        <v>246.70299458782361</v>
      </c>
      <c r="D670">
        <v>241.61392160869329</v>
      </c>
      <c r="E670">
        <v>244.94813927156011</v>
      </c>
      <c r="F670">
        <v>7861400</v>
      </c>
      <c r="G670" s="2" t="s">
        <v>13</v>
      </c>
      <c r="H670">
        <v>0.51148822107958125</v>
      </c>
      <c r="I670">
        <v>122.56835548490119</v>
      </c>
      <c r="J670">
        <v>251.29367279052735</v>
      </c>
      <c r="K670">
        <v>1.4778093401506101</v>
      </c>
      <c r="L670">
        <v>0</v>
      </c>
      <c r="M670" t="str">
        <f>VLOOKUP(fact_daily_prices[[#This Row],[Ticker]], dim_company[], 2, FALSE)</f>
        <v>JPMorgan Chase &amp; Co.</v>
      </c>
      <c r="N670" t="str">
        <f>VLOOKUP(fact_daily_prices[[#This Row],[Ticker]], dim_company[], 3, FALSE)</f>
        <v>Financials</v>
      </c>
    </row>
    <row r="671" spans="1:14" x14ac:dyDescent="0.3">
      <c r="A671" s="1">
        <v>45722</v>
      </c>
      <c r="B671">
        <v>240.35629272460929</v>
      </c>
      <c r="C671">
        <v>243.1055688029891</v>
      </c>
      <c r="D671">
        <v>237.7337756308404</v>
      </c>
      <c r="E671">
        <v>241.88692122414761</v>
      </c>
      <c r="F671">
        <v>9983200</v>
      </c>
      <c r="G671" s="2" t="s">
        <v>13</v>
      </c>
      <c r="H671">
        <v>-1.9838513439054517</v>
      </c>
      <c r="I671">
        <v>120.13678151741117</v>
      </c>
      <c r="J671">
        <v>251.58179992675781</v>
      </c>
      <c r="K671">
        <v>1.51559600166149</v>
      </c>
      <c r="L671">
        <v>0</v>
      </c>
      <c r="M671" t="str">
        <f>VLOOKUP(fact_daily_prices[[#This Row],[Ticker]], dim_company[], 2, FALSE)</f>
        <v>JPMorgan Chase &amp; Co.</v>
      </c>
      <c r="N671" t="str">
        <f>VLOOKUP(fact_daily_prices[[#This Row],[Ticker]], dim_company[], 3, FALSE)</f>
        <v>Financials</v>
      </c>
    </row>
    <row r="672" spans="1:14" x14ac:dyDescent="0.3">
      <c r="A672" s="1">
        <v>45723</v>
      </c>
      <c r="B672">
        <v>236.20310974121091</v>
      </c>
      <c r="C672">
        <v>240.53174763621959</v>
      </c>
      <c r="D672">
        <v>233.414843927151</v>
      </c>
      <c r="E672">
        <v>239.07911459680213</v>
      </c>
      <c r="F672">
        <v>20498700</v>
      </c>
      <c r="G672" s="2" t="s">
        <v>13</v>
      </c>
      <c r="H672">
        <v>-1.7279277094512935</v>
      </c>
      <c r="I672">
        <v>118.06090478032887</v>
      </c>
      <c r="J672">
        <v>251.69685577392579</v>
      </c>
      <c r="K672">
        <v>1.5170457496491092</v>
      </c>
      <c r="L672">
        <v>1</v>
      </c>
      <c r="M672" t="str">
        <f>VLOOKUP(fact_daily_prices[[#This Row],[Ticker]], dim_company[], 2, FALSE)</f>
        <v>JPMorgan Chase &amp; Co.</v>
      </c>
      <c r="N672" t="str">
        <f>VLOOKUP(fact_daily_prices[[#This Row],[Ticker]], dim_company[], 3, FALSE)</f>
        <v>Financials</v>
      </c>
    </row>
    <row r="673" spans="1:14" x14ac:dyDescent="0.3">
      <c r="A673" s="1">
        <v>45726</v>
      </c>
      <c r="B673">
        <v>226.39546203613281</v>
      </c>
      <c r="C673">
        <v>231.55277177640727</v>
      </c>
      <c r="D673">
        <v>222.96374646708685</v>
      </c>
      <c r="E673">
        <v>230.28539026110545</v>
      </c>
      <c r="F673">
        <v>18887200</v>
      </c>
      <c r="G673" s="2" t="s">
        <v>13</v>
      </c>
      <c r="H673">
        <v>-4.1522093912411018</v>
      </c>
      <c r="I673">
        <v>113.15876880465584</v>
      </c>
      <c r="J673">
        <v>251.60043395996092</v>
      </c>
      <c r="K673">
        <v>1.6723909914759756</v>
      </c>
      <c r="L673">
        <v>1</v>
      </c>
      <c r="M673" t="str">
        <f>VLOOKUP(fact_daily_prices[[#This Row],[Ticker]], dim_company[], 2, FALSE)</f>
        <v>JPMorgan Chase &amp; Co.</v>
      </c>
      <c r="N673" t="str">
        <f>VLOOKUP(fact_daily_prices[[#This Row],[Ticker]], dim_company[], 3, FALSE)</f>
        <v>Financials</v>
      </c>
    </row>
    <row r="674" spans="1:14" x14ac:dyDescent="0.3">
      <c r="A674" s="1">
        <v>45727</v>
      </c>
      <c r="B674">
        <v>223.3927001953125</v>
      </c>
      <c r="C674">
        <v>227.46786499337821</v>
      </c>
      <c r="D674">
        <v>221.00415417455685</v>
      </c>
      <c r="E674">
        <v>225.9372366595305</v>
      </c>
      <c r="F674">
        <v>18143000</v>
      </c>
      <c r="G674" s="2" t="s">
        <v>13</v>
      </c>
      <c r="H674">
        <v>-1.3263348186462687</v>
      </c>
      <c r="I674">
        <v>111.65790465364825</v>
      </c>
      <c r="J674">
        <v>251.36791595458985</v>
      </c>
      <c r="K674">
        <v>1.6731148073530859</v>
      </c>
      <c r="L674">
        <v>0</v>
      </c>
      <c r="M674" t="str">
        <f>VLOOKUP(fact_daily_prices[[#This Row],[Ticker]], dim_company[], 2, FALSE)</f>
        <v>JPMorgan Chase &amp; Co.</v>
      </c>
      <c r="N674" t="str">
        <f>VLOOKUP(fact_daily_prices[[#This Row],[Ticker]], dim_company[], 3, FALSE)</f>
        <v>Financials</v>
      </c>
    </row>
    <row r="675" spans="1:14" x14ac:dyDescent="0.3">
      <c r="A675" s="1">
        <v>45728</v>
      </c>
      <c r="B675">
        <v>222.18380737304688</v>
      </c>
      <c r="C675">
        <v>228.44279405563543</v>
      </c>
      <c r="D675">
        <v>221.55986044493463</v>
      </c>
      <c r="E675">
        <v>228.1308131535452</v>
      </c>
      <c r="F675">
        <v>16054000</v>
      </c>
      <c r="G675" s="2" t="s">
        <v>13</v>
      </c>
      <c r="H675">
        <v>-0.54115144371713608</v>
      </c>
      <c r="I675">
        <v>111.05366629059073</v>
      </c>
      <c r="J675">
        <v>251.09511962890625</v>
      </c>
      <c r="K675">
        <v>1.6631525134701335</v>
      </c>
      <c r="L675">
        <v>0</v>
      </c>
      <c r="M675" t="str">
        <f>VLOOKUP(fact_daily_prices[[#This Row],[Ticker]], dim_company[], 2, FALSE)</f>
        <v>JPMorgan Chase &amp; Co.</v>
      </c>
      <c r="N675" t="str">
        <f>VLOOKUP(fact_daily_prices[[#This Row],[Ticker]], dim_company[], 3, FALSE)</f>
        <v>Financials</v>
      </c>
    </row>
    <row r="676" spans="1:14" x14ac:dyDescent="0.3">
      <c r="A676" s="1">
        <v>45729</v>
      </c>
      <c r="B676">
        <v>219.54177856445313</v>
      </c>
      <c r="C676">
        <v>223.74367260665568</v>
      </c>
      <c r="D676">
        <v>218.6058507740928</v>
      </c>
      <c r="E676">
        <v>223.54869198918365</v>
      </c>
      <c r="F676">
        <v>16467900</v>
      </c>
      <c r="G676" s="2" t="s">
        <v>13</v>
      </c>
      <c r="H676">
        <v>-1.1891185230063939</v>
      </c>
      <c r="I676">
        <v>109.73310657425159</v>
      </c>
      <c r="J676">
        <v>250.80769775390624</v>
      </c>
      <c r="K676">
        <v>1.6665698286232915</v>
      </c>
      <c r="L676">
        <v>0</v>
      </c>
      <c r="M676" t="str">
        <f>VLOOKUP(fact_daily_prices[[#This Row],[Ticker]], dim_company[], 2, FALSE)</f>
        <v>JPMorgan Chase &amp; Co.</v>
      </c>
      <c r="N676" t="str">
        <f>VLOOKUP(fact_daily_prices[[#This Row],[Ticker]], dim_company[], 3, FALSE)</f>
        <v>Financials</v>
      </c>
    </row>
    <row r="677" spans="1:14" x14ac:dyDescent="0.3">
      <c r="A677" s="1">
        <v>45730</v>
      </c>
      <c r="B677">
        <v>226.60992431640625</v>
      </c>
      <c r="C677">
        <v>227.29236388703421</v>
      </c>
      <c r="D677">
        <v>221.87182261737931</v>
      </c>
      <c r="E677">
        <v>222.39827175013039</v>
      </c>
      <c r="F677">
        <v>11962100</v>
      </c>
      <c r="G677" s="2" t="s">
        <v>13</v>
      </c>
      <c r="H677">
        <v>3.2194991760431835</v>
      </c>
      <c r="I677">
        <v>113.26596303625622</v>
      </c>
      <c r="J677">
        <v>250.69752471923829</v>
      </c>
      <c r="K677">
        <v>1.7922164742093174</v>
      </c>
      <c r="L677">
        <v>0</v>
      </c>
      <c r="M677" t="str">
        <f>VLOOKUP(fact_daily_prices[[#This Row],[Ticker]], dim_company[], 2, FALSE)</f>
        <v>JPMorgan Chase &amp; Co.</v>
      </c>
      <c r="N677" t="str">
        <f>VLOOKUP(fact_daily_prices[[#This Row],[Ticker]], dim_company[], 3, FALSE)</f>
        <v>Financials</v>
      </c>
    </row>
    <row r="678" spans="1:14" x14ac:dyDescent="0.3">
      <c r="A678" s="1">
        <v>45733</v>
      </c>
      <c r="B678">
        <v>228.06256103515625</v>
      </c>
      <c r="C678">
        <v>229.75892371378129</v>
      </c>
      <c r="D678">
        <v>224.67960925467645</v>
      </c>
      <c r="E678">
        <v>225.38153653003468</v>
      </c>
      <c r="F678">
        <v>9586000</v>
      </c>
      <c r="G678" s="2" t="s">
        <v>13</v>
      </c>
      <c r="H678">
        <v>0.64102961206664588</v>
      </c>
      <c r="I678">
        <v>113.9920313997111</v>
      </c>
      <c r="J678">
        <v>250.60883911132814</v>
      </c>
      <c r="K678">
        <v>1.8034181358413348</v>
      </c>
      <c r="L678">
        <v>0</v>
      </c>
      <c r="M678" t="str">
        <f>VLOOKUP(fact_daily_prices[[#This Row],[Ticker]], dim_company[], 2, FALSE)</f>
        <v>JPMorgan Chase &amp; Co.</v>
      </c>
      <c r="N678" t="str">
        <f>VLOOKUP(fact_daily_prices[[#This Row],[Ticker]], dim_company[], 3, FALSE)</f>
        <v>Financials</v>
      </c>
    </row>
    <row r="679" spans="1:14" x14ac:dyDescent="0.3">
      <c r="A679" s="1">
        <v>45734</v>
      </c>
      <c r="B679">
        <v>229.07646179199219</v>
      </c>
      <c r="C679">
        <v>230.24636030514881</v>
      </c>
      <c r="D679">
        <v>227.66283380209185</v>
      </c>
      <c r="E679">
        <v>228.44277110288519</v>
      </c>
      <c r="F679">
        <v>10344900</v>
      </c>
      <c r="G679" s="2" t="s">
        <v>13</v>
      </c>
      <c r="H679">
        <v>0.44457132825042045</v>
      </c>
      <c r="I679">
        <v>114.49880728780444</v>
      </c>
      <c r="J679">
        <v>250.53480621337891</v>
      </c>
      <c r="K679">
        <v>1.809982983993017</v>
      </c>
      <c r="L679">
        <v>0</v>
      </c>
      <c r="M679" t="str">
        <f>VLOOKUP(fact_daily_prices[[#This Row],[Ticker]], dim_company[], 2, FALSE)</f>
        <v>JPMorgan Chase &amp; Co.</v>
      </c>
      <c r="N679" t="str">
        <f>VLOOKUP(fact_daily_prices[[#This Row],[Ticker]], dim_company[], 3, FALSE)</f>
        <v>Financials</v>
      </c>
    </row>
    <row r="680" spans="1:14" x14ac:dyDescent="0.3">
      <c r="A680" s="1">
        <v>45735</v>
      </c>
      <c r="B680">
        <v>233.11262512207031</v>
      </c>
      <c r="C680">
        <v>236.2518620236568</v>
      </c>
      <c r="D680">
        <v>228.99847029765743</v>
      </c>
      <c r="E680">
        <v>229.82715648248669</v>
      </c>
      <c r="F680">
        <v>10120600</v>
      </c>
      <c r="G680" s="2" t="s">
        <v>13</v>
      </c>
      <c r="H680">
        <v>1.761928440183036</v>
      </c>
      <c r="I680">
        <v>116.51619433707863</v>
      </c>
      <c r="J680">
        <v>250.47787048339845</v>
      </c>
      <c r="K680">
        <v>1.847263416260738</v>
      </c>
      <c r="L680">
        <v>0</v>
      </c>
      <c r="M680" t="str">
        <f>VLOOKUP(fact_daily_prices[[#This Row],[Ticker]], dim_company[], 2, FALSE)</f>
        <v>JPMorgan Chase &amp; Co.</v>
      </c>
      <c r="N680" t="str">
        <f>VLOOKUP(fact_daily_prices[[#This Row],[Ticker]], dim_company[], 3, FALSE)</f>
        <v>Financials</v>
      </c>
    </row>
    <row r="681" spans="1:14" x14ac:dyDescent="0.3">
      <c r="A681" s="1">
        <v>45736</v>
      </c>
      <c r="B681">
        <v>233.01512145996091</v>
      </c>
      <c r="C681">
        <v>235.69614567962623</v>
      </c>
      <c r="D681">
        <v>230.27560454658268</v>
      </c>
      <c r="E681">
        <v>230.626575584927</v>
      </c>
      <c r="F681">
        <v>8328500</v>
      </c>
      <c r="G681" s="2" t="s">
        <v>13</v>
      </c>
      <c r="H681">
        <v>-4.182684745553944E-2</v>
      </c>
      <c r="I681">
        <v>116.46745928621228</v>
      </c>
      <c r="J681">
        <v>250.44199279785155</v>
      </c>
      <c r="K681">
        <v>1.8323011630450157</v>
      </c>
      <c r="L681">
        <v>0</v>
      </c>
      <c r="M681" t="str">
        <f>VLOOKUP(fact_daily_prices[[#This Row],[Ticker]], dim_company[], 2, FALSE)</f>
        <v>JPMorgan Chase &amp; Co.</v>
      </c>
      <c r="N681" t="str">
        <f>VLOOKUP(fact_daily_prices[[#This Row],[Ticker]], dim_company[], 3, FALSE)</f>
        <v>Financials</v>
      </c>
    </row>
    <row r="682" spans="1:14" x14ac:dyDescent="0.3">
      <c r="A682" s="1">
        <v>45737</v>
      </c>
      <c r="B682">
        <v>235.5694274902344</v>
      </c>
      <c r="C682">
        <v>236.22262072736771</v>
      </c>
      <c r="D682">
        <v>230.5680936788464</v>
      </c>
      <c r="E682">
        <v>231.8452338048883</v>
      </c>
      <c r="F682">
        <v>19326900</v>
      </c>
      <c r="G682" s="2" t="s">
        <v>13</v>
      </c>
      <c r="H682">
        <v>1.0961975404297553</v>
      </c>
      <c r="I682">
        <v>117.74417271030875</v>
      </c>
      <c r="J682">
        <v>250.41196533203126</v>
      </c>
      <c r="K682">
        <v>1.7788166622535579</v>
      </c>
      <c r="L682">
        <v>0</v>
      </c>
      <c r="M682" t="str">
        <f>VLOOKUP(fact_daily_prices[[#This Row],[Ticker]], dim_company[], 2, FALSE)</f>
        <v>JPMorgan Chase &amp; Co.</v>
      </c>
      <c r="N682" t="str">
        <f>VLOOKUP(fact_daily_prices[[#This Row],[Ticker]], dim_company[], 3, FALSE)</f>
        <v>Financials</v>
      </c>
    </row>
    <row r="683" spans="1:14" x14ac:dyDescent="0.3">
      <c r="A683" s="1">
        <v>45740</v>
      </c>
      <c r="B683">
        <v>241.83816528320313</v>
      </c>
      <c r="C683">
        <v>242.4523684053444</v>
      </c>
      <c r="D683">
        <v>238.27972040733329</v>
      </c>
      <c r="E683">
        <v>239.3228749688017</v>
      </c>
      <c r="F683">
        <v>9422700</v>
      </c>
      <c r="G683" s="2" t="s">
        <v>13</v>
      </c>
      <c r="H683">
        <v>2.6610998972812716</v>
      </c>
      <c r="I683">
        <v>120.87746276935746</v>
      </c>
      <c r="J683">
        <v>250.5080923461914</v>
      </c>
      <c r="K683">
        <v>1.8666814810231125</v>
      </c>
      <c r="L683">
        <v>0</v>
      </c>
      <c r="M683" t="str">
        <f>VLOOKUP(fact_daily_prices[[#This Row],[Ticker]], dim_company[], 2, FALSE)</f>
        <v>JPMorgan Chase &amp; Co.</v>
      </c>
      <c r="N683" t="str">
        <f>VLOOKUP(fact_daily_prices[[#This Row],[Ticker]], dim_company[], 3, FALSE)</f>
        <v>Financials</v>
      </c>
    </row>
    <row r="684" spans="1:14" x14ac:dyDescent="0.3">
      <c r="A684" s="1">
        <v>45741</v>
      </c>
      <c r="B684">
        <v>244.8311462402344</v>
      </c>
      <c r="C684">
        <v>245.50384199682816</v>
      </c>
      <c r="D684">
        <v>241.40917476122533</v>
      </c>
      <c r="E684">
        <v>243.0567884546642</v>
      </c>
      <c r="F684">
        <v>9287700</v>
      </c>
      <c r="G684" s="2" t="s">
        <v>13</v>
      </c>
      <c r="H684">
        <v>1.2375966190143695</v>
      </c>
      <c r="I684">
        <v>122.37343816174138</v>
      </c>
      <c r="J684">
        <v>250.72764404296876</v>
      </c>
      <c r="K684">
        <v>1.8689902699238161</v>
      </c>
      <c r="L684">
        <v>0</v>
      </c>
      <c r="M684" t="str">
        <f>VLOOKUP(fact_daily_prices[[#This Row],[Ticker]], dim_company[], 2, FALSE)</f>
        <v>JPMorgan Chase &amp; Co.</v>
      </c>
      <c r="N684" t="str">
        <f>VLOOKUP(fact_daily_prices[[#This Row],[Ticker]], dim_company[], 3, FALSE)</f>
        <v>Financials</v>
      </c>
    </row>
    <row r="685" spans="1:14" x14ac:dyDescent="0.3">
      <c r="A685" s="1">
        <v>45742</v>
      </c>
      <c r="B685">
        <v>244.73367309570313</v>
      </c>
      <c r="C685">
        <v>248.28237414747659</v>
      </c>
      <c r="D685">
        <v>243.51502555215359</v>
      </c>
      <c r="E685">
        <v>246.26430155091427</v>
      </c>
      <c r="F685">
        <v>12779300</v>
      </c>
      <c r="G685" s="2" t="s">
        <v>13</v>
      </c>
      <c r="H685">
        <v>-3.9812395615557161E-2</v>
      </c>
      <c r="I685">
        <v>122.32471836441205</v>
      </c>
      <c r="J685">
        <v>250.86062316894532</v>
      </c>
      <c r="K685">
        <v>1.8419827085969878</v>
      </c>
      <c r="L685">
        <v>0</v>
      </c>
      <c r="M685" t="str">
        <f>VLOOKUP(fact_daily_prices[[#This Row],[Ticker]], dim_company[], 2, FALSE)</f>
        <v>JPMorgan Chase &amp; Co.</v>
      </c>
      <c r="N685" t="str">
        <f>VLOOKUP(fact_daily_prices[[#This Row],[Ticker]], dim_company[], 3, FALSE)</f>
        <v>Financials</v>
      </c>
    </row>
    <row r="686" spans="1:14" x14ac:dyDescent="0.3">
      <c r="A686" s="1">
        <v>45743</v>
      </c>
      <c r="B686">
        <v>241.89663696289065</v>
      </c>
      <c r="C686">
        <v>244.35343436187699</v>
      </c>
      <c r="D686">
        <v>240.9802117098364</v>
      </c>
      <c r="E686">
        <v>243.271274842472</v>
      </c>
      <c r="F686">
        <v>8022500</v>
      </c>
      <c r="G686" s="2" t="s">
        <v>13</v>
      </c>
      <c r="H686">
        <v>-1.159234075526272</v>
      </c>
      <c r="I686">
        <v>120.90668854634023</v>
      </c>
      <c r="J686">
        <v>250.87329681396486</v>
      </c>
      <c r="K686">
        <v>1.8466210355848132</v>
      </c>
      <c r="L686">
        <v>0</v>
      </c>
      <c r="M686" t="str">
        <f>VLOOKUP(fact_daily_prices[[#This Row],[Ticker]], dim_company[], 2, FALSE)</f>
        <v>JPMorgan Chase &amp; Co.</v>
      </c>
      <c r="N686" t="str">
        <f>VLOOKUP(fact_daily_prices[[#This Row],[Ticker]], dim_company[], 3, FALSE)</f>
        <v>Financials</v>
      </c>
    </row>
    <row r="687" spans="1:14" x14ac:dyDescent="0.3">
      <c r="A687" s="1">
        <v>45744</v>
      </c>
      <c r="B687">
        <v>236.75883483886719</v>
      </c>
      <c r="C687">
        <v>243.25177720979863</v>
      </c>
      <c r="D687">
        <v>235.06247221658609</v>
      </c>
      <c r="E687">
        <v>240.7462457637879</v>
      </c>
      <c r="F687">
        <v>11978400</v>
      </c>
      <c r="G687" s="2" t="s">
        <v>13</v>
      </c>
      <c r="H687">
        <v>-2.1239659172325176</v>
      </c>
      <c r="I687">
        <v>118.3386716899615</v>
      </c>
      <c r="J687">
        <v>250.68806274414064</v>
      </c>
      <c r="K687">
        <v>1.8707161044303271</v>
      </c>
      <c r="L687">
        <v>0</v>
      </c>
      <c r="M687" t="str">
        <f>VLOOKUP(fact_daily_prices[[#This Row],[Ticker]], dim_company[], 2, FALSE)</f>
        <v>JPMorgan Chase &amp; Co.</v>
      </c>
      <c r="N687" t="str">
        <f>VLOOKUP(fact_daily_prices[[#This Row],[Ticker]], dim_company[], 3, FALSE)</f>
        <v>Financials</v>
      </c>
    </row>
    <row r="688" spans="1:14" x14ac:dyDescent="0.3">
      <c r="A688" s="1">
        <v>45747</v>
      </c>
      <c r="B688">
        <v>239.14738464355469</v>
      </c>
      <c r="C688">
        <v>239.6933363348648</v>
      </c>
      <c r="D688">
        <v>231.40653346417213</v>
      </c>
      <c r="E688">
        <v>233.4051183081998</v>
      </c>
      <c r="F688">
        <v>13603000</v>
      </c>
      <c r="G688" s="2" t="s">
        <v>13</v>
      </c>
      <c r="H688">
        <v>1.0088535054301628</v>
      </c>
      <c r="I688">
        <v>119.53253552758515</v>
      </c>
      <c r="J688">
        <v>250.51316223144531</v>
      </c>
      <c r="K688">
        <v>1.8866121324383243</v>
      </c>
      <c r="L688">
        <v>0</v>
      </c>
      <c r="M688" t="str">
        <f>VLOOKUP(fact_daily_prices[[#This Row],[Ticker]], dim_company[], 2, FALSE)</f>
        <v>JPMorgan Chase &amp; Co.</v>
      </c>
      <c r="N688" t="str">
        <f>VLOOKUP(fact_daily_prices[[#This Row],[Ticker]], dim_company[], 3, FALSE)</f>
        <v>Financials</v>
      </c>
    </row>
    <row r="689" spans="1:14" x14ac:dyDescent="0.3">
      <c r="A689" s="1">
        <v>45748</v>
      </c>
      <c r="B689">
        <v>237.54852294921875</v>
      </c>
      <c r="C689">
        <v>239.52760529495905</v>
      </c>
      <c r="D689">
        <v>234.8382521050207</v>
      </c>
      <c r="E689">
        <v>236.53459990075919</v>
      </c>
      <c r="F689">
        <v>8054700</v>
      </c>
      <c r="G689" s="2" t="s">
        <v>13</v>
      </c>
      <c r="H689">
        <v>-0.66856750146735422</v>
      </c>
      <c r="I689">
        <v>118.73337984136781</v>
      </c>
      <c r="J689">
        <v>250.2109375</v>
      </c>
      <c r="K689">
        <v>1.8628294206752978</v>
      </c>
      <c r="L689">
        <v>0</v>
      </c>
      <c r="M689" t="str">
        <f>VLOOKUP(fact_daily_prices[[#This Row],[Ticker]], dim_company[], 2, FALSE)</f>
        <v>JPMorgan Chase &amp; Co.</v>
      </c>
      <c r="N689" t="str">
        <f>VLOOKUP(fact_daily_prices[[#This Row],[Ticker]], dim_company[], 3, FALSE)</f>
        <v>Financials</v>
      </c>
    </row>
    <row r="690" spans="1:14" x14ac:dyDescent="0.3">
      <c r="A690" s="1">
        <v>45749</v>
      </c>
      <c r="B690">
        <v>239.65434265136719</v>
      </c>
      <c r="C690">
        <v>241.04846820868451</v>
      </c>
      <c r="D690">
        <v>235.40369970489931</v>
      </c>
      <c r="E690">
        <v>235.54018762572809</v>
      </c>
      <c r="F690">
        <v>7758800</v>
      </c>
      <c r="G690" s="2" t="s">
        <v>13</v>
      </c>
      <c r="H690">
        <v>0.88647981305216561</v>
      </c>
      <c r="I690">
        <v>119.78592728501609</v>
      </c>
      <c r="J690">
        <v>249.87537200927736</v>
      </c>
      <c r="K690">
        <v>1.8784183929005411</v>
      </c>
      <c r="L690">
        <v>0</v>
      </c>
      <c r="M690" t="str">
        <f>VLOOKUP(fact_daily_prices[[#This Row],[Ticker]], dim_company[], 2, FALSE)</f>
        <v>JPMorgan Chase &amp; Co.</v>
      </c>
      <c r="N690" t="str">
        <f>VLOOKUP(fact_daily_prices[[#This Row],[Ticker]], dim_company[], 3, FALSE)</f>
        <v>Financials</v>
      </c>
    </row>
    <row r="691" spans="1:14" x14ac:dyDescent="0.3">
      <c r="A691" s="1">
        <v>45750</v>
      </c>
      <c r="B691">
        <v>222.9539794921875</v>
      </c>
      <c r="C691">
        <v>229.24219704420537</v>
      </c>
      <c r="D691">
        <v>221.59884419066404</v>
      </c>
      <c r="E691">
        <v>228.39402322180391</v>
      </c>
      <c r="F691">
        <v>17188500</v>
      </c>
      <c r="G691" s="2" t="s">
        <v>13</v>
      </c>
      <c r="H691">
        <v>-6.9685209850230967</v>
      </c>
      <c r="I691">
        <v>111.43861980505523</v>
      </c>
      <c r="J691">
        <v>249.20950225830077</v>
      </c>
      <c r="K691">
        <v>2.1070941006032178</v>
      </c>
      <c r="L691">
        <v>0</v>
      </c>
      <c r="M691" t="str">
        <f>VLOOKUP(fact_daily_prices[[#This Row],[Ticker]], dim_company[], 2, FALSE)</f>
        <v>JPMorgan Chase &amp; Co.</v>
      </c>
      <c r="N691" t="str">
        <f>VLOOKUP(fact_daily_prices[[#This Row],[Ticker]], dim_company[], 3, FALSE)</f>
        <v>Financials</v>
      </c>
    </row>
    <row r="692" spans="1:14" x14ac:dyDescent="0.3">
      <c r="A692" s="1">
        <v>45751</v>
      </c>
      <c r="B692">
        <v>206.26849365234369</v>
      </c>
      <c r="C692">
        <v>213.54694074239663</v>
      </c>
      <c r="D692">
        <v>204.94424157411399</v>
      </c>
      <c r="E692">
        <v>211.20253529825251</v>
      </c>
      <c r="F692">
        <v>27170700</v>
      </c>
      <c r="G692" s="2" t="s">
        <v>13</v>
      </c>
      <c r="H692">
        <v>-7.4838250825787433</v>
      </c>
      <c r="I692">
        <v>103.09874842440495</v>
      </c>
      <c r="J692">
        <v>248.14928314208984</v>
      </c>
      <c r="K692">
        <v>2.463680982050386</v>
      </c>
      <c r="L692">
        <v>1</v>
      </c>
      <c r="M692" t="str">
        <f>VLOOKUP(fact_daily_prices[[#This Row],[Ticker]], dim_company[], 2, FALSE)</f>
        <v>JPMorgan Chase &amp; Co.</v>
      </c>
      <c r="N692" t="str">
        <f>VLOOKUP(fact_daily_prices[[#This Row],[Ticker]], dim_company[], 3, FALSE)</f>
        <v>Financials</v>
      </c>
    </row>
    <row r="693" spans="1:14" x14ac:dyDescent="0.3">
      <c r="A693" s="1">
        <v>45754</v>
      </c>
      <c r="B693">
        <v>210.34912109375</v>
      </c>
      <c r="C693">
        <v>217.81394538812447</v>
      </c>
      <c r="D693">
        <v>198.30338839066803</v>
      </c>
      <c r="E693">
        <v>201.84452086077627</v>
      </c>
      <c r="F693">
        <v>22914400</v>
      </c>
      <c r="G693" s="2" t="s">
        <v>13</v>
      </c>
      <c r="H693">
        <v>1.9783086447918707</v>
      </c>
      <c r="I693">
        <v>105.13835987715719</v>
      </c>
      <c r="J693">
        <v>247.19231964111327</v>
      </c>
      <c r="K693">
        <v>2.5104721282754427</v>
      </c>
      <c r="L693">
        <v>0</v>
      </c>
      <c r="M693" t="str">
        <f>VLOOKUP(fact_daily_prices[[#This Row],[Ticker]], dim_company[], 2, FALSE)</f>
        <v>JPMorgan Chase &amp; Co.</v>
      </c>
      <c r="N693" t="str">
        <f>VLOOKUP(fact_daily_prices[[#This Row],[Ticker]], dim_company[], 3, FALSE)</f>
        <v>Financials</v>
      </c>
    </row>
    <row r="694" spans="1:14" x14ac:dyDescent="0.3">
      <c r="A694" s="1">
        <v>45755</v>
      </c>
      <c r="B694">
        <v>212.73275756835929</v>
      </c>
      <c r="C694">
        <v>223.49348363812959</v>
      </c>
      <c r="D694">
        <v>209.18182124244129</v>
      </c>
      <c r="E694">
        <v>219.25590423367711</v>
      </c>
      <c r="F694">
        <v>19485700</v>
      </c>
      <c r="G694" s="2" t="s">
        <v>13</v>
      </c>
      <c r="H694">
        <v>1.13318109541658</v>
      </c>
      <c r="I694">
        <v>106.32976789531617</v>
      </c>
      <c r="J694">
        <v>246.26333587646485</v>
      </c>
      <c r="K694">
        <v>2.5240131694692551</v>
      </c>
      <c r="L694">
        <v>0</v>
      </c>
      <c r="M694" t="str">
        <f>VLOOKUP(fact_daily_prices[[#This Row],[Ticker]], dim_company[], 2, FALSE)</f>
        <v>JPMorgan Chase &amp; Co.</v>
      </c>
      <c r="N694" t="str">
        <f>VLOOKUP(fact_daily_prices[[#This Row],[Ticker]], dim_company[], 3, FALSE)</f>
        <v>Financials</v>
      </c>
    </row>
    <row r="695" spans="1:14" x14ac:dyDescent="0.3">
      <c r="A695" s="1">
        <v>45756</v>
      </c>
      <c r="B695">
        <v>229.86949157714844</v>
      </c>
      <c r="C695">
        <v>232.9495891897229</v>
      </c>
      <c r="D695">
        <v>206.97475241419519</v>
      </c>
      <c r="E695">
        <v>208.4461369100307</v>
      </c>
      <c r="F695">
        <v>24022400</v>
      </c>
      <c r="G695" s="2" t="s">
        <v>13</v>
      </c>
      <c r="H695">
        <v>8.0555219631760053</v>
      </c>
      <c r="I695">
        <v>114.89518570151742</v>
      </c>
      <c r="J695">
        <v>245.65193359374999</v>
      </c>
      <c r="K695">
        <v>2.9667381784796567</v>
      </c>
      <c r="L695">
        <v>0</v>
      </c>
      <c r="M695" t="str">
        <f>VLOOKUP(fact_daily_prices[[#This Row],[Ticker]], dim_company[], 2, FALSE)</f>
        <v>JPMorgan Chase &amp; Co.</v>
      </c>
      <c r="N695" t="str">
        <f>VLOOKUP(fact_daily_prices[[#This Row],[Ticker]], dim_company[], 3, FALSE)</f>
        <v>Financials</v>
      </c>
    </row>
    <row r="696" spans="1:14" x14ac:dyDescent="0.3">
      <c r="A696" s="1">
        <v>45757</v>
      </c>
      <c r="B696">
        <v>222.77742004394531</v>
      </c>
      <c r="C696">
        <v>225.9556159083084</v>
      </c>
      <c r="D696">
        <v>215.90115529753081</v>
      </c>
      <c r="E696">
        <v>225.6122868759835</v>
      </c>
      <c r="F696">
        <v>18896400</v>
      </c>
      <c r="G696" s="2" t="s">
        <v>13</v>
      </c>
      <c r="H696">
        <v>-3.0852600249576367</v>
      </c>
      <c r="I696">
        <v>111.35037046646768</v>
      </c>
      <c r="J696">
        <v>244.90960906982423</v>
      </c>
      <c r="K696">
        <v>3.0098331994606746</v>
      </c>
      <c r="L696">
        <v>0</v>
      </c>
      <c r="M696" t="str">
        <f>VLOOKUP(fact_daily_prices[[#This Row],[Ticker]], dim_company[], 2, FALSE)</f>
        <v>JPMorgan Chase &amp; Co.</v>
      </c>
      <c r="N696" t="str">
        <f>VLOOKUP(fact_daily_prices[[#This Row],[Ticker]], dim_company[], 3, FALSE)</f>
        <v>Financials</v>
      </c>
    </row>
    <row r="697" spans="1:14" x14ac:dyDescent="0.3">
      <c r="A697" s="1">
        <v>45758</v>
      </c>
      <c r="B697">
        <v>231.69400024414065</v>
      </c>
      <c r="C697">
        <v>234.02860167946685</v>
      </c>
      <c r="D697">
        <v>220.70766608161719</v>
      </c>
      <c r="E697">
        <v>221.99267276486097</v>
      </c>
      <c r="F697">
        <v>20284500</v>
      </c>
      <c r="G697" s="2" t="s">
        <v>13</v>
      </c>
      <c r="H697">
        <v>4.0024613798097075</v>
      </c>
      <c r="I697">
        <v>115.80712604066305</v>
      </c>
      <c r="J697">
        <v>244.3134439086914</v>
      </c>
      <c r="K697">
        <v>3.0812068715937344</v>
      </c>
      <c r="L697">
        <v>0</v>
      </c>
      <c r="M697" t="str">
        <f>VLOOKUP(fact_daily_prices[[#This Row],[Ticker]], dim_company[], 2, FALSE)</f>
        <v>JPMorgan Chase &amp; Co.</v>
      </c>
      <c r="N697" t="str">
        <f>VLOOKUP(fact_daily_prices[[#This Row],[Ticker]], dim_company[], 3, FALSE)</f>
        <v>Financials</v>
      </c>
    </row>
    <row r="698" spans="1:14" x14ac:dyDescent="0.3">
      <c r="A698" s="1">
        <v>45761</v>
      </c>
      <c r="B698">
        <v>230.24224853515625</v>
      </c>
      <c r="C698">
        <v>235.20571653709089</v>
      </c>
      <c r="D698">
        <v>229.17304605379189</v>
      </c>
      <c r="E698">
        <v>232.57685007270544</v>
      </c>
      <c r="F698">
        <v>13017800</v>
      </c>
      <c r="G698" s="2" t="s">
        <v>13</v>
      </c>
      <c r="H698">
        <v>-0.62658148569003647</v>
      </c>
      <c r="I698">
        <v>115.08150002978255</v>
      </c>
      <c r="J698">
        <v>243.70637786865234</v>
      </c>
      <c r="K698">
        <v>3.0733965318514254</v>
      </c>
      <c r="L698">
        <v>0</v>
      </c>
      <c r="M698" t="str">
        <f>VLOOKUP(fact_daily_prices[[#This Row],[Ticker]], dim_company[], 2, FALSE)</f>
        <v>JPMorgan Chase &amp; Co.</v>
      </c>
      <c r="N698" t="str">
        <f>VLOOKUP(fact_daily_prices[[#This Row],[Ticker]], dim_company[], 3, FALSE)</f>
        <v>Financials</v>
      </c>
    </row>
    <row r="699" spans="1:14" x14ac:dyDescent="0.3">
      <c r="A699" s="1">
        <v>45762</v>
      </c>
      <c r="B699">
        <v>228.68260192871091</v>
      </c>
      <c r="C699">
        <v>234.09728654169723</v>
      </c>
      <c r="D699">
        <v>228.37851816940929</v>
      </c>
      <c r="E699">
        <v>231.59594466733969</v>
      </c>
      <c r="F699">
        <v>10912900</v>
      </c>
      <c r="G699" s="2" t="s">
        <v>13</v>
      </c>
      <c r="H699">
        <v>-0.67739375217541475</v>
      </c>
      <c r="I699">
        <v>114.30194513867104</v>
      </c>
      <c r="J699">
        <v>243.07767333984376</v>
      </c>
      <c r="K699">
        <v>2.9945484736044037</v>
      </c>
      <c r="L699">
        <v>0</v>
      </c>
      <c r="M699" t="str">
        <f>VLOOKUP(fact_daily_prices[[#This Row],[Ticker]], dim_company[], 2, FALSE)</f>
        <v>JPMorgan Chase &amp; Co.</v>
      </c>
      <c r="N699" t="str">
        <f>VLOOKUP(fact_daily_prices[[#This Row],[Ticker]], dim_company[], 3, FALSE)</f>
        <v>Financials</v>
      </c>
    </row>
    <row r="700" spans="1:14" x14ac:dyDescent="0.3">
      <c r="A700" s="1">
        <v>45763</v>
      </c>
      <c r="B700">
        <v>225.229736328125</v>
      </c>
      <c r="C700">
        <v>229.12400193408479</v>
      </c>
      <c r="D700">
        <v>223.58177786322105</v>
      </c>
      <c r="E700">
        <v>227.57414175874209</v>
      </c>
      <c r="F700">
        <v>9322300</v>
      </c>
      <c r="G700" s="2" t="s">
        <v>13</v>
      </c>
      <c r="H700">
        <v>-1.5098943126693576</v>
      </c>
      <c r="I700">
        <v>112.57610656975181</v>
      </c>
      <c r="J700">
        <v>242.35787719726562</v>
      </c>
      <c r="K700">
        <v>3.0013747249268876</v>
      </c>
      <c r="L700">
        <v>0</v>
      </c>
      <c r="M700" t="str">
        <f>VLOOKUP(fact_daily_prices[[#This Row],[Ticker]], dim_company[], 2, FALSE)</f>
        <v>JPMorgan Chase &amp; Co.</v>
      </c>
      <c r="N700" t="str">
        <f>VLOOKUP(fact_daily_prices[[#This Row],[Ticker]], dim_company[], 3, FALSE)</f>
        <v>Financials</v>
      </c>
    </row>
    <row r="701" spans="1:14" x14ac:dyDescent="0.3">
      <c r="A701" s="1">
        <v>45764</v>
      </c>
      <c r="B701">
        <v>227.534912109375</v>
      </c>
      <c r="C701">
        <v>229.86949873745439</v>
      </c>
      <c r="D701">
        <v>226.15180704795927</v>
      </c>
      <c r="E701">
        <v>226.39703780490407</v>
      </c>
      <c r="F701">
        <v>9557900</v>
      </c>
      <c r="G701" s="2" t="s">
        <v>13</v>
      </c>
      <c r="H701">
        <v>1.0234775473393576</v>
      </c>
      <c r="I701">
        <v>113.72829774416205</v>
      </c>
      <c r="J701">
        <v>241.63563415527344</v>
      </c>
      <c r="K701">
        <v>2.9913028317890777</v>
      </c>
      <c r="L701">
        <v>0</v>
      </c>
      <c r="M701" t="str">
        <f>VLOOKUP(fact_daily_prices[[#This Row],[Ticker]], dim_company[], 2, FALSE)</f>
        <v>JPMorgan Chase &amp; Co.</v>
      </c>
      <c r="N701" t="str">
        <f>VLOOKUP(fact_daily_prices[[#This Row],[Ticker]], dim_company[], 3, FALSE)</f>
        <v>Financials</v>
      </c>
    </row>
    <row r="702" spans="1:14" x14ac:dyDescent="0.3">
      <c r="A702" s="1">
        <v>45768</v>
      </c>
      <c r="B702">
        <v>224.62156677246091</v>
      </c>
      <c r="C702">
        <v>227.38776189376563</v>
      </c>
      <c r="D702">
        <v>222.02211180001825</v>
      </c>
      <c r="E702">
        <v>226.23027991963681</v>
      </c>
      <c r="F702">
        <v>8716200</v>
      </c>
      <c r="G702" s="2" t="s">
        <v>13</v>
      </c>
      <c r="H702">
        <v>-1.2803948677175603</v>
      </c>
      <c r="I702">
        <v>112.27212645670326</v>
      </c>
      <c r="J702">
        <v>240.72897003173827</v>
      </c>
      <c r="K702">
        <v>2.9842133105358366</v>
      </c>
      <c r="L702">
        <v>0</v>
      </c>
      <c r="M702" t="str">
        <f>VLOOKUP(fact_daily_prices[[#This Row],[Ticker]], dim_company[], 2, FALSE)</f>
        <v>JPMorgan Chase &amp; Co.</v>
      </c>
      <c r="N702" t="str">
        <f>VLOOKUP(fact_daily_prices[[#This Row],[Ticker]], dim_company[], 3, FALSE)</f>
        <v>Financials</v>
      </c>
    </row>
    <row r="703" spans="1:14" x14ac:dyDescent="0.3">
      <c r="A703" s="1">
        <v>45769</v>
      </c>
      <c r="B703">
        <v>231.09564208984369</v>
      </c>
      <c r="C703">
        <v>231.48802026386079</v>
      </c>
      <c r="D703">
        <v>226.95614590207009</v>
      </c>
      <c r="E703">
        <v>227.55450952071121</v>
      </c>
      <c r="F703">
        <v>10701400</v>
      </c>
      <c r="G703" s="2" t="s">
        <v>13</v>
      </c>
      <c r="H703">
        <v>2.8822144776244674</v>
      </c>
      <c r="I703">
        <v>115.50804993977522</v>
      </c>
      <c r="J703">
        <v>239.9732357788086</v>
      </c>
      <c r="K703">
        <v>2.9327143043198274</v>
      </c>
      <c r="L703">
        <v>0</v>
      </c>
      <c r="M703" t="str">
        <f>VLOOKUP(fact_daily_prices[[#This Row],[Ticker]], dim_company[], 2, FALSE)</f>
        <v>JPMorgan Chase &amp; Co.</v>
      </c>
      <c r="N703" t="str">
        <f>VLOOKUP(fact_daily_prices[[#This Row],[Ticker]], dim_company[], 3, FALSE)</f>
        <v>Financials</v>
      </c>
    </row>
    <row r="704" spans="1:14" x14ac:dyDescent="0.3">
      <c r="A704" s="1">
        <v>45770</v>
      </c>
      <c r="B704">
        <v>236.28472900390625</v>
      </c>
      <c r="C704">
        <v>242.08197236154456</v>
      </c>
      <c r="D704">
        <v>235.42151200356361</v>
      </c>
      <c r="E704">
        <v>235.63731625364929</v>
      </c>
      <c r="F704">
        <v>8398700</v>
      </c>
      <c r="G704" s="2" t="s">
        <v>13</v>
      </c>
      <c r="H704">
        <v>2.2454282855083774</v>
      </c>
      <c r="I704">
        <v>118.10170036516207</v>
      </c>
      <c r="J704">
        <v>239.4140951538086</v>
      </c>
      <c r="K704">
        <v>2.9448541884089399</v>
      </c>
      <c r="L704">
        <v>0</v>
      </c>
      <c r="M704" t="str">
        <f>VLOOKUP(fact_daily_prices[[#This Row],[Ticker]], dim_company[], 2, FALSE)</f>
        <v>JPMorgan Chase &amp; Co.</v>
      </c>
      <c r="N704" t="str">
        <f>VLOOKUP(fact_daily_prices[[#This Row],[Ticker]], dim_company[], 3, FALSE)</f>
        <v>Financials</v>
      </c>
    </row>
    <row r="705" spans="1:14" x14ac:dyDescent="0.3">
      <c r="A705" s="1">
        <v>45771</v>
      </c>
      <c r="B705">
        <v>239.97300720214844</v>
      </c>
      <c r="C705">
        <v>240.78717510551016</v>
      </c>
      <c r="D705">
        <v>233.04769307035289</v>
      </c>
      <c r="E705">
        <v>235.16649038746075</v>
      </c>
      <c r="F705">
        <v>9055200</v>
      </c>
      <c r="G705" s="2" t="s">
        <v>13</v>
      </c>
      <c r="H705">
        <v>1.5609464961153785</v>
      </c>
      <c r="I705">
        <v>119.94520471886474</v>
      </c>
      <c r="J705">
        <v>238.85170166015624</v>
      </c>
      <c r="K705">
        <v>2.9508896956831396</v>
      </c>
      <c r="L705">
        <v>0</v>
      </c>
      <c r="M705" t="str">
        <f>VLOOKUP(fact_daily_prices[[#This Row],[Ticker]], dim_company[], 2, FALSE)</f>
        <v>JPMorgan Chase &amp; Co.</v>
      </c>
      <c r="N705" t="str">
        <f>VLOOKUP(fact_daily_prices[[#This Row],[Ticker]], dim_company[], 3, FALSE)</f>
        <v>Financials</v>
      </c>
    </row>
    <row r="706" spans="1:14" x14ac:dyDescent="0.3">
      <c r="A706" s="1">
        <v>45772</v>
      </c>
      <c r="B706">
        <v>238.90380859375</v>
      </c>
      <c r="C706">
        <v>240.9343114966176</v>
      </c>
      <c r="D706">
        <v>237.13814413406232</v>
      </c>
      <c r="E706">
        <v>239.98281495355519</v>
      </c>
      <c r="F706">
        <v>8588600</v>
      </c>
      <c r="G706" s="2" t="s">
        <v>13</v>
      </c>
      <c r="H706">
        <v>-0.44554953111779483</v>
      </c>
      <c r="I706">
        <v>119.41078942164157</v>
      </c>
      <c r="J706">
        <v>238.25895568847656</v>
      </c>
      <c r="K706">
        <v>2.941061639749829</v>
      </c>
      <c r="L706">
        <v>0</v>
      </c>
      <c r="M706" t="str">
        <f>VLOOKUP(fact_daily_prices[[#This Row],[Ticker]], dim_company[], 2, FALSE)</f>
        <v>JPMorgan Chase &amp; Co.</v>
      </c>
      <c r="N706" t="str">
        <f>VLOOKUP(fact_daily_prices[[#This Row],[Ticker]], dim_company[], 3, FALSE)</f>
        <v>Financials</v>
      </c>
    </row>
    <row r="707" spans="1:14" x14ac:dyDescent="0.3">
      <c r="A707" s="1">
        <v>45775</v>
      </c>
      <c r="B707">
        <v>238.58009338378903</v>
      </c>
      <c r="C707">
        <v>242.13102985600685</v>
      </c>
      <c r="D707">
        <v>236.24549185288936</v>
      </c>
      <c r="E707">
        <v>239.894526612238</v>
      </c>
      <c r="F707">
        <v>7394300</v>
      </c>
      <c r="G707" s="2" t="s">
        <v>13</v>
      </c>
      <c r="H707">
        <v>-0.13550022993205069</v>
      </c>
      <c r="I707">
        <v>119.24898752741156</v>
      </c>
      <c r="J707">
        <v>237.64277130126953</v>
      </c>
      <c r="K707">
        <v>2.8905271574254958</v>
      </c>
      <c r="L707">
        <v>0</v>
      </c>
      <c r="M707" t="str">
        <f>VLOOKUP(fact_daily_prices[[#This Row],[Ticker]], dim_company[], 2, FALSE)</f>
        <v>JPMorgan Chase &amp; Co.</v>
      </c>
      <c r="N707" t="str">
        <f>VLOOKUP(fact_daily_prices[[#This Row],[Ticker]], dim_company[], 3, FALSE)</f>
        <v>Financials</v>
      </c>
    </row>
    <row r="708" spans="1:14" x14ac:dyDescent="0.3">
      <c r="A708" s="1">
        <v>45776</v>
      </c>
      <c r="B708">
        <v>239.953369140625</v>
      </c>
      <c r="C708">
        <v>240.57135539368451</v>
      </c>
      <c r="D708">
        <v>237.07927205884616</v>
      </c>
      <c r="E708">
        <v>237.56973353773239</v>
      </c>
      <c r="F708">
        <v>7216800</v>
      </c>
      <c r="G708" s="2" t="s">
        <v>13</v>
      </c>
      <c r="H708">
        <v>0.5756036630545136</v>
      </c>
      <c r="I708">
        <v>119.93538906777476</v>
      </c>
      <c r="J708">
        <v>237.04878753662109</v>
      </c>
      <c r="K708">
        <v>2.8902173005482421</v>
      </c>
      <c r="L708">
        <v>0</v>
      </c>
      <c r="M708" t="str">
        <f>VLOOKUP(fact_daily_prices[[#This Row],[Ticker]], dim_company[], 2, FALSE)</f>
        <v>JPMorgan Chase &amp; Co.</v>
      </c>
      <c r="N708" t="str">
        <f>VLOOKUP(fact_daily_prices[[#This Row],[Ticker]], dim_company[], 3, FALSE)</f>
        <v>Financials</v>
      </c>
    </row>
    <row r="709" spans="1:14" x14ac:dyDescent="0.3">
      <c r="A709" s="1">
        <v>45777</v>
      </c>
      <c r="B709">
        <v>239.953369140625</v>
      </c>
      <c r="C709">
        <v>240.54192890236703</v>
      </c>
      <c r="D709">
        <v>233.88145363718232</v>
      </c>
      <c r="E709">
        <v>236.6084332300704</v>
      </c>
      <c r="F709">
        <v>12991700</v>
      </c>
      <c r="G709" s="2" t="s">
        <v>13</v>
      </c>
      <c r="H709">
        <v>0</v>
      </c>
      <c r="I709">
        <v>119.93538906777476</v>
      </c>
      <c r="J709">
        <v>236.38928924560548</v>
      </c>
      <c r="K709">
        <v>2.8901141669222827</v>
      </c>
      <c r="L709">
        <v>0</v>
      </c>
      <c r="M709" t="str">
        <f>VLOOKUP(fact_daily_prices[[#This Row],[Ticker]], dim_company[], 2, FALSE)</f>
        <v>JPMorgan Chase &amp; Co.</v>
      </c>
      <c r="N709" t="str">
        <f>VLOOKUP(fact_daily_prices[[#This Row],[Ticker]], dim_company[], 3, FALSE)</f>
        <v>Financials</v>
      </c>
    </row>
    <row r="710" spans="1:14" x14ac:dyDescent="0.3">
      <c r="A710" s="1">
        <v>45778</v>
      </c>
      <c r="B710">
        <v>242.1800842285156</v>
      </c>
      <c r="C710">
        <v>243.71032174753421</v>
      </c>
      <c r="D710">
        <v>237.55012636868136</v>
      </c>
      <c r="E710">
        <v>238.20734299709588</v>
      </c>
      <c r="F710">
        <v>8689600</v>
      </c>
      <c r="G710" s="2" t="s">
        <v>13</v>
      </c>
      <c r="H710">
        <v>0.92797825505239739</v>
      </c>
      <c r="I710">
        <v>121.04836339843618</v>
      </c>
      <c r="J710">
        <v>235.78797454833983</v>
      </c>
      <c r="K710">
        <v>2.87851475239512</v>
      </c>
      <c r="L710">
        <v>0</v>
      </c>
      <c r="M710" t="str">
        <f>VLOOKUP(fact_daily_prices[[#This Row],[Ticker]], dim_company[], 2, FALSE)</f>
        <v>JPMorgan Chase &amp; Co.</v>
      </c>
      <c r="N710" t="str">
        <f>VLOOKUP(fact_daily_prices[[#This Row],[Ticker]], dim_company[], 3, FALSE)</f>
        <v>Financials</v>
      </c>
    </row>
    <row r="711" spans="1:14" x14ac:dyDescent="0.3">
      <c r="A711" s="1">
        <v>45779</v>
      </c>
      <c r="B711">
        <v>247.69287109375</v>
      </c>
      <c r="C711">
        <v>248.78169626532693</v>
      </c>
      <c r="D711">
        <v>244.70106780011497</v>
      </c>
      <c r="E711">
        <v>246.4667172954741</v>
      </c>
      <c r="F711">
        <v>7165000</v>
      </c>
      <c r="G711" s="2" t="s">
        <v>13</v>
      </c>
      <c r="H711">
        <v>2.2763171805790128</v>
      </c>
      <c r="I711">
        <v>123.80380809128451</v>
      </c>
      <c r="J711">
        <v>235.53967010498047</v>
      </c>
      <c r="K711">
        <v>2.9037022289344634</v>
      </c>
      <c r="L711">
        <v>0</v>
      </c>
      <c r="M711" t="str">
        <f>VLOOKUP(fact_daily_prices[[#This Row],[Ticker]], dim_company[], 2, FALSE)</f>
        <v>JPMorgan Chase &amp; Co.</v>
      </c>
      <c r="N711" t="str">
        <f>VLOOKUP(fact_daily_prices[[#This Row],[Ticker]], dim_company[], 3, FALSE)</f>
        <v>Financials</v>
      </c>
    </row>
    <row r="712" spans="1:14" x14ac:dyDescent="0.3">
      <c r="A712" s="1">
        <v>45782</v>
      </c>
      <c r="B712">
        <v>247.74191284179688</v>
      </c>
      <c r="C712">
        <v>250.29231865313628</v>
      </c>
      <c r="D712">
        <v>245.80949331599908</v>
      </c>
      <c r="E712">
        <v>246.38823429925699</v>
      </c>
      <c r="F712">
        <v>5450700</v>
      </c>
      <c r="G712" s="2" t="s">
        <v>13</v>
      </c>
      <c r="H712">
        <v>1.9799418461396989E-2</v>
      </c>
      <c r="I712">
        <v>123.82832052531963</v>
      </c>
      <c r="J712">
        <v>235.34226165771486</v>
      </c>
      <c r="K712">
        <v>2.8994676443248699</v>
      </c>
      <c r="L712">
        <v>0</v>
      </c>
      <c r="M712" t="str">
        <f>VLOOKUP(fact_daily_prices[[#This Row],[Ticker]], dim_company[], 2, FALSE)</f>
        <v>JPMorgan Chase &amp; Co.</v>
      </c>
      <c r="N712" t="str">
        <f>VLOOKUP(fact_daily_prices[[#This Row],[Ticker]], dim_company[], 3, FALSE)</f>
        <v>Financials</v>
      </c>
    </row>
    <row r="713" spans="1:14" x14ac:dyDescent="0.3">
      <c r="A713" s="1">
        <v>45783</v>
      </c>
      <c r="B713">
        <v>244.49505615234369</v>
      </c>
      <c r="C713">
        <v>247.83018834347143</v>
      </c>
      <c r="D713">
        <v>244.2498254039462</v>
      </c>
      <c r="E713">
        <v>245.23074839753639</v>
      </c>
      <c r="F713">
        <v>6369900</v>
      </c>
      <c r="G713" s="2" t="s">
        <v>13</v>
      </c>
      <c r="H713">
        <v>-1.3105802939071376</v>
      </c>
      <c r="I713">
        <v>122.20545095823863</v>
      </c>
      <c r="J713">
        <v>235.13646209716796</v>
      </c>
      <c r="K713">
        <v>2.8742086863660208</v>
      </c>
      <c r="L713">
        <v>0</v>
      </c>
      <c r="M713" t="str">
        <f>VLOOKUP(fact_daily_prices[[#This Row],[Ticker]], dim_company[], 2, FALSE)</f>
        <v>JPMorgan Chase &amp; Co.</v>
      </c>
      <c r="N713" t="str">
        <f>VLOOKUP(fact_daily_prices[[#This Row],[Ticker]], dim_company[], 3, FALSE)</f>
        <v>Financials</v>
      </c>
    </row>
    <row r="714" spans="1:14" x14ac:dyDescent="0.3">
      <c r="A714" s="1">
        <v>45784</v>
      </c>
      <c r="B714">
        <v>244.63238525390625</v>
      </c>
      <c r="C714">
        <v>247.63400722536448</v>
      </c>
      <c r="D714">
        <v>244.08307077124687</v>
      </c>
      <c r="E714">
        <v>245.08361641763199</v>
      </c>
      <c r="F714">
        <v>8724100</v>
      </c>
      <c r="G714" s="2" t="s">
        <v>13</v>
      </c>
      <c r="H714">
        <v>5.6168457441940767E-2</v>
      </c>
      <c r="I714">
        <v>122.27409187495182</v>
      </c>
      <c r="J714">
        <v>235.01023254394531</v>
      </c>
      <c r="K714">
        <v>2.8658347513744422</v>
      </c>
      <c r="L714">
        <v>0</v>
      </c>
      <c r="M714" t="str">
        <f>VLOOKUP(fact_daily_prices[[#This Row],[Ticker]], dim_company[], 2, FALSE)</f>
        <v>JPMorgan Chase &amp; Co.</v>
      </c>
      <c r="N714" t="str">
        <f>VLOOKUP(fact_daily_prices[[#This Row],[Ticker]], dim_company[], 3, FALSE)</f>
        <v>Financials</v>
      </c>
    </row>
    <row r="715" spans="1:14" x14ac:dyDescent="0.3">
      <c r="A715" s="1">
        <v>45785</v>
      </c>
      <c r="B715">
        <v>248.63455200195313</v>
      </c>
      <c r="C715">
        <v>250.9985800051324</v>
      </c>
      <c r="D715">
        <v>246.75118165326785</v>
      </c>
      <c r="E715">
        <v>246.7708043040648</v>
      </c>
      <c r="F715">
        <v>8320100</v>
      </c>
      <c r="G715" s="2" t="s">
        <v>13</v>
      </c>
      <c r="H715">
        <v>1.6359922027056939</v>
      </c>
      <c r="I715">
        <v>124.27448648395524</v>
      </c>
      <c r="J715">
        <v>234.93694305419922</v>
      </c>
      <c r="K715">
        <v>2.880575046247019</v>
      </c>
      <c r="L715">
        <v>0</v>
      </c>
      <c r="M715" t="str">
        <f>VLOOKUP(fact_daily_prices[[#This Row],[Ticker]], dim_company[], 2, FALSE)</f>
        <v>JPMorgan Chase &amp; Co.</v>
      </c>
      <c r="N715" t="str">
        <f>VLOOKUP(fact_daily_prices[[#This Row],[Ticker]], dim_company[], 3, FALSE)</f>
        <v>Financials</v>
      </c>
    </row>
    <row r="716" spans="1:14" x14ac:dyDescent="0.3">
      <c r="A716" s="1">
        <v>45786</v>
      </c>
      <c r="B716">
        <v>248.25199890136719</v>
      </c>
      <c r="C716">
        <v>250.63563464782604</v>
      </c>
      <c r="D716">
        <v>247.52611048052464</v>
      </c>
      <c r="E716">
        <v>249.64490778917525</v>
      </c>
      <c r="F716">
        <v>5087600</v>
      </c>
      <c r="G716" s="2" t="s">
        <v>13</v>
      </c>
      <c r="H716">
        <v>-0.15386160029075002</v>
      </c>
      <c r="I716">
        <v>124.08327577029792</v>
      </c>
      <c r="J716">
        <v>234.85093383789064</v>
      </c>
      <c r="K716">
        <v>2.8713362930647586</v>
      </c>
      <c r="L716">
        <v>0</v>
      </c>
      <c r="M716" t="str">
        <f>VLOOKUP(fact_daily_prices[[#This Row],[Ticker]], dim_company[], 2, FALSE)</f>
        <v>JPMorgan Chase &amp; Co.</v>
      </c>
      <c r="N716" t="str">
        <f>VLOOKUP(fact_daily_prices[[#This Row],[Ticker]], dim_company[], 3, FALSE)</f>
        <v>Financials</v>
      </c>
    </row>
    <row r="717" spans="1:14" x14ac:dyDescent="0.3">
      <c r="A717" s="1">
        <v>45789</v>
      </c>
      <c r="B717">
        <v>255.08900451660159</v>
      </c>
      <c r="C717">
        <v>258.57129899597703</v>
      </c>
      <c r="D717">
        <v>253.76478246506019</v>
      </c>
      <c r="E717">
        <v>257.8846409478204</v>
      </c>
      <c r="F717">
        <v>9603900</v>
      </c>
      <c r="G717" s="2" t="s">
        <v>13</v>
      </c>
      <c r="H717">
        <v>2.7540586361807229</v>
      </c>
      <c r="I717">
        <v>127.50060194270576</v>
      </c>
      <c r="J717">
        <v>234.79247344970702</v>
      </c>
      <c r="K717">
        <v>2.8776046081917617</v>
      </c>
      <c r="L717">
        <v>0</v>
      </c>
      <c r="M717" t="str">
        <f>VLOOKUP(fact_daily_prices[[#This Row],[Ticker]], dim_company[], 2, FALSE)</f>
        <v>JPMorgan Chase &amp; Co.</v>
      </c>
      <c r="N717" t="str">
        <f>VLOOKUP(fact_daily_prices[[#This Row],[Ticker]], dim_company[], 3, FALSE)</f>
        <v>Financials</v>
      </c>
    </row>
    <row r="718" spans="1:14" x14ac:dyDescent="0.3">
      <c r="A718" s="1">
        <v>45790</v>
      </c>
      <c r="B718">
        <v>257.99258422851563</v>
      </c>
      <c r="C718">
        <v>258.63999704196561</v>
      </c>
      <c r="D718">
        <v>255.42257059461764</v>
      </c>
      <c r="E718">
        <v>256.05034578816554</v>
      </c>
      <c r="F718">
        <v>8589000</v>
      </c>
      <c r="G718" s="2" t="s">
        <v>13</v>
      </c>
      <c r="H718">
        <v>1.1382614148408132</v>
      </c>
      <c r="I718">
        <v>128.95189209830937</v>
      </c>
      <c r="J718">
        <v>234.87066223144532</v>
      </c>
      <c r="K718">
        <v>2.8788172776522476</v>
      </c>
      <c r="L718">
        <v>0</v>
      </c>
      <c r="M718" t="str">
        <f>VLOOKUP(fact_daily_prices[[#This Row],[Ticker]], dim_company[], 2, FALSE)</f>
        <v>JPMorgan Chase &amp; Co.</v>
      </c>
      <c r="N718" t="str">
        <f>VLOOKUP(fact_daily_prices[[#This Row],[Ticker]], dim_company[], 3, FALSE)</f>
        <v>Financials</v>
      </c>
    </row>
    <row r="719" spans="1:14" x14ac:dyDescent="0.3">
      <c r="A719" s="1">
        <v>45791</v>
      </c>
      <c r="B719">
        <v>260.5723876953125</v>
      </c>
      <c r="C719">
        <v>261.55331064865658</v>
      </c>
      <c r="D719">
        <v>257.28628981453124</v>
      </c>
      <c r="E719">
        <v>257.98273672949563</v>
      </c>
      <c r="F719">
        <v>8643100</v>
      </c>
      <c r="G719" s="2" t="s">
        <v>13</v>
      </c>
      <c r="H719">
        <v>0.99995256627680718</v>
      </c>
      <c r="I719">
        <v>130.24134985260892</v>
      </c>
      <c r="J719">
        <v>235.20264556884766</v>
      </c>
      <c r="K719">
        <v>2.8757046521739533</v>
      </c>
      <c r="L719">
        <v>0</v>
      </c>
      <c r="M719" t="str">
        <f>VLOOKUP(fact_daily_prices[[#This Row],[Ticker]], dim_company[], 2, FALSE)</f>
        <v>JPMorgan Chase &amp; Co.</v>
      </c>
      <c r="N719" t="str">
        <f>VLOOKUP(fact_daily_prices[[#This Row],[Ticker]], dim_company[], 3, FALSE)</f>
        <v>Financials</v>
      </c>
    </row>
    <row r="720" spans="1:14" x14ac:dyDescent="0.3">
      <c r="A720" s="1">
        <v>45792</v>
      </c>
      <c r="B720">
        <v>262.3870849609375</v>
      </c>
      <c r="C720">
        <v>264.37835746316188</v>
      </c>
      <c r="D720">
        <v>259.70918431662562</v>
      </c>
      <c r="E720">
        <v>261.87701577521011</v>
      </c>
      <c r="F720">
        <v>9214600</v>
      </c>
      <c r="G720" s="2" t="s">
        <v>13</v>
      </c>
      <c r="H720">
        <v>0.69642730823302745</v>
      </c>
      <c r="I720">
        <v>131.14838617959379</v>
      </c>
      <c r="J720">
        <v>235.5459649658203</v>
      </c>
      <c r="K720">
        <v>2.8746892966606397</v>
      </c>
      <c r="L720">
        <v>0</v>
      </c>
      <c r="M720" t="str">
        <f>VLOOKUP(fact_daily_prices[[#This Row],[Ticker]], dim_company[], 2, FALSE)</f>
        <v>JPMorgan Chase &amp; Co.</v>
      </c>
      <c r="N720" t="str">
        <f>VLOOKUP(fact_daily_prices[[#This Row],[Ticker]], dim_company[], 3, FALSE)</f>
        <v>Financials</v>
      </c>
    </row>
    <row r="721" spans="1:14" x14ac:dyDescent="0.3">
      <c r="A721" s="1">
        <v>45793</v>
      </c>
      <c r="B721">
        <v>262.45574951171875</v>
      </c>
      <c r="C721">
        <v>263.33857420454694</v>
      </c>
      <c r="D721">
        <v>259.66011303826809</v>
      </c>
      <c r="E721">
        <v>262.39689652788979</v>
      </c>
      <c r="F721">
        <v>8932900</v>
      </c>
      <c r="G721" s="2" t="s">
        <v>13</v>
      </c>
      <c r="H721">
        <v>2.6169180846480344E-2</v>
      </c>
      <c r="I721">
        <v>131.18270663795039</v>
      </c>
      <c r="J721">
        <v>235.98795410156251</v>
      </c>
      <c r="K721">
        <v>2.5234415375203536</v>
      </c>
      <c r="L721">
        <v>0</v>
      </c>
      <c r="M721" t="str">
        <f>VLOOKUP(fact_daily_prices[[#This Row],[Ticker]], dim_company[], 2, FALSE)</f>
        <v>JPMorgan Chase &amp; Co.</v>
      </c>
      <c r="N721" t="str">
        <f>VLOOKUP(fact_daily_prices[[#This Row],[Ticker]], dim_company[], 3, FALSE)</f>
        <v>Financials</v>
      </c>
    </row>
    <row r="722" spans="1:14" x14ac:dyDescent="0.3">
      <c r="A722" s="1">
        <v>45796</v>
      </c>
      <c r="B722">
        <v>259.82687377929688</v>
      </c>
      <c r="C722">
        <v>263.20125109607159</v>
      </c>
      <c r="D722">
        <v>256.93313912498502</v>
      </c>
      <c r="E722">
        <v>260.48407538690208</v>
      </c>
      <c r="F722">
        <v>12145000</v>
      </c>
      <c r="G722" s="2" t="s">
        <v>13</v>
      </c>
      <c r="H722">
        <v>-1.0016453201397657</v>
      </c>
      <c r="I722">
        <v>129.86872119607867</v>
      </c>
      <c r="J722">
        <v>236.46042938232421</v>
      </c>
      <c r="K722">
        <v>2.0408987946185997</v>
      </c>
      <c r="L722">
        <v>0</v>
      </c>
      <c r="M722" t="str">
        <f>VLOOKUP(fact_daily_prices[[#This Row],[Ticker]], dim_company[], 2, FALSE)</f>
        <v>JPMorgan Chase &amp; Co.</v>
      </c>
      <c r="N722" t="str">
        <f>VLOOKUP(fact_daily_prices[[#This Row],[Ticker]], dim_company[], 3, FALSE)</f>
        <v>Financials</v>
      </c>
    </row>
    <row r="723" spans="1:14" x14ac:dyDescent="0.3">
      <c r="A723" s="1">
        <v>45797</v>
      </c>
      <c r="B723">
        <v>259.82687377929688</v>
      </c>
      <c r="C723">
        <v>261.57288742305286</v>
      </c>
      <c r="D723">
        <v>257.29604828542745</v>
      </c>
      <c r="E723">
        <v>257.51185250707908</v>
      </c>
      <c r="F723">
        <v>8436300</v>
      </c>
      <c r="G723" s="2" t="s">
        <v>13</v>
      </c>
      <c r="H723">
        <v>0</v>
      </c>
      <c r="I723">
        <v>129.86872119607867</v>
      </c>
      <c r="J723">
        <v>237.1290576171875</v>
      </c>
      <c r="K723">
        <v>2.0331940192684907</v>
      </c>
      <c r="L723">
        <v>0</v>
      </c>
      <c r="M723" t="str">
        <f>VLOOKUP(fact_daily_prices[[#This Row],[Ticker]], dim_company[], 2, FALSE)</f>
        <v>JPMorgan Chase &amp; Co.</v>
      </c>
      <c r="N723" t="str">
        <f>VLOOKUP(fact_daily_prices[[#This Row],[Ticker]], dim_company[], 3, FALSE)</f>
        <v>Financials</v>
      </c>
    </row>
    <row r="724" spans="1:14" x14ac:dyDescent="0.3">
      <c r="A724" s="1">
        <v>45798</v>
      </c>
      <c r="B724">
        <v>256.06015014648438</v>
      </c>
      <c r="C724">
        <v>260.58219084007044</v>
      </c>
      <c r="D724">
        <v>255.7560664091254</v>
      </c>
      <c r="E724">
        <v>259.30700290504211</v>
      </c>
      <c r="F724">
        <v>7464000</v>
      </c>
      <c r="G724" s="2" t="s">
        <v>13</v>
      </c>
      <c r="H724">
        <v>-1.4497051740737343</v>
      </c>
      <c r="I724">
        <v>127.98600762539571</v>
      </c>
      <c r="J724">
        <v>237.78240661621095</v>
      </c>
      <c r="K724">
        <v>2.0697205161418961</v>
      </c>
      <c r="L724">
        <v>0</v>
      </c>
      <c r="M724" t="str">
        <f>VLOOKUP(fact_daily_prices[[#This Row],[Ticker]], dim_company[], 2, FALSE)</f>
        <v>JPMorgan Chase &amp; Co.</v>
      </c>
      <c r="N724" t="str">
        <f>VLOOKUP(fact_daily_prices[[#This Row],[Ticker]], dim_company[], 3, FALSE)</f>
        <v>Financials</v>
      </c>
    </row>
    <row r="725" spans="1:14" x14ac:dyDescent="0.3">
      <c r="A725" s="1">
        <v>45799</v>
      </c>
      <c r="B725">
        <v>255.69720458984369</v>
      </c>
      <c r="C725">
        <v>257.29608389039322</v>
      </c>
      <c r="D725">
        <v>253.93152527688761</v>
      </c>
      <c r="E725">
        <v>254.49065855609336</v>
      </c>
      <c r="F725">
        <v>6514100</v>
      </c>
      <c r="G725" s="2" t="s">
        <v>13</v>
      </c>
      <c r="H725">
        <v>-0.14174230407700827</v>
      </c>
      <c r="I725">
        <v>127.8045973092913</v>
      </c>
      <c r="J725">
        <v>238.45267456054688</v>
      </c>
      <c r="K725">
        <v>1.5268865040624713</v>
      </c>
      <c r="L725">
        <v>0</v>
      </c>
      <c r="M725" t="str">
        <f>VLOOKUP(fact_daily_prices[[#This Row],[Ticker]], dim_company[], 2, FALSE)</f>
        <v>JPMorgan Chase &amp; Co.</v>
      </c>
      <c r="N725" t="str">
        <f>VLOOKUP(fact_daily_prices[[#This Row],[Ticker]], dim_company[], 3, FALSE)</f>
        <v>Financials</v>
      </c>
    </row>
    <row r="726" spans="1:14" x14ac:dyDescent="0.3">
      <c r="A726" s="1">
        <v>45800</v>
      </c>
      <c r="B726">
        <v>255.7364196777344</v>
      </c>
      <c r="C726">
        <v>256.99199988462362</v>
      </c>
      <c r="D726">
        <v>251.1162808609912</v>
      </c>
      <c r="E726">
        <v>251.9108260735714</v>
      </c>
      <c r="F726">
        <v>6671800</v>
      </c>
      <c r="G726" s="2" t="s">
        <v>13</v>
      </c>
      <c r="H726">
        <v>1.5336533676069131E-2</v>
      </c>
      <c r="I726">
        <v>127.82419810439723</v>
      </c>
      <c r="J726">
        <v>239.17656738281249</v>
      </c>
      <c r="K726">
        <v>1.3833569516254904</v>
      </c>
      <c r="L726">
        <v>0</v>
      </c>
      <c r="M726" t="str">
        <f>VLOOKUP(fact_daily_prices[[#This Row],[Ticker]], dim_company[], 2, FALSE)</f>
        <v>JPMorgan Chase &amp; Co.</v>
      </c>
      <c r="N726" t="str">
        <f>VLOOKUP(fact_daily_prices[[#This Row],[Ticker]], dim_company[], 3, FALSE)</f>
        <v>Financials</v>
      </c>
    </row>
    <row r="727" spans="1:14" x14ac:dyDescent="0.3">
      <c r="A727" s="1">
        <v>45804</v>
      </c>
      <c r="B727">
        <v>260.22906494140625</v>
      </c>
      <c r="C727">
        <v>260.23885381510826</v>
      </c>
      <c r="D727">
        <v>256.99200115617998</v>
      </c>
      <c r="E727">
        <v>257.04106526626447</v>
      </c>
      <c r="F727">
        <v>7506600</v>
      </c>
      <c r="G727" s="2" t="s">
        <v>13</v>
      </c>
      <c r="H727">
        <v>1.756748322876045</v>
      </c>
      <c r="I727">
        <v>130.06974756082596</v>
      </c>
      <c r="J727">
        <v>239.84895019531251</v>
      </c>
      <c r="K727">
        <v>1.2388329886308642</v>
      </c>
      <c r="L727">
        <v>0</v>
      </c>
      <c r="M727" t="str">
        <f>VLOOKUP(fact_daily_prices[[#This Row],[Ticker]], dim_company[], 2, FALSE)</f>
        <v>JPMorgan Chase &amp; Co.</v>
      </c>
      <c r="N727" t="str">
        <f>VLOOKUP(fact_daily_prices[[#This Row],[Ticker]], dim_company[], 3, FALSE)</f>
        <v>Financials</v>
      </c>
    </row>
    <row r="728" spans="1:14" x14ac:dyDescent="0.3">
      <c r="A728" s="1">
        <v>45805</v>
      </c>
      <c r="B728">
        <v>258.46340942382813</v>
      </c>
      <c r="C728">
        <v>261.63180170795323</v>
      </c>
      <c r="D728">
        <v>257.88466840636806</v>
      </c>
      <c r="E728">
        <v>261.16094785890601</v>
      </c>
      <c r="F728">
        <v>5535400</v>
      </c>
      <c r="G728" s="2" t="s">
        <v>13</v>
      </c>
      <c r="H728">
        <v>-0.67850050415224628</v>
      </c>
      <c r="I728">
        <v>129.1872236678762</v>
      </c>
      <c r="J728">
        <v>240.45696716308595</v>
      </c>
      <c r="K728">
        <v>1.2403450657708255</v>
      </c>
      <c r="L728">
        <v>0</v>
      </c>
      <c r="M728" t="str">
        <f>VLOOKUP(fact_daily_prices[[#This Row],[Ticker]], dim_company[], 2, FALSE)</f>
        <v>JPMorgan Chase &amp; Co.</v>
      </c>
      <c r="N728" t="str">
        <f>VLOOKUP(fact_daily_prices[[#This Row],[Ticker]], dim_company[], 3, FALSE)</f>
        <v>Financials</v>
      </c>
    </row>
    <row r="729" spans="1:14" x14ac:dyDescent="0.3">
      <c r="A729" s="1">
        <v>45806</v>
      </c>
      <c r="B729">
        <v>259.32659912109369</v>
      </c>
      <c r="C729">
        <v>260.34676738524155</v>
      </c>
      <c r="D729">
        <v>257.52170446015111</v>
      </c>
      <c r="E729">
        <v>259.74838881098617</v>
      </c>
      <c r="F729">
        <v>5081200</v>
      </c>
      <c r="G729" s="2" t="s">
        <v>13</v>
      </c>
      <c r="H729">
        <v>0.33396978674460343</v>
      </c>
      <c r="I729">
        <v>129.61866996326108</v>
      </c>
      <c r="J729">
        <v>241.06196990966797</v>
      </c>
      <c r="K729">
        <v>1.2238686656865012</v>
      </c>
      <c r="L729">
        <v>0</v>
      </c>
      <c r="M729" t="str">
        <f>VLOOKUP(fact_daily_prices[[#This Row],[Ticker]], dim_company[], 2, FALSE)</f>
        <v>JPMorgan Chase &amp; Co.</v>
      </c>
      <c r="N729" t="str">
        <f>VLOOKUP(fact_daily_prices[[#This Row],[Ticker]], dim_company[], 3, FALSE)</f>
        <v>Financials</v>
      </c>
    </row>
    <row r="730" spans="1:14" x14ac:dyDescent="0.3">
      <c r="A730" s="1">
        <v>45807</v>
      </c>
      <c r="B730">
        <v>258.96365356445313</v>
      </c>
      <c r="C730">
        <v>260.26826789000449</v>
      </c>
      <c r="D730">
        <v>257.71789221988047</v>
      </c>
      <c r="E730">
        <v>258.4241579270174</v>
      </c>
      <c r="F730">
        <v>10977700</v>
      </c>
      <c r="G730" s="2" t="s">
        <v>13</v>
      </c>
      <c r="H730">
        <v>-0.1399569337933948</v>
      </c>
      <c r="I730">
        <v>129.43725964715674</v>
      </c>
      <c r="J730">
        <v>241.57899047851564</v>
      </c>
      <c r="K730">
        <v>1.1736242282810552</v>
      </c>
      <c r="L730">
        <v>0</v>
      </c>
      <c r="M730" t="str">
        <f>VLOOKUP(fact_daily_prices[[#This Row],[Ticker]], dim_company[], 2, FALSE)</f>
        <v>JPMorgan Chase &amp; Co.</v>
      </c>
      <c r="N730" t="str">
        <f>VLOOKUP(fact_daily_prices[[#This Row],[Ticker]], dim_company[], 3, FALSE)</f>
        <v>Financials</v>
      </c>
    </row>
    <row r="731" spans="1:14" x14ac:dyDescent="0.3">
      <c r="A731" s="1">
        <v>45810</v>
      </c>
      <c r="B731">
        <v>259.611083984375</v>
      </c>
      <c r="C731">
        <v>259.97402070361045</v>
      </c>
      <c r="D731">
        <v>256.90372693326515</v>
      </c>
      <c r="E731">
        <v>258.00235590026801</v>
      </c>
      <c r="F731">
        <v>6011200</v>
      </c>
      <c r="G731" s="2" t="s">
        <v>13</v>
      </c>
      <c r="H731">
        <v>0.25000821969045628</v>
      </c>
      <c r="I731">
        <v>129.7608634356167</v>
      </c>
      <c r="J731">
        <v>242.11090972900391</v>
      </c>
      <c r="K731">
        <v>1.1696012527899795</v>
      </c>
      <c r="L731">
        <v>0</v>
      </c>
      <c r="M731" t="str">
        <f>VLOOKUP(fact_daily_prices[[#This Row],[Ticker]], dim_company[], 2, FALSE)</f>
        <v>JPMorgan Chase &amp; Co.</v>
      </c>
      <c r="N731" t="str">
        <f>VLOOKUP(fact_daily_prices[[#This Row],[Ticker]], dim_company[], 3, FALSE)</f>
        <v>Financials</v>
      </c>
    </row>
    <row r="732" spans="1:14" x14ac:dyDescent="0.3">
      <c r="A732" s="1">
        <v>45811</v>
      </c>
      <c r="B732">
        <v>261.19033813476563</v>
      </c>
      <c r="C732">
        <v>261.49442184863057</v>
      </c>
      <c r="D732">
        <v>257.86502496413567</v>
      </c>
      <c r="E732">
        <v>258.69881544280082</v>
      </c>
      <c r="F732">
        <v>6998400</v>
      </c>
      <c r="G732" s="2" t="s">
        <v>13</v>
      </c>
      <c r="H732">
        <v>0.60831537935632785</v>
      </c>
      <c r="I732">
        <v>130.55021872428111</v>
      </c>
      <c r="J732">
        <v>242.62332794189453</v>
      </c>
      <c r="K732">
        <v>1.1233228286087336</v>
      </c>
      <c r="L732">
        <v>0</v>
      </c>
      <c r="M732" t="str">
        <f>VLOOKUP(fact_daily_prices[[#This Row],[Ticker]], dim_company[], 2, FALSE)</f>
        <v>JPMorgan Chase &amp; Co.</v>
      </c>
      <c r="N732" t="str">
        <f>VLOOKUP(fact_daily_prices[[#This Row],[Ticker]], dim_company[], 3, FALSE)</f>
        <v>Financials</v>
      </c>
    </row>
    <row r="733" spans="1:14" x14ac:dyDescent="0.3">
      <c r="A733" s="1">
        <v>45812</v>
      </c>
      <c r="B733">
        <v>259.17947387695313</v>
      </c>
      <c r="C733">
        <v>262.02414456374709</v>
      </c>
      <c r="D733">
        <v>259.14022857540323</v>
      </c>
      <c r="E733">
        <v>260.84705493579474</v>
      </c>
      <c r="F733">
        <v>5915700</v>
      </c>
      <c r="G733" s="2" t="s">
        <v>13</v>
      </c>
      <c r="H733">
        <v>-0.76988462596765395</v>
      </c>
      <c r="I733">
        <v>129.54513266115572</v>
      </c>
      <c r="J733">
        <v>242.97015411376952</v>
      </c>
      <c r="K733">
        <v>1.0530829315182004</v>
      </c>
      <c r="L733">
        <v>0</v>
      </c>
      <c r="M733" t="str">
        <f>VLOOKUP(fact_daily_prices[[#This Row],[Ticker]], dim_company[], 2, FALSE)</f>
        <v>JPMorgan Chase &amp; Co.</v>
      </c>
      <c r="N733" t="str">
        <f>VLOOKUP(fact_daily_prices[[#This Row],[Ticker]], dim_company[], 3, FALSE)</f>
        <v>Financials</v>
      </c>
    </row>
    <row r="734" spans="1:14" x14ac:dyDescent="0.3">
      <c r="A734" s="1">
        <v>45813</v>
      </c>
      <c r="B734">
        <v>256.95278930664063</v>
      </c>
      <c r="C734">
        <v>259.68954289634314</v>
      </c>
      <c r="D734">
        <v>255.34406123341304</v>
      </c>
      <c r="E734">
        <v>259.68954289634314</v>
      </c>
      <c r="F734">
        <v>8173800</v>
      </c>
      <c r="G734" s="2" t="s">
        <v>13</v>
      </c>
      <c r="H734">
        <v>-0.85912843984304876</v>
      </c>
      <c r="I734">
        <v>128.43217358403135</v>
      </c>
      <c r="J734">
        <v>243.21258697509765</v>
      </c>
      <c r="K734">
        <v>1.0161917489707879</v>
      </c>
      <c r="L734">
        <v>0</v>
      </c>
      <c r="M734" t="str">
        <f>VLOOKUP(fact_daily_prices[[#This Row],[Ticker]], dim_company[], 2, FALSE)</f>
        <v>JPMorgan Chase &amp; Co.</v>
      </c>
      <c r="N734" t="str">
        <f>VLOOKUP(fact_daily_prices[[#This Row],[Ticker]], dim_company[], 3, FALSE)</f>
        <v>Financials</v>
      </c>
    </row>
    <row r="735" spans="1:14" x14ac:dyDescent="0.3">
      <c r="A735" s="1">
        <v>45814</v>
      </c>
      <c r="B735">
        <v>260.66064453125</v>
      </c>
      <c r="C735">
        <v>261.56307680613298</v>
      </c>
      <c r="D735">
        <v>259.21868671764832</v>
      </c>
      <c r="E735">
        <v>259.28732856752248</v>
      </c>
      <c r="F735">
        <v>7738100</v>
      </c>
      <c r="G735" s="2" t="s">
        <v>13</v>
      </c>
      <c r="H735">
        <v>1.4430103034158925</v>
      </c>
      <c r="I735">
        <v>130.2854630817499</v>
      </c>
      <c r="J735">
        <v>243.5311264038086</v>
      </c>
      <c r="K735">
        <v>1.0113012743080672</v>
      </c>
      <c r="L735">
        <v>0</v>
      </c>
      <c r="M735" t="str">
        <f>VLOOKUP(fact_daily_prices[[#This Row],[Ticker]], dim_company[], 2, FALSE)</f>
        <v>JPMorgan Chase &amp; Co.</v>
      </c>
      <c r="N735" t="str">
        <f>VLOOKUP(fact_daily_prices[[#This Row],[Ticker]], dim_company[], 3, FALSE)</f>
        <v>Financials</v>
      </c>
    </row>
    <row r="736" spans="1:14" x14ac:dyDescent="0.3">
      <c r="A736" s="1">
        <v>45817</v>
      </c>
      <c r="B736">
        <v>261.6513671875</v>
      </c>
      <c r="C736">
        <v>262.78924135427468</v>
      </c>
      <c r="D736">
        <v>258.32605409213727</v>
      </c>
      <c r="E736">
        <v>260.9254938141093</v>
      </c>
      <c r="F736">
        <v>8285000</v>
      </c>
      <c r="G736" s="2" t="s">
        <v>13</v>
      </c>
      <c r="H736">
        <v>0.38008141122785055</v>
      </c>
      <c r="I736">
        <v>130.78065390845578</v>
      </c>
      <c r="J736">
        <v>243.92622100830081</v>
      </c>
      <c r="K736">
        <v>1.0020411087209886</v>
      </c>
      <c r="L736">
        <v>0</v>
      </c>
      <c r="M736" t="str">
        <f>VLOOKUP(fact_daily_prices[[#This Row],[Ticker]], dim_company[], 2, FALSE)</f>
        <v>JPMorgan Chase &amp; Co.</v>
      </c>
      <c r="N736" t="str">
        <f>VLOOKUP(fact_daily_prices[[#This Row],[Ticker]], dim_company[], 3, FALSE)</f>
        <v>Financials</v>
      </c>
    </row>
    <row r="737" spans="1:14" x14ac:dyDescent="0.3">
      <c r="A737" s="1">
        <v>45818</v>
      </c>
      <c r="B737">
        <v>263.47592163085938</v>
      </c>
      <c r="C737">
        <v>263.7701865542935</v>
      </c>
      <c r="D737">
        <v>260.77838340293533</v>
      </c>
      <c r="E737">
        <v>260.80780989527875</v>
      </c>
      <c r="F737">
        <v>7538100</v>
      </c>
      <c r="G737" s="2" t="s">
        <v>13</v>
      </c>
      <c r="H737">
        <v>0.69732272488065572</v>
      </c>
      <c r="I737">
        <v>131.69261712790694</v>
      </c>
      <c r="J737">
        <v>244.46056274414062</v>
      </c>
      <c r="K737">
        <v>1.000853167175511</v>
      </c>
      <c r="L737">
        <v>0</v>
      </c>
      <c r="M737" t="str">
        <f>VLOOKUP(fact_daily_prices[[#This Row],[Ticker]], dim_company[], 2, FALSE)</f>
        <v>JPMorgan Chase &amp; Co.</v>
      </c>
      <c r="N737" t="str">
        <f>VLOOKUP(fact_daily_prices[[#This Row],[Ticker]], dim_company[], 3, FALSE)</f>
        <v>Financials</v>
      </c>
    </row>
    <row r="738" spans="1:14" x14ac:dyDescent="0.3">
      <c r="A738" s="1">
        <v>45819</v>
      </c>
      <c r="B738">
        <v>263.03448486328125</v>
      </c>
      <c r="C738">
        <v>264.47644280710767</v>
      </c>
      <c r="D738">
        <v>260.71952105435884</v>
      </c>
      <c r="E738">
        <v>263.55437283293878</v>
      </c>
      <c r="F738">
        <v>7434100</v>
      </c>
      <c r="G738" s="2" t="s">
        <v>13</v>
      </c>
      <c r="H738">
        <v>-0.16754349499784604</v>
      </c>
      <c r="I738">
        <v>131.47197471451673</v>
      </c>
      <c r="J738">
        <v>244.93830474853516</v>
      </c>
      <c r="K738">
        <v>1.0039158645460391</v>
      </c>
      <c r="L738">
        <v>0</v>
      </c>
      <c r="M738" t="str">
        <f>VLOOKUP(fact_daily_prices[[#This Row],[Ticker]], dim_company[], 2, FALSE)</f>
        <v>JPMorgan Chase &amp; Co.</v>
      </c>
      <c r="N738" t="str">
        <f>VLOOKUP(fact_daily_prices[[#This Row],[Ticker]], dim_company[], 3, FALSE)</f>
        <v>Financials</v>
      </c>
    </row>
    <row r="739" spans="1:14" x14ac:dyDescent="0.3">
      <c r="A739" s="1">
        <v>45820</v>
      </c>
      <c r="B739">
        <v>263.12274169921875</v>
      </c>
      <c r="C739">
        <v>263.17180580407035</v>
      </c>
      <c r="D739">
        <v>260.08190474325323</v>
      </c>
      <c r="E739">
        <v>261.76906334571646</v>
      </c>
      <c r="F739">
        <v>6618000</v>
      </c>
      <c r="G739" s="2" t="s">
        <v>13</v>
      </c>
      <c r="H739">
        <v>3.3553332743951891E-2</v>
      </c>
      <c r="I739">
        <v>131.51608794365771</v>
      </c>
      <c r="J739">
        <v>245.44978912353517</v>
      </c>
      <c r="K739">
        <v>1.0035755568528981</v>
      </c>
      <c r="L739">
        <v>0</v>
      </c>
      <c r="M739" t="str">
        <f>VLOOKUP(fact_daily_prices[[#This Row],[Ticker]], dim_company[], 2, FALSE)</f>
        <v>JPMorgan Chase &amp; Co.</v>
      </c>
      <c r="N739" t="str">
        <f>VLOOKUP(fact_daily_prices[[#This Row],[Ticker]], dim_company[], 3, FALSE)</f>
        <v>Financials</v>
      </c>
    </row>
    <row r="740" spans="1:14" x14ac:dyDescent="0.3">
      <c r="A740" s="1">
        <v>45821</v>
      </c>
      <c r="B740">
        <v>259.89556884765625</v>
      </c>
      <c r="C740">
        <v>261.92605676944186</v>
      </c>
      <c r="D740">
        <v>257.69828090375347</v>
      </c>
      <c r="E740">
        <v>260.02306369586108</v>
      </c>
      <c r="F740">
        <v>8398700</v>
      </c>
      <c r="G740" s="2" t="s">
        <v>13</v>
      </c>
      <c r="H740">
        <v>-1.2264895199562642</v>
      </c>
      <c r="I740">
        <v>129.90305690797231</v>
      </c>
      <c r="J740">
        <v>245.85461364746095</v>
      </c>
      <c r="K740">
        <v>1.034624369325539</v>
      </c>
      <c r="L740">
        <v>0</v>
      </c>
      <c r="M740" t="str">
        <f>VLOOKUP(fact_daily_prices[[#This Row],[Ticker]], dim_company[], 2, FALSE)</f>
        <v>JPMorgan Chase &amp; Co.</v>
      </c>
      <c r="N740" t="str">
        <f>VLOOKUP(fact_daily_prices[[#This Row],[Ticker]], dim_company[], 3, FALSE)</f>
        <v>Financials</v>
      </c>
    </row>
    <row r="741" spans="1:14" x14ac:dyDescent="0.3">
      <c r="A741" s="1">
        <v>45824</v>
      </c>
      <c r="B741">
        <v>265.20230102539063</v>
      </c>
      <c r="C741">
        <v>266.54619054488131</v>
      </c>
      <c r="D741">
        <v>261.75928200050441</v>
      </c>
      <c r="E741">
        <v>261.90641444850962</v>
      </c>
      <c r="F741">
        <v>8566000</v>
      </c>
      <c r="G741" s="2" t="s">
        <v>13</v>
      </c>
      <c r="H741">
        <v>2.0418709719691508</v>
      </c>
      <c r="I741">
        <v>132.55550971867675</v>
      </c>
      <c r="J741">
        <v>246.699580078125</v>
      </c>
      <c r="K741">
        <v>1.019493621898572</v>
      </c>
      <c r="L741">
        <v>0</v>
      </c>
      <c r="M741" t="str">
        <f>VLOOKUP(fact_daily_prices[[#This Row],[Ticker]], dim_company[], 2, FALSE)</f>
        <v>JPMorgan Chase &amp; Co.</v>
      </c>
      <c r="N741" t="str">
        <f>VLOOKUP(fact_daily_prices[[#This Row],[Ticker]], dim_company[], 3, FALSE)</f>
        <v>Financials</v>
      </c>
    </row>
    <row r="742" spans="1:14" x14ac:dyDescent="0.3">
      <c r="A742" s="1">
        <v>45825</v>
      </c>
      <c r="B742">
        <v>264.37838745117188</v>
      </c>
      <c r="C742">
        <v>265.42798236980167</v>
      </c>
      <c r="D742">
        <v>262.69119849421304</v>
      </c>
      <c r="E742">
        <v>263.05416519287212</v>
      </c>
      <c r="F742">
        <v>6739300</v>
      </c>
      <c r="G742" s="2" t="s">
        <v>13</v>
      </c>
      <c r="H742">
        <v>-0.31067361445701325</v>
      </c>
      <c r="I742">
        <v>132.14369472547182</v>
      </c>
      <c r="J742">
        <v>247.86177795410157</v>
      </c>
      <c r="K742">
        <v>1.0236528963990332</v>
      </c>
      <c r="L742">
        <v>0</v>
      </c>
      <c r="M742" t="str">
        <f>VLOOKUP(fact_daily_prices[[#This Row],[Ticker]], dim_company[], 2, FALSE)</f>
        <v>JPMorgan Chase &amp; Co.</v>
      </c>
      <c r="N742" t="str">
        <f>VLOOKUP(fact_daily_prices[[#This Row],[Ticker]], dim_company[], 3, FALSE)</f>
        <v>Financials</v>
      </c>
    </row>
    <row r="743" spans="1:14" x14ac:dyDescent="0.3">
      <c r="A743" s="1">
        <v>45826</v>
      </c>
      <c r="B743">
        <v>268.73367309570313</v>
      </c>
      <c r="C743">
        <v>272.42195338008111</v>
      </c>
      <c r="D743">
        <v>264.57456890124871</v>
      </c>
      <c r="E743">
        <v>264.84922616059202</v>
      </c>
      <c r="F743">
        <v>9586400</v>
      </c>
      <c r="G743" s="2" t="s">
        <v>13</v>
      </c>
      <c r="H743">
        <v>1.6473682612712093</v>
      </c>
      <c r="I743">
        <v>134.32058801165036</v>
      </c>
      <c r="J743">
        <v>249.02946899414061</v>
      </c>
      <c r="K743">
        <v>1.0133556765472853</v>
      </c>
      <c r="L743">
        <v>0</v>
      </c>
      <c r="M743" t="str">
        <f>VLOOKUP(fact_daily_prices[[#This Row],[Ticker]], dim_company[], 2, FALSE)</f>
        <v>JPMorgan Chase &amp; Co.</v>
      </c>
      <c r="N743" t="str">
        <f>VLOOKUP(fact_daily_prices[[#This Row],[Ticker]], dim_company[], 3, FALSE)</f>
        <v>Financials</v>
      </c>
    </row>
    <row r="744" spans="1:14" x14ac:dyDescent="0.3">
      <c r="A744" s="1">
        <v>45828</v>
      </c>
      <c r="B744">
        <v>269.75381469726563</v>
      </c>
      <c r="C744">
        <v>272.00992553694005</v>
      </c>
      <c r="D744">
        <v>268.58651397701692</v>
      </c>
      <c r="E744">
        <v>270.31294797040522</v>
      </c>
      <c r="F744">
        <v>13969700</v>
      </c>
      <c r="G744" s="2" t="s">
        <v>13</v>
      </c>
      <c r="H744">
        <v>0.37961063450324684</v>
      </c>
      <c r="I744">
        <v>134.8304832480699</v>
      </c>
      <c r="J744">
        <v>250.16989013671875</v>
      </c>
      <c r="K744">
        <v>1.0121661204225554</v>
      </c>
      <c r="L744">
        <v>0</v>
      </c>
      <c r="M744" t="str">
        <f>VLOOKUP(fact_daily_prices[[#This Row],[Ticker]], dim_company[], 2, FALSE)</f>
        <v>JPMorgan Chase &amp; Co.</v>
      </c>
      <c r="N744" t="str">
        <f>VLOOKUP(fact_daily_prices[[#This Row],[Ticker]], dim_company[], 3, FALSE)</f>
        <v>Financials</v>
      </c>
    </row>
    <row r="745" spans="1:14" x14ac:dyDescent="0.3">
      <c r="A745" s="1">
        <v>45831</v>
      </c>
      <c r="B745">
        <v>272.96142578125</v>
      </c>
      <c r="C745">
        <v>273.23608301714091</v>
      </c>
      <c r="D745">
        <v>266.91893665625679</v>
      </c>
      <c r="E745">
        <v>269.81267140989485</v>
      </c>
      <c r="F745">
        <v>8094600</v>
      </c>
      <c r="G745" s="2" t="s">
        <v>13</v>
      </c>
      <c r="H745">
        <v>1.1890883128322649</v>
      </c>
      <c r="I745">
        <v>136.43373676650793</v>
      </c>
      <c r="J745">
        <v>251.03172882080079</v>
      </c>
      <c r="K745">
        <v>0.99545253613699547</v>
      </c>
      <c r="L745">
        <v>0</v>
      </c>
      <c r="M745" t="str">
        <f>VLOOKUP(fact_daily_prices[[#This Row],[Ticker]], dim_company[], 2, FALSE)</f>
        <v>JPMorgan Chase &amp; Co.</v>
      </c>
      <c r="N745" t="str">
        <f>VLOOKUP(fact_daily_prices[[#This Row],[Ticker]], dim_company[], 3, FALSE)</f>
        <v>Financials</v>
      </c>
    </row>
    <row r="746" spans="1:14" x14ac:dyDescent="0.3">
      <c r="A746" s="1">
        <v>45832</v>
      </c>
      <c r="B746">
        <v>275.89443969726563</v>
      </c>
      <c r="C746">
        <v>277.31676022593348</v>
      </c>
      <c r="D746">
        <v>274.17782427841331</v>
      </c>
      <c r="E746">
        <v>274.86445248471591</v>
      </c>
      <c r="F746">
        <v>9267900</v>
      </c>
      <c r="G746" s="2" t="s">
        <v>13</v>
      </c>
      <c r="H746">
        <v>1.0745158982156333</v>
      </c>
      <c r="I746">
        <v>137.89973895859376</v>
      </c>
      <c r="J746">
        <v>252.09406921386719</v>
      </c>
      <c r="K746">
        <v>1.0006918592234573</v>
      </c>
      <c r="L746">
        <v>0</v>
      </c>
      <c r="M746" t="str">
        <f>VLOOKUP(fact_daily_prices[[#This Row],[Ticker]], dim_company[], 2, FALSE)</f>
        <v>JPMorgan Chase &amp; Co.</v>
      </c>
      <c r="N746" t="str">
        <f>VLOOKUP(fact_daily_prices[[#This Row],[Ticker]], dim_company[], 3, FALSE)</f>
        <v>Financials</v>
      </c>
    </row>
    <row r="747" spans="1:14" x14ac:dyDescent="0.3">
      <c r="A747" s="1">
        <v>45833</v>
      </c>
      <c r="B747">
        <v>278.6409912109375</v>
      </c>
      <c r="C747">
        <v>278.85679547317505</v>
      </c>
      <c r="D747">
        <v>275.55108967897763</v>
      </c>
      <c r="E747">
        <v>276.12983066966132</v>
      </c>
      <c r="F747">
        <v>6826900</v>
      </c>
      <c r="G747" s="2" t="s">
        <v>13</v>
      </c>
      <c r="H747">
        <v>0.99550810689972291</v>
      </c>
      <c r="I747">
        <v>139.27254203932014</v>
      </c>
      <c r="J747">
        <v>253.03300903320311</v>
      </c>
      <c r="K747">
        <v>0.90210634852532989</v>
      </c>
      <c r="L747">
        <v>0</v>
      </c>
      <c r="M747" t="str">
        <f>VLOOKUP(fact_daily_prices[[#This Row],[Ticker]], dim_company[], 2, FALSE)</f>
        <v>JPMorgan Chase &amp; Co.</v>
      </c>
      <c r="N747" t="str">
        <f>VLOOKUP(fact_daily_prices[[#This Row],[Ticker]], dim_company[], 3, FALSE)</f>
        <v>Financials</v>
      </c>
    </row>
    <row r="748" spans="1:14" x14ac:dyDescent="0.3">
      <c r="A748" s="1">
        <v>45834</v>
      </c>
      <c r="B748">
        <v>283.24154663085938</v>
      </c>
      <c r="C748">
        <v>283.88895947254906</v>
      </c>
      <c r="D748">
        <v>279.04319693795463</v>
      </c>
      <c r="E748">
        <v>279.26882002889721</v>
      </c>
      <c r="F748">
        <v>8942100</v>
      </c>
      <c r="G748" s="2" t="s">
        <v>13</v>
      </c>
      <c r="H748">
        <v>1.6510691409503231</v>
      </c>
      <c r="I748">
        <v>141.5720280027484</v>
      </c>
      <c r="J748">
        <v>254.09299499511718</v>
      </c>
      <c r="K748">
        <v>0.92317525963543212</v>
      </c>
      <c r="L748">
        <v>0</v>
      </c>
      <c r="M748" t="str">
        <f>VLOOKUP(fact_daily_prices[[#This Row],[Ticker]], dim_company[], 2, FALSE)</f>
        <v>JPMorgan Chase &amp; Co.</v>
      </c>
      <c r="N748" t="str">
        <f>VLOOKUP(fact_daily_prices[[#This Row],[Ticker]], dim_company[], 3, FALSE)</f>
        <v>Financials</v>
      </c>
    </row>
    <row r="749" spans="1:14" x14ac:dyDescent="0.3">
      <c r="A749" s="1">
        <v>45835</v>
      </c>
      <c r="B749">
        <v>281.63278198242188</v>
      </c>
      <c r="C749">
        <v>283.19247586135162</v>
      </c>
      <c r="D749">
        <v>279.60229416786729</v>
      </c>
      <c r="E749">
        <v>280.35759408455522</v>
      </c>
      <c r="F749">
        <v>17868600</v>
      </c>
      <c r="G749" s="2" t="s">
        <v>13</v>
      </c>
      <c r="H749">
        <v>-0.56798328761216155</v>
      </c>
      <c r="I749">
        <v>140.76792254375917</v>
      </c>
      <c r="J749">
        <v>255.15199859619142</v>
      </c>
      <c r="K749">
        <v>0.92748182614826757</v>
      </c>
      <c r="L749">
        <v>1</v>
      </c>
      <c r="M749" t="str">
        <f>VLOOKUP(fact_daily_prices[[#This Row],[Ticker]], dim_company[], 2, FALSE)</f>
        <v>JPMorgan Chase &amp; Co.</v>
      </c>
      <c r="N749" t="str">
        <f>VLOOKUP(fact_daily_prices[[#This Row],[Ticker]], dim_company[], 3, FALSE)</f>
        <v>Financials</v>
      </c>
    </row>
    <row r="750" spans="1:14" x14ac:dyDescent="0.3">
      <c r="A750" s="1">
        <v>45838</v>
      </c>
      <c r="B750">
        <v>284.37936401367188</v>
      </c>
      <c r="C750">
        <v>287.06708320380852</v>
      </c>
      <c r="D750">
        <v>283.40825991352006</v>
      </c>
      <c r="E750">
        <v>284.86000665954231</v>
      </c>
      <c r="F750">
        <v>12689200</v>
      </c>
      <c r="G750" s="2" t="s">
        <v>13</v>
      </c>
      <c r="H750">
        <v>0.97523520234992223</v>
      </c>
      <c r="I750">
        <v>142.1407408780226</v>
      </c>
      <c r="J750">
        <v>256.33499114990235</v>
      </c>
      <c r="K750">
        <v>0.93334717331061201</v>
      </c>
      <c r="L750">
        <v>0</v>
      </c>
      <c r="M750" t="str">
        <f>VLOOKUP(fact_daily_prices[[#This Row],[Ticker]], dim_company[], 2, FALSE)</f>
        <v>JPMorgan Chase &amp; Co.</v>
      </c>
      <c r="N750" t="str">
        <f>VLOOKUP(fact_daily_prices[[#This Row],[Ticker]], dim_company[], 3, FALSE)</f>
        <v>Financials</v>
      </c>
    </row>
    <row r="751" spans="1:14" x14ac:dyDescent="0.3">
      <c r="A751" s="1">
        <v>45839</v>
      </c>
      <c r="B751">
        <v>284.86984252929688</v>
      </c>
      <c r="C751">
        <v>285.57610826317722</v>
      </c>
      <c r="D751">
        <v>281.12270960967101</v>
      </c>
      <c r="E751">
        <v>285.34069633034818</v>
      </c>
      <c r="F751">
        <v>9338300</v>
      </c>
      <c r="G751" s="2" t="s">
        <v>13</v>
      </c>
      <c r="H751">
        <v>0.17247331476606398</v>
      </c>
      <c r="I751">
        <v>142.38589572544797</v>
      </c>
      <c r="J751">
        <v>257.48168975830077</v>
      </c>
      <c r="K751">
        <v>0.93239553745283654</v>
      </c>
      <c r="L751">
        <v>0</v>
      </c>
      <c r="M751" t="str">
        <f>VLOOKUP(fact_daily_prices[[#This Row],[Ticker]], dim_company[], 2, FALSE)</f>
        <v>JPMorgan Chase &amp; Co.</v>
      </c>
      <c r="N751" t="str">
        <f>VLOOKUP(fact_daily_prices[[#This Row],[Ticker]], dim_company[], 3, FALSE)</f>
        <v>Financials</v>
      </c>
    </row>
    <row r="752" spans="1:14" x14ac:dyDescent="0.3">
      <c r="A752" s="1">
        <v>45840</v>
      </c>
      <c r="B752">
        <v>286.42950439453125</v>
      </c>
      <c r="C752">
        <v>287.23386840643491</v>
      </c>
      <c r="D752">
        <v>284.17339356010143</v>
      </c>
      <c r="E752">
        <v>286.46874969485151</v>
      </c>
      <c r="F752">
        <v>8158700</v>
      </c>
      <c r="G752" s="2" t="s">
        <v>13</v>
      </c>
      <c r="H752">
        <v>0.54749981654305113</v>
      </c>
      <c r="I752">
        <v>143.16545824332795</v>
      </c>
      <c r="J752">
        <v>258.71784851074221</v>
      </c>
      <c r="K752">
        <v>0.90148284334816675</v>
      </c>
      <c r="L752">
        <v>0</v>
      </c>
      <c r="M752" t="str">
        <f>VLOOKUP(fact_daily_prices[[#This Row],[Ticker]], dim_company[], 2, FALSE)</f>
        <v>JPMorgan Chase &amp; Co.</v>
      </c>
      <c r="N752" t="str">
        <f>VLOOKUP(fact_daily_prices[[#This Row],[Ticker]], dim_company[], 3, FALSE)</f>
        <v>Financials</v>
      </c>
    </row>
    <row r="753" spans="1:14" x14ac:dyDescent="0.3">
      <c r="A753" s="1">
        <v>45841</v>
      </c>
      <c r="B753">
        <v>291.75201416015625</v>
      </c>
      <c r="C753">
        <v>292.14626762282882</v>
      </c>
      <c r="D753">
        <v>287.03074848169234</v>
      </c>
      <c r="E753">
        <v>287.95726066275904</v>
      </c>
      <c r="F753">
        <v>6541600</v>
      </c>
      <c r="G753" s="2" t="s">
        <v>13</v>
      </c>
      <c r="H753">
        <v>1.8582267831926069</v>
      </c>
      <c r="I753">
        <v>145.82579713268589</v>
      </c>
      <c r="J753">
        <v>259.93097595214846</v>
      </c>
      <c r="K753">
        <v>0.94104310375644928</v>
      </c>
      <c r="L753">
        <v>0</v>
      </c>
      <c r="M753" t="str">
        <f>VLOOKUP(fact_daily_prices[[#This Row],[Ticker]], dim_company[], 2, FALSE)</f>
        <v>JPMorgan Chase &amp; Co.</v>
      </c>
      <c r="N753" t="str">
        <f>VLOOKUP(fact_daily_prices[[#This Row],[Ticker]], dim_company[], 3, FALSE)</f>
        <v>Financials</v>
      </c>
    </row>
    <row r="754" spans="1:14" x14ac:dyDescent="0.3">
      <c r="A754" s="1">
        <v>45845</v>
      </c>
      <c r="B754">
        <v>287.77984619140625</v>
      </c>
      <c r="C754">
        <v>291.79144353656022</v>
      </c>
      <c r="D754">
        <v>285.91695574871414</v>
      </c>
      <c r="E754">
        <v>291.01277265737059</v>
      </c>
      <c r="F754">
        <v>8825700</v>
      </c>
      <c r="G754" s="2" t="s">
        <v>13</v>
      </c>
      <c r="H754">
        <v>-1.3614877621957011</v>
      </c>
      <c r="I754">
        <v>143.84039675060004</v>
      </c>
      <c r="J754">
        <v>260.96087829589845</v>
      </c>
      <c r="K754">
        <v>0.93521168257649068</v>
      </c>
      <c r="L754">
        <v>0</v>
      </c>
      <c r="M754" t="str">
        <f>VLOOKUP(fact_daily_prices[[#This Row],[Ticker]], dim_company[], 2, FALSE)</f>
        <v>JPMorgan Chase &amp; Co.</v>
      </c>
      <c r="N754" t="str">
        <f>VLOOKUP(fact_daily_prices[[#This Row],[Ticker]], dim_company[], 3, FALSE)</f>
        <v>Financials</v>
      </c>
    </row>
    <row r="755" spans="1:14" x14ac:dyDescent="0.3">
      <c r="A755" s="1">
        <v>45846</v>
      </c>
      <c r="B755">
        <v>278.72174072265625</v>
      </c>
      <c r="C755">
        <v>285.54244302383853</v>
      </c>
      <c r="D755">
        <v>276.28718720828704</v>
      </c>
      <c r="E755">
        <v>285.11859121847169</v>
      </c>
      <c r="F755">
        <v>15440900</v>
      </c>
      <c r="G755" s="2" t="s">
        <v>13</v>
      </c>
      <c r="H755">
        <v>-3.1475815935787743</v>
      </c>
      <c r="I755">
        <v>139.31290289834749</v>
      </c>
      <c r="J755">
        <v>261.73585296630858</v>
      </c>
      <c r="K755">
        <v>1.1344162178179005</v>
      </c>
      <c r="L755">
        <v>0</v>
      </c>
      <c r="M755" t="str">
        <f>VLOOKUP(fact_daily_prices[[#This Row],[Ticker]], dim_company[], 2, FALSE)</f>
        <v>JPMorgan Chase &amp; Co.</v>
      </c>
      <c r="N755" t="str">
        <f>VLOOKUP(fact_daily_prices[[#This Row],[Ticker]], dim_company[], 3, FALSE)</f>
        <v>Financials</v>
      </c>
    </row>
    <row r="756" spans="1:14" x14ac:dyDescent="0.3">
      <c r="A756" s="1">
        <v>45847</v>
      </c>
      <c r="B756">
        <v>279.09628295898438</v>
      </c>
      <c r="C756">
        <v>283.07831203592889</v>
      </c>
      <c r="D756">
        <v>278.42604907780265</v>
      </c>
      <c r="E756">
        <v>283.05857981144027</v>
      </c>
      <c r="F756">
        <v>11273800</v>
      </c>
      <c r="G756" s="2" t="s">
        <v>13</v>
      </c>
      <c r="H756">
        <v>0.13437855093652029</v>
      </c>
      <c r="I756">
        <v>139.50010955852989</v>
      </c>
      <c r="J756">
        <v>262.5397024536133</v>
      </c>
      <c r="K756">
        <v>1.1336155958371996</v>
      </c>
      <c r="L756">
        <v>0</v>
      </c>
      <c r="M756" t="str">
        <f>VLOOKUP(fact_daily_prices[[#This Row],[Ticker]], dim_company[], 2, FALSE)</f>
        <v>JPMorgan Chase &amp; Co.</v>
      </c>
      <c r="N756" t="str">
        <f>VLOOKUP(fact_daily_prices[[#This Row],[Ticker]], dim_company[], 3, FALSE)</f>
        <v>Financials</v>
      </c>
    </row>
    <row r="757" spans="1:14" x14ac:dyDescent="0.3">
      <c r="A757" s="1">
        <v>45848</v>
      </c>
      <c r="B757">
        <v>284.05410766601563</v>
      </c>
      <c r="C757">
        <v>284.17238069994539</v>
      </c>
      <c r="D757">
        <v>278.93858839126966</v>
      </c>
      <c r="E757">
        <v>278.93858839126966</v>
      </c>
      <c r="F757">
        <v>8410900</v>
      </c>
      <c r="G757" s="2" t="s">
        <v>13</v>
      </c>
      <c r="H757">
        <v>1.7763850720146745</v>
      </c>
      <c r="I757">
        <v>141.97816868017171</v>
      </c>
      <c r="J757">
        <v>263.44918273925782</v>
      </c>
      <c r="K757">
        <v>1.1344922506246768</v>
      </c>
      <c r="L757">
        <v>0</v>
      </c>
      <c r="M757" t="str">
        <f>VLOOKUP(fact_daily_prices[[#This Row],[Ticker]], dim_company[], 2, FALSE)</f>
        <v>JPMorgan Chase &amp; Co.</v>
      </c>
      <c r="N757" t="str">
        <f>VLOOKUP(fact_daily_prices[[#This Row],[Ticker]], dim_company[], 3, FALSE)</f>
        <v>Financials</v>
      </c>
    </row>
    <row r="758" spans="1:14" x14ac:dyDescent="0.3">
      <c r="A758" s="1">
        <v>45849</v>
      </c>
      <c r="B758">
        <v>282.7431640625</v>
      </c>
      <c r="C758">
        <v>283.25572062370782</v>
      </c>
      <c r="D758">
        <v>279.5792402426265</v>
      </c>
      <c r="E758">
        <v>281.42239844946749</v>
      </c>
      <c r="F758">
        <v>7384700</v>
      </c>
      <c r="G758" s="2" t="s">
        <v>13</v>
      </c>
      <c r="H758">
        <v>-0.46151193316203987</v>
      </c>
      <c r="I758">
        <v>141.32292248922778</v>
      </c>
      <c r="J758">
        <v>264.30497863769529</v>
      </c>
      <c r="K758">
        <v>1.1287244847068876</v>
      </c>
      <c r="L758">
        <v>0</v>
      </c>
      <c r="M758" t="str">
        <f>VLOOKUP(fact_daily_prices[[#This Row],[Ticker]], dim_company[], 2, FALSE)</f>
        <v>JPMorgan Chase &amp; Co.</v>
      </c>
      <c r="N758" t="str">
        <f>VLOOKUP(fact_daily_prices[[#This Row],[Ticker]], dim_company[], 3, FALSE)</f>
        <v>Financials</v>
      </c>
    </row>
    <row r="759" spans="1:14" x14ac:dyDescent="0.3">
      <c r="A759" s="1">
        <v>45852</v>
      </c>
      <c r="B759">
        <v>284.55679321289063</v>
      </c>
      <c r="C759">
        <v>285.14815837230037</v>
      </c>
      <c r="D759">
        <v>281.16615926075519</v>
      </c>
      <c r="E759">
        <v>282.95018101073435</v>
      </c>
      <c r="F759">
        <v>9079900</v>
      </c>
      <c r="G759" s="2" t="s">
        <v>13</v>
      </c>
      <c r="H759">
        <v>0.64144049473455755</v>
      </c>
      <c r="I759">
        <v>142.22942494241602</v>
      </c>
      <c r="J759">
        <v>265.19704711914062</v>
      </c>
      <c r="K759">
        <v>1.1303828008941901</v>
      </c>
      <c r="L759">
        <v>0</v>
      </c>
      <c r="M759" t="str">
        <f>VLOOKUP(fact_daily_prices[[#This Row],[Ticker]], dim_company[], 2, FALSE)</f>
        <v>JPMorgan Chase &amp; Co.</v>
      </c>
      <c r="N759" t="str">
        <f>VLOOKUP(fact_daily_prices[[#This Row],[Ticker]], dim_company[], 3, FALSE)</f>
        <v>Financials</v>
      </c>
    </row>
    <row r="760" spans="1:14" x14ac:dyDescent="0.3">
      <c r="A760" s="1">
        <v>45853</v>
      </c>
      <c r="B760">
        <v>282.4376220703125</v>
      </c>
      <c r="C760">
        <v>287.76014909736432</v>
      </c>
      <c r="D760">
        <v>281.38300082511358</v>
      </c>
      <c r="E760">
        <v>283.86682471268961</v>
      </c>
      <c r="F760">
        <v>12526100</v>
      </c>
      <c r="G760" s="2" t="s">
        <v>13</v>
      </c>
      <c r="H760">
        <v>-0.74472695543510437</v>
      </c>
      <c r="I760">
        <v>141.17020407630949</v>
      </c>
      <c r="J760">
        <v>266.00219787597655</v>
      </c>
      <c r="K760">
        <v>1.1441068906484613</v>
      </c>
      <c r="L760">
        <v>0</v>
      </c>
      <c r="M760" t="str">
        <f>VLOOKUP(fact_daily_prices[[#This Row],[Ticker]], dim_company[], 2, FALSE)</f>
        <v>JPMorgan Chase &amp; Co.</v>
      </c>
      <c r="N760" t="str">
        <f>VLOOKUP(fact_daily_prices[[#This Row],[Ticker]], dim_company[], 3, FALSE)</f>
        <v>Financials</v>
      </c>
    </row>
    <row r="761" spans="1:14" x14ac:dyDescent="0.3">
      <c r="A761" s="1">
        <v>45854</v>
      </c>
      <c r="B761">
        <v>281.71810913085938</v>
      </c>
      <c r="C761">
        <v>286.5576476938333</v>
      </c>
      <c r="D761">
        <v>278.94843878384489</v>
      </c>
      <c r="E761">
        <v>284.26106945587679</v>
      </c>
      <c r="F761">
        <v>9979800</v>
      </c>
      <c r="G761" s="2" t="s">
        <v>13</v>
      </c>
      <c r="H761">
        <v>-0.25475109660638706</v>
      </c>
      <c r="I761">
        <v>140.81057143334363</v>
      </c>
      <c r="J761">
        <v>266.68270263671877</v>
      </c>
      <c r="K761">
        <v>1.1485095870550364</v>
      </c>
      <c r="L761">
        <v>0</v>
      </c>
      <c r="M761" t="str">
        <f>VLOOKUP(fact_daily_prices[[#This Row],[Ticker]], dim_company[], 2, FALSE)</f>
        <v>JPMorgan Chase &amp; Co.</v>
      </c>
      <c r="N761" t="str">
        <f>VLOOKUP(fact_daily_prices[[#This Row],[Ticker]], dim_company[], 3, FALSE)</f>
        <v>Financials</v>
      </c>
    </row>
    <row r="762" spans="1:14" x14ac:dyDescent="0.3">
      <c r="A762" s="1">
        <v>45855</v>
      </c>
      <c r="B762">
        <v>285.73956298828125</v>
      </c>
      <c r="C762">
        <v>286.13381646736286</v>
      </c>
      <c r="D762">
        <v>279.3722805662569</v>
      </c>
      <c r="E762">
        <v>279.3722805662569</v>
      </c>
      <c r="F762">
        <v>8509500</v>
      </c>
      <c r="G762" s="2" t="s">
        <v>13</v>
      </c>
      <c r="H762">
        <v>1.4274743891433239</v>
      </c>
      <c r="I762">
        <v>142.82060627776099</v>
      </c>
      <c r="J762">
        <v>267.44265563964842</v>
      </c>
      <c r="K762">
        <v>1.166205869785639</v>
      </c>
      <c r="L762">
        <v>0</v>
      </c>
      <c r="M762" t="str">
        <f>VLOOKUP(fact_daily_prices[[#This Row],[Ticker]], dim_company[], 2, FALSE)</f>
        <v>JPMorgan Chase &amp; Co.</v>
      </c>
      <c r="N762" t="str">
        <f>VLOOKUP(fact_daily_prices[[#This Row],[Ticker]], dim_company[], 3, FALSE)</f>
        <v>Financials</v>
      </c>
    </row>
    <row r="763" spans="1:14" x14ac:dyDescent="0.3">
      <c r="A763" s="1">
        <v>45856</v>
      </c>
      <c r="B763">
        <v>287.08990478515625</v>
      </c>
      <c r="C763">
        <v>288.30226359405867</v>
      </c>
      <c r="D763">
        <v>284.09355419862834</v>
      </c>
      <c r="E763">
        <v>285.365019447414</v>
      </c>
      <c r="F763">
        <v>12217000</v>
      </c>
      <c r="G763" s="2" t="s">
        <v>13</v>
      </c>
      <c r="H763">
        <v>0.47257781972962487</v>
      </c>
      <c r="I763">
        <v>143.49554478503305</v>
      </c>
      <c r="J763">
        <v>268.2945526123047</v>
      </c>
      <c r="K763">
        <v>1.1485916785878199</v>
      </c>
      <c r="L763">
        <v>0</v>
      </c>
      <c r="M763" t="str">
        <f>VLOOKUP(fact_daily_prices[[#This Row],[Ticker]], dim_company[], 2, FALSE)</f>
        <v>JPMorgan Chase &amp; Co.</v>
      </c>
      <c r="N763" t="str">
        <f>VLOOKUP(fact_daily_prices[[#This Row],[Ticker]], dim_company[], 3, FALSE)</f>
        <v>Financials</v>
      </c>
    </row>
    <row r="764" spans="1:14" x14ac:dyDescent="0.3">
      <c r="A764" s="1">
        <v>45859</v>
      </c>
      <c r="B764">
        <v>286.794189453125</v>
      </c>
      <c r="C764">
        <v>289.95811320350606</v>
      </c>
      <c r="D764">
        <v>286.40977204066252</v>
      </c>
      <c r="E764">
        <v>286.8237577094983</v>
      </c>
      <c r="F764">
        <v>7898100</v>
      </c>
      <c r="G764" s="2" t="s">
        <v>13</v>
      </c>
      <c r="H764">
        <v>-0.10300443418675975</v>
      </c>
      <c r="I764">
        <v>143.34773801104404</v>
      </c>
      <c r="J764">
        <v>269.13778869628908</v>
      </c>
      <c r="K764">
        <v>1.1293264947026169</v>
      </c>
      <c r="L764">
        <v>0</v>
      </c>
      <c r="M764" t="str">
        <f>VLOOKUP(fact_daily_prices[[#This Row],[Ticker]], dim_company[], 2, FALSE)</f>
        <v>JPMorgan Chase &amp; Co.</v>
      </c>
      <c r="N764" t="str">
        <f>VLOOKUP(fact_daily_prices[[#This Row],[Ticker]], dim_company[], 3, FALSE)</f>
        <v>Financials</v>
      </c>
    </row>
    <row r="765" spans="1:14" x14ac:dyDescent="0.3">
      <c r="A765" s="1">
        <v>45860</v>
      </c>
      <c r="B765">
        <v>287.24758911132813</v>
      </c>
      <c r="C765">
        <v>289.41602825063205</v>
      </c>
      <c r="D765">
        <v>285.02987956960806</v>
      </c>
      <c r="E765">
        <v>287.31659173839932</v>
      </c>
      <c r="F765">
        <v>6717500</v>
      </c>
      <c r="G765" s="2" t="s">
        <v>13</v>
      </c>
      <c r="H765">
        <v>0.15809234457213606</v>
      </c>
      <c r="I765">
        <v>143.57435981095682</v>
      </c>
      <c r="J765">
        <v>269.91004943847656</v>
      </c>
      <c r="K765">
        <v>1.1115762749692393</v>
      </c>
      <c r="L765">
        <v>0</v>
      </c>
      <c r="M765" t="str">
        <f>VLOOKUP(fact_daily_prices[[#This Row],[Ticker]], dim_company[], 2, FALSE)</f>
        <v>JPMorgan Chase &amp; Co.</v>
      </c>
      <c r="N765" t="str">
        <f>VLOOKUP(fact_daily_prices[[#This Row],[Ticker]], dim_company[], 3, FALSE)</f>
        <v>Financials</v>
      </c>
    </row>
    <row r="766" spans="1:14" x14ac:dyDescent="0.3">
      <c r="A766" s="1">
        <v>45861</v>
      </c>
      <c r="B766">
        <v>292.50112915039063</v>
      </c>
      <c r="C766">
        <v>292.72780910920665</v>
      </c>
      <c r="D766">
        <v>288.35152630557849</v>
      </c>
      <c r="E766">
        <v>288.6373728619252</v>
      </c>
      <c r="F766">
        <v>7083500</v>
      </c>
      <c r="G766" s="2" t="s">
        <v>13</v>
      </c>
      <c r="H766">
        <v>1.8289239799420542</v>
      </c>
      <c r="I766">
        <v>146.2002257065877</v>
      </c>
      <c r="J766">
        <v>270.79503204345701</v>
      </c>
      <c r="K766">
        <v>1.1447928822363937</v>
      </c>
      <c r="L766">
        <v>0</v>
      </c>
      <c r="M766" t="str">
        <f>VLOOKUP(fact_daily_prices[[#This Row],[Ticker]], dim_company[], 2, FALSE)</f>
        <v>JPMorgan Chase &amp; Co.</v>
      </c>
      <c r="N766" t="str">
        <f>VLOOKUP(fact_daily_prices[[#This Row],[Ticker]], dim_company[], 3, FALSE)</f>
        <v>Financials</v>
      </c>
    </row>
    <row r="767" spans="1:14" x14ac:dyDescent="0.3">
      <c r="A767" s="1">
        <v>45862</v>
      </c>
      <c r="B767">
        <v>292.29412841796875</v>
      </c>
      <c r="C767">
        <v>295.29050907754731</v>
      </c>
      <c r="D767">
        <v>291.94917541486632</v>
      </c>
      <c r="E767">
        <v>293.15166810801469</v>
      </c>
      <c r="F767">
        <v>7001200</v>
      </c>
      <c r="G767" s="2" t="s">
        <v>13</v>
      </c>
      <c r="H767">
        <v>-7.076920797643993E-2</v>
      </c>
      <c r="I767">
        <v>146.09676096479538</v>
      </c>
      <c r="J767">
        <v>271.53913452148436</v>
      </c>
      <c r="K767">
        <v>1.1460065031952207</v>
      </c>
      <c r="L767">
        <v>0</v>
      </c>
      <c r="M767" t="str">
        <f>VLOOKUP(fact_daily_prices[[#This Row],[Ticker]], dim_company[], 2, FALSE)</f>
        <v>JPMorgan Chase &amp; Co.</v>
      </c>
      <c r="N767" t="str">
        <f>VLOOKUP(fact_daily_prices[[#This Row],[Ticker]], dim_company[], 3, FALSE)</f>
        <v>Financials</v>
      </c>
    </row>
    <row r="768" spans="1:14" x14ac:dyDescent="0.3">
      <c r="A768" s="1">
        <v>45863</v>
      </c>
      <c r="B768">
        <v>294.33441162109369</v>
      </c>
      <c r="C768">
        <v>294.61039205544688</v>
      </c>
      <c r="D768">
        <v>291.71258245493334</v>
      </c>
      <c r="E768">
        <v>292.44198295113267</v>
      </c>
      <c r="F768">
        <v>5918500</v>
      </c>
      <c r="G768" s="2" t="s">
        <v>13</v>
      </c>
      <c r="H768">
        <v>0.69802401237681888</v>
      </c>
      <c r="I768">
        <v>147.11655143763443</v>
      </c>
      <c r="J768">
        <v>272.26597106933593</v>
      </c>
      <c r="K768">
        <v>1.1433430976297838</v>
      </c>
      <c r="L768">
        <v>0</v>
      </c>
      <c r="M768" t="str">
        <f>VLOOKUP(fact_daily_prices[[#This Row],[Ticker]], dim_company[], 2, FALSE)</f>
        <v>JPMorgan Chase &amp; Co.</v>
      </c>
      <c r="N768" t="str">
        <f>VLOOKUP(fact_daily_prices[[#This Row],[Ticker]], dim_company[], 3, FALSE)</f>
        <v>Financials</v>
      </c>
    </row>
    <row r="769" spans="1:14" x14ac:dyDescent="0.3">
      <c r="A769" s="1">
        <v>45866</v>
      </c>
      <c r="B769">
        <v>293.99929809570313</v>
      </c>
      <c r="C769">
        <v>295.13278810430046</v>
      </c>
      <c r="D769">
        <v>292.56025939121292</v>
      </c>
      <c r="E769">
        <v>293.38820070391739</v>
      </c>
      <c r="F769">
        <v>5840400</v>
      </c>
      <c r="G769" s="2" t="s">
        <v>13</v>
      </c>
      <c r="H769">
        <v>-0.11385468778348784</v>
      </c>
      <c r="I769">
        <v>146.94905234731726</v>
      </c>
      <c r="J769">
        <v>272.93450927734375</v>
      </c>
      <c r="K769">
        <v>1.1452066003076022</v>
      </c>
      <c r="L769">
        <v>0</v>
      </c>
      <c r="M769" t="str">
        <f>VLOOKUP(fact_daily_prices[[#This Row],[Ticker]], dim_company[], 2, FALSE)</f>
        <v>JPMorgan Chase &amp; Co.</v>
      </c>
      <c r="N769" t="str">
        <f>VLOOKUP(fact_daily_prices[[#This Row],[Ticker]], dim_company[], 3, FALSE)</f>
        <v>Financials</v>
      </c>
    </row>
    <row r="770" spans="1:14" x14ac:dyDescent="0.3">
      <c r="A770" s="1">
        <v>45867</v>
      </c>
      <c r="B770">
        <v>292.77713012695313</v>
      </c>
      <c r="C770">
        <v>296.96613755775309</v>
      </c>
      <c r="D770">
        <v>291.94918873841937</v>
      </c>
      <c r="E770">
        <v>295.69464217411235</v>
      </c>
      <c r="F770">
        <v>7635700</v>
      </c>
      <c r="G770" s="2" t="s">
        <v>13</v>
      </c>
      <c r="H770">
        <v>-0.41570438319623593</v>
      </c>
      <c r="I770">
        <v>146.33817869564413</v>
      </c>
      <c r="J770">
        <v>273.54231018066406</v>
      </c>
      <c r="K770">
        <v>1.1152377470179733</v>
      </c>
      <c r="L770">
        <v>0</v>
      </c>
      <c r="M770" t="str">
        <f>VLOOKUP(fact_daily_prices[[#This Row],[Ticker]], dim_company[], 2, FALSE)</f>
        <v>JPMorgan Chase &amp; Co.</v>
      </c>
      <c r="N770" t="str">
        <f>VLOOKUP(fact_daily_prices[[#This Row],[Ticker]], dim_company[], 3, FALSE)</f>
        <v>Financials</v>
      </c>
    </row>
    <row r="771" spans="1:14" x14ac:dyDescent="0.3">
      <c r="A771" s="1">
        <v>45868</v>
      </c>
      <c r="B771">
        <v>295.32992553710938</v>
      </c>
      <c r="C771">
        <v>296.29584201458954</v>
      </c>
      <c r="D771">
        <v>293.11221595652722</v>
      </c>
      <c r="E771">
        <v>293.1516503269176</v>
      </c>
      <c r="F771">
        <v>8061700</v>
      </c>
      <c r="G771" s="2" t="s">
        <v>13</v>
      </c>
      <c r="H771">
        <v>0.87192445975863286</v>
      </c>
      <c r="I771">
        <v>147.61413706965675</v>
      </c>
      <c r="J771">
        <v>274.19979370117187</v>
      </c>
      <c r="K771">
        <v>1.0757423996529447</v>
      </c>
      <c r="L771">
        <v>0</v>
      </c>
      <c r="M771" t="str">
        <f>VLOOKUP(fact_daily_prices[[#This Row],[Ticker]], dim_company[], 2, FALSE)</f>
        <v>JPMorgan Chase &amp; Co.</v>
      </c>
      <c r="N771" t="str">
        <f>VLOOKUP(fact_daily_prices[[#This Row],[Ticker]], dim_company[], 3, FALSE)</f>
        <v>Financials</v>
      </c>
    </row>
    <row r="772" spans="1:14" x14ac:dyDescent="0.3">
      <c r="A772" s="1">
        <v>45869</v>
      </c>
      <c r="B772">
        <v>291.98855590820313</v>
      </c>
      <c r="C772">
        <v>296.66055111466642</v>
      </c>
      <c r="D772">
        <v>291.25918550905351</v>
      </c>
      <c r="E772">
        <v>294.84696114947627</v>
      </c>
      <c r="F772">
        <v>14749700</v>
      </c>
      <c r="G772" s="2" t="s">
        <v>13</v>
      </c>
      <c r="H772">
        <v>-1.1314023199069267</v>
      </c>
      <c r="I772">
        <v>145.94402729834007</v>
      </c>
      <c r="J772">
        <v>274.84302734375001</v>
      </c>
      <c r="K772">
        <v>1.1035919307758011</v>
      </c>
      <c r="L772">
        <v>0</v>
      </c>
      <c r="M772" t="str">
        <f>VLOOKUP(fact_daily_prices[[#This Row],[Ticker]], dim_company[], 2, FALSE)</f>
        <v>JPMorgan Chase &amp; Co.</v>
      </c>
      <c r="N772" t="str">
        <f>VLOOKUP(fact_daily_prices[[#This Row],[Ticker]], dim_company[], 3, FALSE)</f>
        <v>Financials</v>
      </c>
    </row>
    <row r="773" spans="1:14" x14ac:dyDescent="0.3">
      <c r="A773" s="1">
        <v>45870</v>
      </c>
      <c r="B773">
        <v>285.21719360351563</v>
      </c>
      <c r="C773">
        <v>287.61231301174155</v>
      </c>
      <c r="D773">
        <v>280.16081035529538</v>
      </c>
      <c r="E773">
        <v>286.23241068269874</v>
      </c>
      <c r="F773">
        <v>12007100</v>
      </c>
      <c r="G773" s="2" t="s">
        <v>13</v>
      </c>
      <c r="H773">
        <v>-2.3190505818372897</v>
      </c>
      <c r="I773">
        <v>142.55951148412112</v>
      </c>
      <c r="J773">
        <v>275.35083374023435</v>
      </c>
      <c r="K773">
        <v>1.1764524211165928</v>
      </c>
      <c r="L773">
        <v>0</v>
      </c>
      <c r="M773" t="str">
        <f>VLOOKUP(fact_daily_prices[[#This Row],[Ticker]], dim_company[], 2, FALSE)</f>
        <v>JPMorgan Chase &amp; Co.</v>
      </c>
      <c r="N773" t="str">
        <f>VLOOKUP(fact_daily_prices[[#This Row],[Ticker]], dim_company[], 3, FALSE)</f>
        <v>Financials</v>
      </c>
    </row>
    <row r="774" spans="1:14" x14ac:dyDescent="0.3">
      <c r="A774" s="1">
        <v>45873</v>
      </c>
      <c r="B774">
        <v>290.0369873046875</v>
      </c>
      <c r="C774">
        <v>290.09612381852781</v>
      </c>
      <c r="D774">
        <v>286.09439262407562</v>
      </c>
      <c r="E774">
        <v>286.09439262407562</v>
      </c>
      <c r="F774">
        <v>6649500</v>
      </c>
      <c r="G774" s="2" t="s">
        <v>13</v>
      </c>
      <c r="H774">
        <v>1.689867865354544</v>
      </c>
      <c r="I774">
        <v>144.96857885769771</v>
      </c>
      <c r="J774">
        <v>276.03037048339843</v>
      </c>
      <c r="K774">
        <v>1.2070676767147452</v>
      </c>
      <c r="L774">
        <v>0</v>
      </c>
      <c r="M774" t="str">
        <f>VLOOKUP(fact_daily_prices[[#This Row],[Ticker]], dim_company[], 2, FALSE)</f>
        <v>JPMorgan Chase &amp; Co.</v>
      </c>
      <c r="N774" t="str">
        <f>VLOOKUP(fact_daily_prices[[#This Row],[Ticker]], dim_company[], 3, FALSE)</f>
        <v>Financials</v>
      </c>
    </row>
    <row r="775" spans="1:14" x14ac:dyDescent="0.3">
      <c r="A775" s="1">
        <v>45874</v>
      </c>
      <c r="B775">
        <v>287.18844604492188</v>
      </c>
      <c r="C775">
        <v>291.54502636918687</v>
      </c>
      <c r="D775">
        <v>283.11771225513746</v>
      </c>
      <c r="E775">
        <v>290.4608068242693</v>
      </c>
      <c r="F775">
        <v>7182300</v>
      </c>
      <c r="G775" s="2" t="s">
        <v>13</v>
      </c>
      <c r="H775">
        <v>-0.98213034352518935</v>
      </c>
      <c r="I775">
        <v>143.54479845615904</v>
      </c>
      <c r="J775">
        <v>276.66019531249998</v>
      </c>
      <c r="K775">
        <v>1.2138320923523247</v>
      </c>
      <c r="L775">
        <v>0</v>
      </c>
      <c r="M775" t="str">
        <f>VLOOKUP(fact_daily_prices[[#This Row],[Ticker]], dim_company[], 2, FALSE)</f>
        <v>JPMorgan Chase &amp; Co.</v>
      </c>
      <c r="N775" t="str">
        <f>VLOOKUP(fact_daily_prices[[#This Row],[Ticker]], dim_company[], 3, FALSE)</f>
        <v>Financials</v>
      </c>
    </row>
    <row r="776" spans="1:14" x14ac:dyDescent="0.3">
      <c r="A776" s="1">
        <v>45875</v>
      </c>
      <c r="B776">
        <v>287.16876220703125</v>
      </c>
      <c r="C776">
        <v>289.08092314098127</v>
      </c>
      <c r="D776">
        <v>285.99583781724914</v>
      </c>
      <c r="E776">
        <v>288.10511044854343</v>
      </c>
      <c r="F776">
        <v>6330200</v>
      </c>
      <c r="G776" s="2" t="s">
        <v>13</v>
      </c>
      <c r="H776">
        <v>-6.8539797341116149E-3</v>
      </c>
      <c r="I776">
        <v>143.53495992476348</v>
      </c>
      <c r="J776">
        <v>277.28884216308592</v>
      </c>
      <c r="K776">
        <v>1.2022508400306233</v>
      </c>
      <c r="L776">
        <v>0</v>
      </c>
      <c r="M776" t="str">
        <f>VLOOKUP(fact_daily_prices[[#This Row],[Ticker]], dim_company[], 2, FALSE)</f>
        <v>JPMorgan Chase &amp; Co.</v>
      </c>
      <c r="N776" t="str">
        <f>VLOOKUP(fact_daily_prices[[#This Row],[Ticker]], dim_company[], 3, FALSE)</f>
        <v>Financials</v>
      </c>
    </row>
    <row r="777" spans="1:14" x14ac:dyDescent="0.3">
      <c r="A777" s="1">
        <v>45876</v>
      </c>
      <c r="B777">
        <v>287.16876220703125</v>
      </c>
      <c r="C777">
        <v>289.24847096127343</v>
      </c>
      <c r="D777">
        <v>282.29965937267906</v>
      </c>
      <c r="E777">
        <v>288.7359444448802</v>
      </c>
      <c r="F777">
        <v>8057100</v>
      </c>
      <c r="G777" s="2" t="s">
        <v>13</v>
      </c>
      <c r="H777">
        <v>0</v>
      </c>
      <c r="I777">
        <v>143.53495992476348</v>
      </c>
      <c r="J777">
        <v>277.82763610839845</v>
      </c>
      <c r="K777">
        <v>1.1915317654848645</v>
      </c>
      <c r="L777">
        <v>0</v>
      </c>
      <c r="M777" t="str">
        <f>VLOOKUP(fact_daily_prices[[#This Row],[Ticker]], dim_company[], 2, FALSE)</f>
        <v>JPMorgan Chase &amp; Co.</v>
      </c>
      <c r="N777" t="str">
        <f>VLOOKUP(fact_daily_prices[[#This Row],[Ticker]], dim_company[], 3, FALSE)</f>
        <v>Financials</v>
      </c>
    </row>
    <row r="778" spans="1:14" x14ac:dyDescent="0.3">
      <c r="A778" s="1">
        <v>45877</v>
      </c>
      <c r="B778">
        <v>284.61590576171875</v>
      </c>
      <c r="C778">
        <v>287.05045906164958</v>
      </c>
      <c r="D778">
        <v>280.62401079418692</v>
      </c>
      <c r="E778">
        <v>284.8327496617793</v>
      </c>
      <c r="F778">
        <v>6634100</v>
      </c>
      <c r="G778" s="2" t="s">
        <v>13</v>
      </c>
      <c r="H778">
        <v>-0.8889742831680425</v>
      </c>
      <c r="I778">
        <v>142.25897104367678</v>
      </c>
      <c r="J778">
        <v>278.35068603515623</v>
      </c>
      <c r="K778">
        <v>1.1680754773507609</v>
      </c>
      <c r="L778">
        <v>0</v>
      </c>
      <c r="M778" t="str">
        <f>VLOOKUP(fact_daily_prices[[#This Row],[Ticker]], dim_company[], 2, FALSE)</f>
        <v>JPMorgan Chase &amp; Co.</v>
      </c>
      <c r="N778" t="str">
        <f>VLOOKUP(fact_daily_prices[[#This Row],[Ticker]], dim_company[], 3, FALSE)</f>
        <v>Financials</v>
      </c>
    </row>
    <row r="779" spans="1:14" x14ac:dyDescent="0.3">
      <c r="A779" s="1">
        <v>45880</v>
      </c>
      <c r="B779">
        <v>285.4044189453125</v>
      </c>
      <c r="C779">
        <v>287.13917018419738</v>
      </c>
      <c r="D779">
        <v>284.63561420619021</v>
      </c>
      <c r="E779">
        <v>285.2467115527221</v>
      </c>
      <c r="F779">
        <v>5510100</v>
      </c>
      <c r="G779" s="2" t="s">
        <v>13</v>
      </c>
      <c r="H779">
        <v>0.27704466533009509</v>
      </c>
      <c r="I779">
        <v>142.65309193390675</v>
      </c>
      <c r="J779">
        <v>278.87224243164064</v>
      </c>
      <c r="K779">
        <v>1.1635186451198238</v>
      </c>
      <c r="L779">
        <v>0</v>
      </c>
      <c r="M779" t="str">
        <f>VLOOKUP(fact_daily_prices[[#This Row],[Ticker]], dim_company[], 2, FALSE)</f>
        <v>JPMorgan Chase &amp; Co.</v>
      </c>
      <c r="N779" t="str">
        <f>VLOOKUP(fact_daily_prices[[#This Row],[Ticker]], dim_company[], 3, FALSE)</f>
        <v>Financials</v>
      </c>
    </row>
    <row r="780" spans="1:14" x14ac:dyDescent="0.3">
      <c r="A780" s="1">
        <v>45881</v>
      </c>
      <c r="B780">
        <v>288.64724731445313</v>
      </c>
      <c r="C780">
        <v>290.51997395506868</v>
      </c>
      <c r="D780">
        <v>286.1732592848133</v>
      </c>
      <c r="E780">
        <v>287.31661546362176</v>
      </c>
      <c r="F780">
        <v>8570900</v>
      </c>
      <c r="G780" s="2" t="s">
        <v>13</v>
      </c>
      <c r="H780">
        <v>1.136222200456527</v>
      </c>
      <c r="I780">
        <v>144.27394803409749</v>
      </c>
      <c r="J780">
        <v>279.46591430664063</v>
      </c>
      <c r="K780">
        <v>1.1682900870111006</v>
      </c>
      <c r="L780">
        <v>0</v>
      </c>
      <c r="M780" t="str">
        <f>VLOOKUP(fact_daily_prices[[#This Row],[Ticker]], dim_company[], 2, FALSE)</f>
        <v>JPMorgan Chase &amp; Co.</v>
      </c>
      <c r="N780" t="str">
        <f>VLOOKUP(fact_daily_prices[[#This Row],[Ticker]], dim_company[], 3, FALSE)</f>
        <v>Financials</v>
      </c>
    </row>
    <row r="781" spans="1:14" x14ac:dyDescent="0.3">
      <c r="A781" s="1">
        <v>45882</v>
      </c>
      <c r="B781">
        <v>286.36053466796875</v>
      </c>
      <c r="C781">
        <v>290.32283187703922</v>
      </c>
      <c r="D781">
        <v>283.0389031406188</v>
      </c>
      <c r="E781">
        <v>289.7314666813669</v>
      </c>
      <c r="F781">
        <v>8420400</v>
      </c>
      <c r="G781" s="2" t="s">
        <v>13</v>
      </c>
      <c r="H781">
        <v>-0.79221702883354173</v>
      </c>
      <c r="I781">
        <v>143.13098524960088</v>
      </c>
      <c r="J781">
        <v>280.00090332031249</v>
      </c>
      <c r="K781">
        <v>1.1782160411992348</v>
      </c>
      <c r="L781">
        <v>0</v>
      </c>
      <c r="M781" t="str">
        <f>VLOOKUP(fact_daily_prices[[#This Row],[Ticker]], dim_company[], 2, FALSE)</f>
        <v>JPMorgan Chase &amp; Co.</v>
      </c>
      <c r="N781" t="str">
        <f>VLOOKUP(fact_daily_prices[[#This Row],[Ticker]], dim_company[], 3, FALSE)</f>
        <v>Financials</v>
      </c>
    </row>
    <row r="782" spans="1:14" x14ac:dyDescent="0.3">
      <c r="A782" s="1">
        <v>45883</v>
      </c>
      <c r="B782">
        <v>289.93844604492188</v>
      </c>
      <c r="C782">
        <v>289.9778804180479</v>
      </c>
      <c r="D782">
        <v>285.48332442930791</v>
      </c>
      <c r="E782">
        <v>286.40980660066941</v>
      </c>
      <c r="F782">
        <v>6322400</v>
      </c>
      <c r="G782" s="2" t="s">
        <v>13</v>
      </c>
      <c r="H782">
        <v>1.2494429028433229</v>
      </c>
      <c r="I782">
        <v>144.91932518657177</v>
      </c>
      <c r="J782">
        <v>280.57586547851565</v>
      </c>
      <c r="K782">
        <v>1.19580649723889</v>
      </c>
      <c r="L782">
        <v>0</v>
      </c>
      <c r="M782" t="str">
        <f>VLOOKUP(fact_daily_prices[[#This Row],[Ticker]], dim_company[], 2, FALSE)</f>
        <v>JPMorgan Chase &amp; Co.</v>
      </c>
      <c r="N782" t="str">
        <f>VLOOKUP(fact_daily_prices[[#This Row],[Ticker]], dim_company[], 3, FALSE)</f>
        <v>Financials</v>
      </c>
    </row>
    <row r="783" spans="1:14" x14ac:dyDescent="0.3">
      <c r="A783" s="1">
        <v>45884</v>
      </c>
      <c r="B783">
        <v>286.32107543945313</v>
      </c>
      <c r="C783">
        <v>291.25918495193082</v>
      </c>
      <c r="D783">
        <v>285.66070766840801</v>
      </c>
      <c r="E783">
        <v>290.60865321355089</v>
      </c>
      <c r="F783">
        <v>7340500</v>
      </c>
      <c r="G783" s="2" t="s">
        <v>13</v>
      </c>
      <c r="H783">
        <v>-1.2476339908741529</v>
      </c>
      <c r="I783">
        <v>143.11126242619864</v>
      </c>
      <c r="J783">
        <v>281.11869750976564</v>
      </c>
      <c r="K783">
        <v>1.1677556595881755</v>
      </c>
      <c r="L783">
        <v>0</v>
      </c>
      <c r="M783" t="str">
        <f>VLOOKUP(fact_daily_prices[[#This Row],[Ticker]], dim_company[], 2, FALSE)</f>
        <v>JPMorgan Chase &amp; Co.</v>
      </c>
      <c r="N783" t="str">
        <f>VLOOKUP(fact_daily_prices[[#This Row],[Ticker]], dim_company[], 3, FALSE)</f>
        <v>Financials</v>
      </c>
    </row>
    <row r="784" spans="1:14" x14ac:dyDescent="0.3">
      <c r="A784" s="1">
        <v>45887</v>
      </c>
      <c r="B784">
        <v>287.34616088867188</v>
      </c>
      <c r="C784">
        <v>287.71084609059471</v>
      </c>
      <c r="D784">
        <v>284.27094179400183</v>
      </c>
      <c r="E784">
        <v>285.83811959880057</v>
      </c>
      <c r="F784">
        <v>5386900</v>
      </c>
      <c r="G784" s="2" t="s">
        <v>13</v>
      </c>
      <c r="H784">
        <v>0.35801955816401332</v>
      </c>
      <c r="I784">
        <v>143.62362873561983</v>
      </c>
      <c r="J784">
        <v>281.72656494140625</v>
      </c>
      <c r="K784">
        <v>1.143414210658831</v>
      </c>
      <c r="L784">
        <v>0</v>
      </c>
      <c r="M784" t="str">
        <f>VLOOKUP(fact_daily_prices[[#This Row],[Ticker]], dim_company[], 2, FALSE)</f>
        <v>JPMorgan Chase &amp; Co.</v>
      </c>
      <c r="N784" t="str">
        <f>VLOOKUP(fact_daily_prices[[#This Row],[Ticker]], dim_company[], 3, FALSE)</f>
        <v>Financials</v>
      </c>
    </row>
    <row r="785" spans="1:14" x14ac:dyDescent="0.3">
      <c r="A785" s="1">
        <v>45888</v>
      </c>
      <c r="B785">
        <v>286.48867797851563</v>
      </c>
      <c r="C785">
        <v>288.2825659770611</v>
      </c>
      <c r="D785">
        <v>285.37489004447787</v>
      </c>
      <c r="E785">
        <v>286.65622142651688</v>
      </c>
      <c r="F785">
        <v>6031500</v>
      </c>
      <c r="G785" s="2" t="s">
        <v>13</v>
      </c>
      <c r="H785">
        <v>-0.29841460470685366</v>
      </c>
      <c r="I785">
        <v>143.1950348516628</v>
      </c>
      <c r="J785">
        <v>282.24312561035157</v>
      </c>
      <c r="K785">
        <v>0.97941121848378521</v>
      </c>
      <c r="L785">
        <v>0</v>
      </c>
      <c r="M785" t="str">
        <f>VLOOKUP(fact_daily_prices[[#This Row],[Ticker]], dim_company[], 2, FALSE)</f>
        <v>JPMorgan Chase &amp; Co.</v>
      </c>
      <c r="N785" t="str">
        <f>VLOOKUP(fact_daily_prices[[#This Row],[Ticker]], dim_company[], 3, FALSE)</f>
        <v>Financials</v>
      </c>
    </row>
    <row r="786" spans="1:14" x14ac:dyDescent="0.3">
      <c r="A786" s="1">
        <v>45889</v>
      </c>
      <c r="B786">
        <v>288.04595947265625</v>
      </c>
      <c r="C786">
        <v>289.12031292003212</v>
      </c>
      <c r="D786">
        <v>283.14728434934551</v>
      </c>
      <c r="E786">
        <v>286.63648908496583</v>
      </c>
      <c r="F786">
        <v>7374200</v>
      </c>
      <c r="G786" s="2" t="s">
        <v>13</v>
      </c>
      <c r="H786">
        <v>0.54357523135954988</v>
      </c>
      <c r="I786">
        <v>143.97340759365312</v>
      </c>
      <c r="J786">
        <v>282.77101745605466</v>
      </c>
      <c r="K786">
        <v>0.98280338691600655</v>
      </c>
      <c r="L786">
        <v>0</v>
      </c>
      <c r="M786" t="str">
        <f>VLOOKUP(fact_daily_prices[[#This Row],[Ticker]], dim_company[], 2, FALSE)</f>
        <v>JPMorgan Chase &amp; Co.</v>
      </c>
      <c r="N786" t="str">
        <f>VLOOKUP(fact_daily_prices[[#This Row],[Ticker]], dim_company[], 3, FALSE)</f>
        <v>Financials</v>
      </c>
    </row>
    <row r="787" spans="1:14" x14ac:dyDescent="0.3">
      <c r="A787" s="1">
        <v>45890</v>
      </c>
      <c r="B787">
        <v>287.28704833984369</v>
      </c>
      <c r="C787">
        <v>288.56837970964409</v>
      </c>
      <c r="D787">
        <v>285.31575079885044</v>
      </c>
      <c r="E787">
        <v>287.75030446516172</v>
      </c>
      <c r="F787">
        <v>6624000</v>
      </c>
      <c r="G787" s="2" t="s">
        <v>13</v>
      </c>
      <c r="H787">
        <v>-0.26346876526299745</v>
      </c>
      <c r="I787">
        <v>143.59408263435907</v>
      </c>
      <c r="J787">
        <v>283.24723999023439</v>
      </c>
      <c r="K787">
        <v>0.93282740563199251</v>
      </c>
      <c r="L787">
        <v>0</v>
      </c>
      <c r="M787" t="str">
        <f>VLOOKUP(fact_daily_prices[[#This Row],[Ticker]], dim_company[], 2, FALSE)</f>
        <v>JPMorgan Chase &amp; Co.</v>
      </c>
      <c r="N787" t="str">
        <f>VLOOKUP(fact_daily_prices[[#This Row],[Ticker]], dim_company[], 3, FALSE)</f>
        <v>Financials</v>
      </c>
    </row>
    <row r="788" spans="1:14" x14ac:dyDescent="0.3">
      <c r="A788" s="1">
        <v>45891</v>
      </c>
      <c r="B788">
        <v>291.98855590820313</v>
      </c>
      <c r="C788">
        <v>292.89536593060348</v>
      </c>
      <c r="D788">
        <v>285.96625689985001</v>
      </c>
      <c r="E788">
        <v>288.99220557246861</v>
      </c>
      <c r="F788">
        <v>8552800</v>
      </c>
      <c r="G788" s="2" t="s">
        <v>13</v>
      </c>
      <c r="H788">
        <v>1.6365191523697975</v>
      </c>
      <c r="I788">
        <v>145.94402729834007</v>
      </c>
      <c r="J788">
        <v>283.82632141113282</v>
      </c>
      <c r="K788">
        <v>0.97162043540287846</v>
      </c>
      <c r="L788">
        <v>0</v>
      </c>
      <c r="M788" t="str">
        <f>VLOOKUP(fact_daily_prices[[#This Row],[Ticker]], dim_company[], 2, FALSE)</f>
        <v>JPMorgan Chase &amp; Co.</v>
      </c>
      <c r="N788" t="str">
        <f>VLOOKUP(fact_daily_prices[[#This Row],[Ticker]], dim_company[], 3, FALSE)</f>
        <v>Financials</v>
      </c>
    </row>
    <row r="789" spans="1:14" x14ac:dyDescent="0.3">
      <c r="A789" s="1">
        <v>45894</v>
      </c>
      <c r="B789">
        <v>290.66781616210938</v>
      </c>
      <c r="C789">
        <v>293.08266767966575</v>
      </c>
      <c r="D789">
        <v>289.91874355129119</v>
      </c>
      <c r="E789">
        <v>291.98858190392423</v>
      </c>
      <c r="F789">
        <v>5856300</v>
      </c>
      <c r="G789" s="2" t="s">
        <v>13</v>
      </c>
      <c r="H789">
        <v>-0.45232585982204476</v>
      </c>
      <c r="I789">
        <v>145.28388472200393</v>
      </c>
      <c r="J789">
        <v>284.37722290039062</v>
      </c>
      <c r="K789">
        <v>0.9715849679345121</v>
      </c>
      <c r="L789">
        <v>0</v>
      </c>
      <c r="M789" t="str">
        <f>VLOOKUP(fact_daily_prices[[#This Row],[Ticker]], dim_company[], 2, FALSE)</f>
        <v>JPMorgan Chase &amp; Co.</v>
      </c>
      <c r="N789" t="str">
        <f>VLOOKUP(fact_daily_prices[[#This Row],[Ticker]], dim_company[], 3, FALSE)</f>
        <v>Financials</v>
      </c>
    </row>
    <row r="790" spans="1:14" x14ac:dyDescent="0.3">
      <c r="A790" s="1">
        <v>45895</v>
      </c>
      <c r="B790">
        <v>294.28512573242188</v>
      </c>
      <c r="C790">
        <v>294.45266915895689</v>
      </c>
      <c r="D790">
        <v>289.28787983942829</v>
      </c>
      <c r="E790">
        <v>289.93841156037507</v>
      </c>
      <c r="F790">
        <v>6714700</v>
      </c>
      <c r="G790" s="2" t="s">
        <v>13</v>
      </c>
      <c r="H790">
        <v>1.2444823159558416</v>
      </c>
      <c r="I790">
        <v>147.09191697530295</v>
      </c>
      <c r="J790">
        <v>285.06501403808596</v>
      </c>
      <c r="K790">
        <v>0.98151068351676529</v>
      </c>
      <c r="L790">
        <v>0</v>
      </c>
      <c r="M790" t="str">
        <f>VLOOKUP(fact_daily_prices[[#This Row],[Ticker]], dim_company[], 2, FALSE)</f>
        <v>JPMorgan Chase &amp; Co.</v>
      </c>
      <c r="N790" t="str">
        <f>VLOOKUP(fact_daily_prices[[#This Row],[Ticker]], dim_company[], 3, FALSE)</f>
        <v>Financials</v>
      </c>
    </row>
    <row r="791" spans="1:14" x14ac:dyDescent="0.3">
      <c r="A791" s="1">
        <v>45896</v>
      </c>
      <c r="B791">
        <v>294.98495483398438</v>
      </c>
      <c r="C791">
        <v>296.74927450763425</v>
      </c>
      <c r="D791">
        <v>292.77711127340297</v>
      </c>
      <c r="E791">
        <v>292.98408908730443</v>
      </c>
      <c r="F791">
        <v>6056500</v>
      </c>
      <c r="G791" s="2" t="s">
        <v>13</v>
      </c>
      <c r="H791">
        <v>0.23780648098361556</v>
      </c>
      <c r="I791">
        <v>147.44171108687328</v>
      </c>
      <c r="J791">
        <v>285.66066711425782</v>
      </c>
      <c r="K791">
        <v>0.97876573323698779</v>
      </c>
      <c r="L791">
        <v>0</v>
      </c>
      <c r="M791" t="str">
        <f>VLOOKUP(fact_daily_prices[[#This Row],[Ticker]], dim_company[], 2, FALSE)</f>
        <v>JPMorgan Chase &amp; Co.</v>
      </c>
      <c r="N791" t="str">
        <f>VLOOKUP(fact_daily_prices[[#This Row],[Ticker]], dim_company[], 3, FALSE)</f>
        <v>Financials</v>
      </c>
    </row>
    <row r="792" spans="1:14" x14ac:dyDescent="0.3">
      <c r="A792" s="1">
        <v>45897</v>
      </c>
      <c r="B792">
        <v>296.749267578125</v>
      </c>
      <c r="C792">
        <v>296.91681101607145</v>
      </c>
      <c r="D792">
        <v>294.41328492266325</v>
      </c>
      <c r="E792">
        <v>295.71431837356056</v>
      </c>
      <c r="F792">
        <v>6410500</v>
      </c>
      <c r="G792" s="2" t="s">
        <v>13</v>
      </c>
      <c r="H792">
        <v>0.59810262022805816</v>
      </c>
      <c r="I792">
        <v>148.32356382419295</v>
      </c>
      <c r="J792">
        <v>286.30808471679688</v>
      </c>
      <c r="K792">
        <v>0.95305166476127656</v>
      </c>
      <c r="L792">
        <v>0</v>
      </c>
      <c r="M792" t="str">
        <f>VLOOKUP(fact_daily_prices[[#This Row],[Ticker]], dim_company[], 2, FALSE)</f>
        <v>JPMorgan Chase &amp; Co.</v>
      </c>
      <c r="N792" t="str">
        <f>VLOOKUP(fact_daily_prices[[#This Row],[Ticker]], dim_company[], 3, FALSE)</f>
        <v>Financials</v>
      </c>
    </row>
    <row r="793" spans="1:14" x14ac:dyDescent="0.3">
      <c r="A793" s="1">
        <v>45898</v>
      </c>
      <c r="B793">
        <v>297.09423828125</v>
      </c>
      <c r="C793">
        <v>298.60227955806266</v>
      </c>
      <c r="D793">
        <v>295.42848960612622</v>
      </c>
      <c r="E793">
        <v>297.70533564994906</v>
      </c>
      <c r="F793">
        <v>6796400</v>
      </c>
      <c r="G793" s="2" t="s">
        <v>13</v>
      </c>
      <c r="H793">
        <v>0.11624989201841629</v>
      </c>
      <c r="I793">
        <v>148.49598980697641</v>
      </c>
      <c r="J793">
        <v>286.87529602050779</v>
      </c>
      <c r="K793">
        <v>0.95085924948540912</v>
      </c>
      <c r="L793">
        <v>0</v>
      </c>
      <c r="M793" t="str">
        <f>VLOOKUP(fact_daily_prices[[#This Row],[Ticker]], dim_company[], 2, FALSE)</f>
        <v>JPMorgan Chase &amp; Co.</v>
      </c>
      <c r="N793" t="str">
        <f>VLOOKUP(fact_daily_prices[[#This Row],[Ticker]], dim_company[], 3, FALSE)</f>
        <v>Financials</v>
      </c>
    </row>
    <row r="794" spans="1:14" x14ac:dyDescent="0.3">
      <c r="A794" s="1">
        <v>45902</v>
      </c>
      <c r="B794">
        <v>295.39895629882813</v>
      </c>
      <c r="C794">
        <v>296.14802892991878</v>
      </c>
      <c r="D794">
        <v>290.27357052594709</v>
      </c>
      <c r="E794">
        <v>295.95091721841663</v>
      </c>
      <c r="F794">
        <v>7221900</v>
      </c>
      <c r="G794" s="2" t="s">
        <v>13</v>
      </c>
      <c r="H794">
        <v>-0.57062095590592055</v>
      </c>
      <c r="I794">
        <v>147.6486405704579</v>
      </c>
      <c r="J794">
        <v>287.38819885253906</v>
      </c>
      <c r="K794">
        <v>0.95842020864126254</v>
      </c>
      <c r="L794">
        <v>0</v>
      </c>
      <c r="M794" t="str">
        <f>VLOOKUP(fact_daily_prices[[#This Row],[Ticker]], dim_company[], 2, FALSE)</f>
        <v>JPMorgan Chase &amp; Co.</v>
      </c>
      <c r="N794" t="str">
        <f>VLOOKUP(fact_daily_prices[[#This Row],[Ticker]], dim_company[], 3, FALSE)</f>
        <v>Financials</v>
      </c>
    </row>
    <row r="795" spans="1:14" x14ac:dyDescent="0.3">
      <c r="A795" s="1">
        <v>45903</v>
      </c>
      <c r="B795">
        <v>295.21163940429688</v>
      </c>
      <c r="C795">
        <v>296.25642457619108</v>
      </c>
      <c r="D795">
        <v>292.1265542897072</v>
      </c>
      <c r="E795">
        <v>296.25642457619108</v>
      </c>
      <c r="F795">
        <v>6316900</v>
      </c>
      <c r="G795" s="2" t="s">
        <v>13</v>
      </c>
      <c r="H795">
        <v>-6.3411495043252941E-2</v>
      </c>
      <c r="I795">
        <v>147.55501436006114</v>
      </c>
      <c r="J795">
        <v>287.83320312500001</v>
      </c>
      <c r="K795">
        <v>0.95883450612328991</v>
      </c>
      <c r="L795">
        <v>0</v>
      </c>
      <c r="M795" t="str">
        <f>VLOOKUP(fact_daily_prices[[#This Row],[Ticker]], dim_company[], 2, FALSE)</f>
        <v>JPMorgan Chase &amp; Co.</v>
      </c>
      <c r="N795" t="str">
        <f>VLOOKUP(fact_daily_prices[[#This Row],[Ticker]], dim_company[], 3, FALSE)</f>
        <v>Financials</v>
      </c>
    </row>
    <row r="796" spans="1:14" x14ac:dyDescent="0.3">
      <c r="A796" s="1">
        <v>45904</v>
      </c>
      <c r="B796">
        <v>299.45980834960938</v>
      </c>
      <c r="C796">
        <v>300.06103964469008</v>
      </c>
      <c r="D796">
        <v>293.99930589051002</v>
      </c>
      <c r="E796">
        <v>295.69462293183699</v>
      </c>
      <c r="F796">
        <v>6605800</v>
      </c>
      <c r="G796" s="2" t="s">
        <v>13</v>
      </c>
      <c r="H796">
        <v>1.4390248819067031</v>
      </c>
      <c r="I796">
        <v>149.67836773120342</v>
      </c>
      <c r="J796">
        <v>288.30451049804685</v>
      </c>
      <c r="K796">
        <v>0.93692253747625698</v>
      </c>
      <c r="L796">
        <v>0</v>
      </c>
      <c r="M796" t="str">
        <f>VLOOKUP(fact_daily_prices[[#This Row],[Ticker]], dim_company[], 2, FALSE)</f>
        <v>JPMorgan Chase &amp; Co.</v>
      </c>
      <c r="N796" t="str">
        <f>VLOOKUP(fact_daily_prices[[#This Row],[Ticker]], dim_company[], 3, FALSE)</f>
        <v>Financials</v>
      </c>
    </row>
    <row r="797" spans="1:14" x14ac:dyDescent="0.3">
      <c r="A797" s="1">
        <v>45905</v>
      </c>
      <c r="B797">
        <v>290.1552734375</v>
      </c>
      <c r="C797">
        <v>300.77069926584329</v>
      </c>
      <c r="D797">
        <v>290.08627080836624</v>
      </c>
      <c r="E797">
        <v>299.29222619383722</v>
      </c>
      <c r="F797">
        <v>9837700</v>
      </c>
      <c r="G797" s="2" t="s">
        <v>13</v>
      </c>
      <c r="H797">
        <v>-3.107106413841898</v>
      </c>
      <c r="I797">
        <v>145.02770156729332</v>
      </c>
      <c r="J797">
        <v>288.5347961425781</v>
      </c>
      <c r="K797">
        <v>1.1032957391759279</v>
      </c>
      <c r="L797">
        <v>0</v>
      </c>
      <c r="M797" t="str">
        <f>VLOOKUP(fact_daily_prices[[#This Row],[Ticker]], dim_company[], 2, FALSE)</f>
        <v>JPMorgan Chase &amp; Co.</v>
      </c>
      <c r="N797" t="str">
        <f>VLOOKUP(fact_daily_prices[[#This Row],[Ticker]], dim_company[], 3, FALSE)</f>
        <v>Financials</v>
      </c>
    </row>
    <row r="798" spans="1:14" x14ac:dyDescent="0.3">
      <c r="A798" s="1">
        <v>45908</v>
      </c>
      <c r="B798">
        <v>288.70635986328125</v>
      </c>
      <c r="C798">
        <v>292.20540066234315</v>
      </c>
      <c r="D798">
        <v>287.25745509349622</v>
      </c>
      <c r="E798">
        <v>290.65795508777052</v>
      </c>
      <c r="F798">
        <v>8188500</v>
      </c>
      <c r="G798" s="2" t="s">
        <v>13</v>
      </c>
      <c r="H798">
        <v>-0.49935800133953379</v>
      </c>
      <c r="I798">
        <v>144.30349413535822</v>
      </c>
      <c r="J798">
        <v>288.64409240722654</v>
      </c>
      <c r="K798">
        <v>1.0981247553473854</v>
      </c>
      <c r="L798">
        <v>0</v>
      </c>
      <c r="M798" t="str">
        <f>VLOOKUP(fact_daily_prices[[#This Row],[Ticker]], dim_company[], 2, FALSE)</f>
        <v>JPMorgan Chase &amp; Co.</v>
      </c>
      <c r="N798" t="str">
        <f>VLOOKUP(fact_daily_prices[[#This Row],[Ticker]], dim_company[], 3, FALSE)</f>
        <v>Financials</v>
      </c>
    </row>
    <row r="799" spans="1:14" x14ac:dyDescent="0.3">
      <c r="A799" s="1">
        <v>45909</v>
      </c>
      <c r="B799">
        <v>293.57546997070313</v>
      </c>
      <c r="C799">
        <v>294.70895995460631</v>
      </c>
      <c r="D799">
        <v>288.11496777534006</v>
      </c>
      <c r="E799">
        <v>288.40081431932629</v>
      </c>
      <c r="F799">
        <v>7848200</v>
      </c>
      <c r="G799" s="2" t="s">
        <v>13</v>
      </c>
      <c r="H799">
        <v>1.6865267913487081</v>
      </c>
      <c r="I799">
        <v>146.73721122480336</v>
      </c>
      <c r="J799">
        <v>288.88294616699221</v>
      </c>
      <c r="K799">
        <v>1.1432618094972278</v>
      </c>
      <c r="L799">
        <v>0</v>
      </c>
      <c r="M799" t="str">
        <f>VLOOKUP(fact_daily_prices[[#This Row],[Ticker]], dim_company[], 2, FALSE)</f>
        <v>JPMorgan Chase &amp; Co.</v>
      </c>
      <c r="N799" t="str">
        <f>VLOOKUP(fact_daily_prices[[#This Row],[Ticker]], dim_company[], 3, FALSE)</f>
        <v>Financials</v>
      </c>
    </row>
    <row r="800" spans="1:14" x14ac:dyDescent="0.3">
      <c r="A800" s="1">
        <v>45910</v>
      </c>
      <c r="B800">
        <v>296.22686767578125</v>
      </c>
      <c r="C800">
        <v>297.2125163723058</v>
      </c>
      <c r="D800">
        <v>291.16061893743171</v>
      </c>
      <c r="E800">
        <v>292.44198029068025</v>
      </c>
      <c r="F800">
        <v>7787300</v>
      </c>
      <c r="G800" s="2" t="s">
        <v>13</v>
      </c>
      <c r="H800">
        <v>0.90314007002789687</v>
      </c>
      <c r="I800">
        <v>148.06245377701603</v>
      </c>
      <c r="J800">
        <v>289.11989624023437</v>
      </c>
      <c r="K800">
        <v>1.1519877344183453</v>
      </c>
      <c r="L800">
        <v>0</v>
      </c>
      <c r="M800" t="str">
        <f>VLOOKUP(fact_daily_prices[[#This Row],[Ticker]], dim_company[], 2, FALSE)</f>
        <v>JPMorgan Chase &amp; Co.</v>
      </c>
      <c r="N800" t="str">
        <f>VLOOKUP(fact_daily_prices[[#This Row],[Ticker]], dim_company[], 3, FALSE)</f>
        <v>Financials</v>
      </c>
    </row>
    <row r="801" spans="1:14" x14ac:dyDescent="0.3">
      <c r="A801" s="1">
        <v>45911</v>
      </c>
      <c r="B801">
        <v>301.17483520507813</v>
      </c>
      <c r="C801">
        <v>301.34240873070212</v>
      </c>
      <c r="D801">
        <v>296.47330140942091</v>
      </c>
      <c r="E801">
        <v>296.91682530734334</v>
      </c>
      <c r="F801">
        <v>7942500</v>
      </c>
      <c r="G801" s="2" t="s">
        <v>13</v>
      </c>
      <c r="H801">
        <v>1.6703304356282755</v>
      </c>
      <c r="I801">
        <v>150.53558600619158</v>
      </c>
      <c r="J801">
        <v>289.44599609375001</v>
      </c>
      <c r="K801">
        <v>1.1806054212598063</v>
      </c>
      <c r="L801">
        <v>0</v>
      </c>
      <c r="M801" t="str">
        <f>VLOOKUP(fact_daily_prices[[#This Row],[Ticker]], dim_company[], 2, FALSE)</f>
        <v>JPMorgan Chase &amp; Co.</v>
      </c>
      <c r="N801" t="str">
        <f>VLOOKUP(fact_daily_prices[[#This Row],[Ticker]], dim_company[], 3, FALSE)</f>
        <v>Financials</v>
      </c>
    </row>
    <row r="802" spans="1:14" x14ac:dyDescent="0.3">
      <c r="A802" s="1">
        <v>45912</v>
      </c>
      <c r="B802">
        <v>302.50546264648438</v>
      </c>
      <c r="C802">
        <v>303.13626220753474</v>
      </c>
      <c r="D802">
        <v>299.34153856899252</v>
      </c>
      <c r="E802">
        <v>300.62286991712199</v>
      </c>
      <c r="F802">
        <v>6846700</v>
      </c>
      <c r="G802" s="2" t="s">
        <v>13</v>
      </c>
      <c r="H802">
        <v>0.44181229168771541</v>
      </c>
      <c r="I802">
        <v>151.20067072853107</v>
      </c>
      <c r="J802">
        <v>289.76751525878905</v>
      </c>
      <c r="K802">
        <v>1.160065015039569</v>
      </c>
      <c r="L802">
        <v>0</v>
      </c>
      <c r="M802" t="str">
        <f>VLOOKUP(fact_daily_prices[[#This Row],[Ticker]], dim_company[], 2, FALSE)</f>
        <v>JPMorgan Chase &amp; Co.</v>
      </c>
      <c r="N802" t="str">
        <f>VLOOKUP(fact_daily_prices[[#This Row],[Ticker]], dim_company[], 3, FALSE)</f>
        <v>Financials</v>
      </c>
    </row>
    <row r="803" spans="1:14" x14ac:dyDescent="0.3">
      <c r="A803" s="1">
        <v>45915</v>
      </c>
      <c r="B803">
        <v>304.46685791015625</v>
      </c>
      <c r="C803">
        <v>305.50180702662493</v>
      </c>
      <c r="D803">
        <v>302.76170501933825</v>
      </c>
      <c r="E803">
        <v>302.76170501933825</v>
      </c>
      <c r="F803">
        <v>7122000</v>
      </c>
      <c r="G803" s="2" t="s">
        <v>13</v>
      </c>
      <c r="H803">
        <v>0.64838341976125591</v>
      </c>
      <c r="I803">
        <v>152.18103080810269</v>
      </c>
      <c r="J803">
        <v>290.02181213378907</v>
      </c>
      <c r="K803">
        <v>1.0673274687320475</v>
      </c>
      <c r="L803">
        <v>0</v>
      </c>
      <c r="M803" t="str">
        <f>VLOOKUP(fact_daily_prices[[#This Row],[Ticker]], dim_company[], 2, FALSE)</f>
        <v>JPMorgan Chase &amp; Co.</v>
      </c>
      <c r="N803" t="str">
        <f>VLOOKUP(fact_daily_prices[[#This Row],[Ticker]], dim_company[], 3, FALSE)</f>
        <v>Financials</v>
      </c>
    </row>
    <row r="804" spans="1:14" x14ac:dyDescent="0.3">
      <c r="A804" s="1">
        <v>45916</v>
      </c>
      <c r="B804">
        <v>304.75271606445313</v>
      </c>
      <c r="C804">
        <v>306.43816687549872</v>
      </c>
      <c r="D804">
        <v>302.72228220142239</v>
      </c>
      <c r="E804">
        <v>305.55108908440161</v>
      </c>
      <c r="F804">
        <v>10525600</v>
      </c>
      <c r="G804" s="2" t="s">
        <v>13</v>
      </c>
      <c r="H804">
        <v>9.3888102061079337E-2</v>
      </c>
      <c r="I804">
        <v>152.32391068962542</v>
      </c>
      <c r="J804">
        <v>290.36126953125</v>
      </c>
      <c r="K804">
        <v>1.0308685098177752</v>
      </c>
      <c r="L804">
        <v>0</v>
      </c>
      <c r="M804" t="str">
        <f>VLOOKUP(fact_daily_prices[[#This Row],[Ticker]], dim_company[], 2, FALSE)</f>
        <v>JPMorgan Chase &amp; Co.</v>
      </c>
      <c r="N804" t="str">
        <f>VLOOKUP(fact_daily_prices[[#This Row],[Ticker]], dim_company[], 3, FALSE)</f>
        <v>Financials</v>
      </c>
    </row>
    <row r="805" spans="1:14" x14ac:dyDescent="0.3">
      <c r="A805" s="1">
        <v>45917</v>
      </c>
      <c r="B805">
        <v>307.27597045898438</v>
      </c>
      <c r="C805">
        <v>308.41932651675705</v>
      </c>
      <c r="D805">
        <v>304.33872661679538</v>
      </c>
      <c r="E805">
        <v>305.93550271652612</v>
      </c>
      <c r="F805">
        <v>8657800</v>
      </c>
      <c r="G805" s="2" t="s">
        <v>13</v>
      </c>
      <c r="H805">
        <v>0.82796781177747469</v>
      </c>
      <c r="I805">
        <v>153.58510363977615</v>
      </c>
      <c r="J805">
        <v>290.93235412597659</v>
      </c>
      <c r="K805">
        <v>1.0139260792090405</v>
      </c>
      <c r="L805">
        <v>0</v>
      </c>
      <c r="M805" t="str">
        <f>VLOOKUP(fact_daily_prices[[#This Row],[Ticker]], dim_company[], 2, FALSE)</f>
        <v>JPMorgan Chase &amp; Co.</v>
      </c>
      <c r="N805" t="str">
        <f>VLOOKUP(fact_daily_prices[[#This Row],[Ticker]], dim_company[], 3, FALSE)</f>
        <v>Financials</v>
      </c>
    </row>
    <row r="806" spans="1:14" x14ac:dyDescent="0.3">
      <c r="A806" s="1">
        <v>45918</v>
      </c>
      <c r="B806">
        <v>308.7347412109375</v>
      </c>
      <c r="C806">
        <v>308.94171900765593</v>
      </c>
      <c r="D806">
        <v>305.16666778780973</v>
      </c>
      <c r="E806">
        <v>307.31540473136209</v>
      </c>
      <c r="F806">
        <v>8050700</v>
      </c>
      <c r="G806" s="2" t="s">
        <v>13</v>
      </c>
      <c r="H806">
        <v>0.47474286706314928</v>
      </c>
      <c r="I806">
        <v>154.31423796417755</v>
      </c>
      <c r="J806">
        <v>291.52512329101563</v>
      </c>
      <c r="K806">
        <v>1.0138493046777377</v>
      </c>
      <c r="L806">
        <v>0</v>
      </c>
      <c r="M806" t="str">
        <f>VLOOKUP(fact_daily_prices[[#This Row],[Ticker]], dim_company[], 2, FALSE)</f>
        <v>JPMorgan Chase &amp; Co.</v>
      </c>
      <c r="N806" t="str">
        <f>VLOOKUP(fact_daily_prices[[#This Row],[Ticker]], dim_company[], 3, FALSE)</f>
        <v>Financials</v>
      </c>
    </row>
    <row r="807" spans="1:14" x14ac:dyDescent="0.3">
      <c r="A807" s="1">
        <v>45919</v>
      </c>
      <c r="B807">
        <v>310.26251220703125</v>
      </c>
      <c r="C807">
        <v>311.26786310299872</v>
      </c>
      <c r="D807">
        <v>304.68373667454165</v>
      </c>
      <c r="E807">
        <v>309.09945390156849</v>
      </c>
      <c r="F807">
        <v>23568600</v>
      </c>
      <c r="G807" s="2" t="s">
        <v>13</v>
      </c>
      <c r="H807">
        <v>0.49484907014398782</v>
      </c>
      <c r="I807">
        <v>155.07786053584306</v>
      </c>
      <c r="J807">
        <v>292.04929138183593</v>
      </c>
      <c r="K807">
        <v>1.0137233817074867</v>
      </c>
      <c r="L807">
        <v>1</v>
      </c>
      <c r="M807" t="str">
        <f>VLOOKUP(fact_daily_prices[[#This Row],[Ticker]], dim_company[], 2, FALSE)</f>
        <v>JPMorgan Chase &amp; Co.</v>
      </c>
      <c r="N807" t="str">
        <f>VLOOKUP(fact_daily_prices[[#This Row],[Ticker]], dim_company[], 3, FALSE)</f>
        <v>Financials</v>
      </c>
    </row>
    <row r="808" spans="1:14" x14ac:dyDescent="0.3">
      <c r="A808" s="1">
        <v>45922</v>
      </c>
      <c r="B808">
        <v>307.95611572265625</v>
      </c>
      <c r="C808">
        <v>309.19804284518358</v>
      </c>
      <c r="D808">
        <v>305.11744234523064</v>
      </c>
      <c r="E808">
        <v>305.35398843347792</v>
      </c>
      <c r="F808">
        <v>7520200</v>
      </c>
      <c r="G808" s="2" t="s">
        <v>13</v>
      </c>
      <c r="H808">
        <v>-0.74336937065603292</v>
      </c>
      <c r="I808">
        <v>153.92505921995092</v>
      </c>
      <c r="J808">
        <v>292.55355041503907</v>
      </c>
      <c r="K808">
        <v>1.0083513510216098</v>
      </c>
      <c r="L808">
        <v>0</v>
      </c>
      <c r="M808" t="str">
        <f>VLOOKUP(fact_daily_prices[[#This Row],[Ticker]], dim_company[], 2, FALSE)</f>
        <v>JPMorgan Chase &amp; Co.</v>
      </c>
      <c r="N808" t="str">
        <f>VLOOKUP(fact_daily_prices[[#This Row],[Ticker]], dim_company[], 3, FALSE)</f>
        <v>Financials</v>
      </c>
    </row>
    <row r="809" spans="1:14" x14ac:dyDescent="0.3">
      <c r="A809" s="1">
        <v>45923</v>
      </c>
      <c r="B809">
        <v>308.25177001953125</v>
      </c>
      <c r="C809">
        <v>311.77054315707727</v>
      </c>
      <c r="D809">
        <v>306.12276518201463</v>
      </c>
      <c r="E809">
        <v>307.34499004479613</v>
      </c>
      <c r="F809">
        <v>8584400</v>
      </c>
      <c r="G809" s="2" t="s">
        <v>13</v>
      </c>
      <c r="H809">
        <v>9.6005333805826432E-2</v>
      </c>
      <c r="I809">
        <v>154.07283548686587</v>
      </c>
      <c r="J809">
        <v>293.02744995117189</v>
      </c>
      <c r="K809">
        <v>1.0088370102251574</v>
      </c>
      <c r="L809">
        <v>0</v>
      </c>
      <c r="M809" t="str">
        <f>VLOOKUP(fact_daily_prices[[#This Row],[Ticker]], dim_company[], 2, FALSE)</f>
        <v>JPMorgan Chase &amp; Co.</v>
      </c>
      <c r="N809" t="str">
        <f>VLOOKUP(fact_daily_prices[[#This Row],[Ticker]], dim_company[], 3, FALSE)</f>
        <v>Financials</v>
      </c>
    </row>
    <row r="810" spans="1:14" x14ac:dyDescent="0.3">
      <c r="A810" s="1">
        <v>45924</v>
      </c>
      <c r="B810">
        <v>308.92205810546875</v>
      </c>
      <c r="C810">
        <v>312.036681822986</v>
      </c>
      <c r="D810">
        <v>307.1971727167786</v>
      </c>
      <c r="E810">
        <v>309.54299157852137</v>
      </c>
      <c r="F810">
        <v>7310500</v>
      </c>
      <c r="G810" s="2" t="s">
        <v>13</v>
      </c>
      <c r="H810">
        <v>0.21744825208791507</v>
      </c>
      <c r="I810">
        <v>154.40786417457431</v>
      </c>
      <c r="J810">
        <v>293.55713867187501</v>
      </c>
      <c r="K810">
        <v>0.99523593375207331</v>
      </c>
      <c r="L810">
        <v>0</v>
      </c>
      <c r="M810" t="str">
        <f>VLOOKUP(fact_daily_prices[[#This Row],[Ticker]], dim_company[], 2, FALSE)</f>
        <v>JPMorgan Chase &amp; Co.</v>
      </c>
      <c r="N810" t="str">
        <f>VLOOKUP(fact_daily_prices[[#This Row],[Ticker]], dim_company[], 3, FALSE)</f>
        <v>Financials</v>
      </c>
    </row>
    <row r="811" spans="1:14" x14ac:dyDescent="0.3">
      <c r="A811" s="1">
        <v>45925</v>
      </c>
      <c r="B811">
        <v>308.95159912109369</v>
      </c>
      <c r="C811">
        <v>311.12000822788536</v>
      </c>
      <c r="D811">
        <v>307.32525469148578</v>
      </c>
      <c r="E811">
        <v>309.61196690994507</v>
      </c>
      <c r="F811">
        <v>7083200</v>
      </c>
      <c r="G811" s="2" t="s">
        <v>13</v>
      </c>
      <c r="H811">
        <v>9.5626112962321486E-3</v>
      </c>
      <c r="I811">
        <v>154.42262959843615</v>
      </c>
      <c r="J811">
        <v>294.1018084716797</v>
      </c>
      <c r="K811">
        <v>0.97740719654488506</v>
      </c>
      <c r="L811">
        <v>0</v>
      </c>
      <c r="M811" t="str">
        <f>VLOOKUP(fact_daily_prices[[#This Row],[Ticker]], dim_company[], 2, FALSE)</f>
        <v>JPMorgan Chase &amp; Co.</v>
      </c>
      <c r="N811" t="str">
        <f>VLOOKUP(fact_daily_prices[[#This Row],[Ticker]], dim_company[], 3, FALSE)</f>
        <v>Financials</v>
      </c>
    </row>
    <row r="812" spans="1:14" x14ac:dyDescent="0.3">
      <c r="A812" s="1">
        <v>45926</v>
      </c>
      <c r="B812">
        <v>311.52410888671875</v>
      </c>
      <c r="C812">
        <v>313.24899401853833</v>
      </c>
      <c r="D812">
        <v>309.19799251859178</v>
      </c>
      <c r="E812">
        <v>310.38075284693087</v>
      </c>
      <c r="F812">
        <v>7258100</v>
      </c>
      <c r="G812" s="2" t="s">
        <v>13</v>
      </c>
      <c r="H812">
        <v>0.83265785739363718</v>
      </c>
      <c r="I812">
        <v>155.70844175738139</v>
      </c>
      <c r="J812">
        <v>294.61749938964846</v>
      </c>
      <c r="K812">
        <v>0.96572221711195683</v>
      </c>
      <c r="L812">
        <v>0</v>
      </c>
      <c r="M812" t="str">
        <f>VLOOKUP(fact_daily_prices[[#This Row],[Ticker]], dim_company[], 2, FALSE)</f>
        <v>JPMorgan Chase &amp; Co.</v>
      </c>
      <c r="N812" t="str">
        <f>VLOOKUP(fact_daily_prices[[#This Row],[Ticker]], dim_company[], 3, FALSE)</f>
        <v>Financials</v>
      </c>
    </row>
    <row r="813" spans="1:14" x14ac:dyDescent="0.3">
      <c r="A813" s="1">
        <v>45929</v>
      </c>
      <c r="B813">
        <v>311.15945434570313</v>
      </c>
      <c r="C813">
        <v>313.44616665049313</v>
      </c>
      <c r="D813">
        <v>309.158588598915</v>
      </c>
      <c r="E813">
        <v>312.50978831201064</v>
      </c>
      <c r="F813">
        <v>6462400</v>
      </c>
      <c r="G813" s="2" t="s">
        <v>13</v>
      </c>
      <c r="H813">
        <v>-0.11705499850999113</v>
      </c>
      <c r="I813">
        <v>155.52617724320234</v>
      </c>
      <c r="J813">
        <v>295.09889038085936</v>
      </c>
      <c r="K813">
        <v>0.92677301619879171</v>
      </c>
      <c r="L813">
        <v>0</v>
      </c>
      <c r="M813" t="str">
        <f>VLOOKUP(fact_daily_prices[[#This Row],[Ticker]], dim_company[], 2, FALSE)</f>
        <v>JPMorgan Chase &amp; Co.</v>
      </c>
      <c r="N813" t="str">
        <f>VLOOKUP(fact_daily_prices[[#This Row],[Ticker]], dim_company[], 3, FALSE)</f>
        <v>Financials</v>
      </c>
    </row>
    <row r="814" spans="1:14" x14ac:dyDescent="0.3">
      <c r="A814" s="1">
        <v>45930</v>
      </c>
      <c r="B814">
        <v>310.90316772460938</v>
      </c>
      <c r="C814">
        <v>312.8547630138109</v>
      </c>
      <c r="D814">
        <v>305.65950932869447</v>
      </c>
      <c r="E814">
        <v>311.71140689202122</v>
      </c>
      <c r="F814">
        <v>11823300</v>
      </c>
      <c r="G814" s="2" t="s">
        <v>13</v>
      </c>
      <c r="H814">
        <v>-8.2365043875221033E-2</v>
      </c>
      <c r="I814">
        <v>155.39807803907851</v>
      </c>
      <c r="J814">
        <v>295.58106994628906</v>
      </c>
      <c r="K814">
        <v>0.92901019443187893</v>
      </c>
      <c r="L814">
        <v>0</v>
      </c>
      <c r="M814" t="str">
        <f>VLOOKUP(fact_daily_prices[[#This Row],[Ticker]], dim_company[], 2, FALSE)</f>
        <v>JPMorgan Chase &amp; Co.</v>
      </c>
      <c r="N814" t="str">
        <f>VLOOKUP(fact_daily_prices[[#This Row],[Ticker]], dim_company[], 3, FALSE)</f>
        <v>Financials</v>
      </c>
    </row>
    <row r="815" spans="1:14" x14ac:dyDescent="0.3">
      <c r="A815" s="1">
        <v>45931</v>
      </c>
      <c r="B815">
        <v>306.25091552734369</v>
      </c>
      <c r="C815">
        <v>310.07523750053559</v>
      </c>
      <c r="D815">
        <v>302.99828667529783</v>
      </c>
      <c r="E815">
        <v>309.46414008660315</v>
      </c>
      <c r="F815">
        <v>9235200</v>
      </c>
      <c r="G815" s="2" t="s">
        <v>13</v>
      </c>
      <c r="H815">
        <v>-1.4963669335741669</v>
      </c>
      <c r="I815">
        <v>153.07275258389197</v>
      </c>
      <c r="J815">
        <v>295.96113647460936</v>
      </c>
      <c r="K815">
        <v>0.97858301635736145</v>
      </c>
      <c r="L815">
        <v>0</v>
      </c>
      <c r="M815" t="str">
        <f>VLOOKUP(fact_daily_prices[[#This Row],[Ticker]], dim_company[], 2, FALSE)</f>
        <v>JPMorgan Chase &amp; Co.</v>
      </c>
      <c r="N815" t="str">
        <f>VLOOKUP(fact_daily_prices[[#This Row],[Ticker]], dim_company[], 3, FALSE)</f>
        <v>Financials</v>
      </c>
    </row>
    <row r="816" spans="1:14" x14ac:dyDescent="0.3">
      <c r="A816" s="1">
        <v>45932</v>
      </c>
      <c r="B816">
        <v>303.13623046875</v>
      </c>
      <c r="C816">
        <v>306.10304253261489</v>
      </c>
      <c r="D816">
        <v>301.74649234142129</v>
      </c>
      <c r="E816">
        <v>305.5510816946321</v>
      </c>
      <c r="F816">
        <v>7600000</v>
      </c>
      <c r="G816" s="2" t="s">
        <v>13</v>
      </c>
      <c r="H816">
        <v>-1.0170369787239397</v>
      </c>
      <c r="I816">
        <v>151.51594608576318</v>
      </c>
      <c r="J816">
        <v>296.1738385009765</v>
      </c>
      <c r="K816">
        <v>1.0023788070040662</v>
      </c>
      <c r="L816">
        <v>0</v>
      </c>
      <c r="M816" t="str">
        <f>VLOOKUP(fact_daily_prices[[#This Row],[Ticker]], dim_company[], 2, FALSE)</f>
        <v>JPMorgan Chase &amp; Co.</v>
      </c>
      <c r="N816" t="str">
        <f>VLOOKUP(fact_daily_prices[[#This Row],[Ticker]], dim_company[], 3, FALSE)</f>
        <v>Financials</v>
      </c>
    </row>
    <row r="817" spans="1:14" x14ac:dyDescent="0.3">
      <c r="A817" s="1">
        <v>45933</v>
      </c>
      <c r="B817">
        <v>305.5806884765625</v>
      </c>
      <c r="C817">
        <v>307.18730079237451</v>
      </c>
      <c r="D817">
        <v>303.78680048715194</v>
      </c>
      <c r="E817">
        <v>304.08251316738762</v>
      </c>
      <c r="F817">
        <v>6029900</v>
      </c>
      <c r="G817" s="2" t="s">
        <v>13</v>
      </c>
      <c r="H817">
        <v>0.80638926070715211</v>
      </c>
      <c r="I817">
        <v>152.73775440325764</v>
      </c>
      <c r="J817">
        <v>296.43956970214839</v>
      </c>
      <c r="K817">
        <v>1.0052599402162989</v>
      </c>
      <c r="L817">
        <v>0</v>
      </c>
      <c r="M817" t="str">
        <f>VLOOKUP(fact_daily_prices[[#This Row],[Ticker]], dim_company[], 2, FALSE)</f>
        <v>JPMorgan Chase &amp; Co.</v>
      </c>
      <c r="N817" t="str">
        <f>VLOOKUP(fact_daily_prices[[#This Row],[Ticker]], dim_company[], 3, FALSE)</f>
        <v>Financials</v>
      </c>
    </row>
    <row r="818" spans="1:14" x14ac:dyDescent="0.3">
      <c r="A818" s="1">
        <v>45936</v>
      </c>
      <c r="B818">
        <v>306.22442626953125</v>
      </c>
      <c r="C818">
        <v>308.76986593901421</v>
      </c>
      <c r="D818">
        <v>302.21315381439217</v>
      </c>
      <c r="E818">
        <v>307.21486689804453</v>
      </c>
      <c r="F818">
        <v>7214500</v>
      </c>
      <c r="G818" s="2" t="s">
        <v>13</v>
      </c>
      <c r="H818">
        <v>0.21066049565436895</v>
      </c>
      <c r="I818">
        <v>153.05951251373489</v>
      </c>
      <c r="J818">
        <v>296.67736999511715</v>
      </c>
      <c r="K818">
        <v>0.96857000600813015</v>
      </c>
      <c r="L818">
        <v>0</v>
      </c>
      <c r="M818" t="str">
        <f>VLOOKUP(fact_daily_prices[[#This Row],[Ticker]], dim_company[], 2, FALSE)</f>
        <v>JPMorgan Chase &amp; Co.</v>
      </c>
      <c r="N818" t="str">
        <f>VLOOKUP(fact_daily_prices[[#This Row],[Ticker]], dim_company[], 3, FALSE)</f>
        <v>Financials</v>
      </c>
    </row>
    <row r="819" spans="1:14" x14ac:dyDescent="0.3">
      <c r="A819" s="1">
        <v>45937</v>
      </c>
      <c r="B819">
        <v>304.74871826171875</v>
      </c>
      <c r="C819">
        <v>307.04654806705378</v>
      </c>
      <c r="D819">
        <v>301.78731007714714</v>
      </c>
      <c r="E819">
        <v>306.39285354178503</v>
      </c>
      <c r="F819">
        <v>8454200</v>
      </c>
      <c r="G819" s="2" t="s">
        <v>13</v>
      </c>
      <c r="H819">
        <v>-0.48190408119619388</v>
      </c>
      <c r="I819">
        <v>152.32191247627219</v>
      </c>
      <c r="J819">
        <v>296.89235839843747</v>
      </c>
      <c r="K819">
        <v>0.96923317996708136</v>
      </c>
      <c r="L819">
        <v>0</v>
      </c>
      <c r="M819" t="str">
        <f>VLOOKUP(fact_daily_prices[[#This Row],[Ticker]], dim_company[], 2, FALSE)</f>
        <v>JPMorgan Chase &amp; Co.</v>
      </c>
      <c r="N819" t="str">
        <f>VLOOKUP(fact_daily_prices[[#This Row],[Ticker]], dim_company[], 3, FALSE)</f>
        <v>Financials</v>
      </c>
    </row>
    <row r="820" spans="1:14" x14ac:dyDescent="0.3">
      <c r="A820" s="1">
        <v>45938</v>
      </c>
      <c r="B820">
        <v>301.1236572265625</v>
      </c>
      <c r="C820">
        <v>305.82825012058311</v>
      </c>
      <c r="D820">
        <v>300.64823485280857</v>
      </c>
      <c r="E820">
        <v>305.26369171909693</v>
      </c>
      <c r="F820">
        <v>6489900</v>
      </c>
      <c r="G820" s="2" t="s">
        <v>13</v>
      </c>
      <c r="H820">
        <v>-1.1895246207542787</v>
      </c>
      <c r="I820">
        <v>150.51000582456317</v>
      </c>
      <c r="J820">
        <v>297.05928894042967</v>
      </c>
      <c r="K820">
        <v>0.97736808294067923</v>
      </c>
      <c r="L820">
        <v>0</v>
      </c>
      <c r="M820" t="str">
        <f>VLOOKUP(fact_daily_prices[[#This Row],[Ticker]], dim_company[], 2, FALSE)</f>
        <v>JPMorgan Chase &amp; Co.</v>
      </c>
      <c r="N820" t="str">
        <f>VLOOKUP(fact_daily_prices[[#This Row],[Ticker]], dim_company[], 3, FALSE)</f>
        <v>Financials</v>
      </c>
    </row>
    <row r="821" spans="1:14" x14ac:dyDescent="0.3">
      <c r="A821" s="1">
        <v>45939</v>
      </c>
      <c r="B821">
        <v>301.1236572265625</v>
      </c>
      <c r="C821">
        <v>305.09536030036105</v>
      </c>
      <c r="D821">
        <v>300.4898171115272</v>
      </c>
      <c r="E821">
        <v>302.13392206728275</v>
      </c>
      <c r="F821">
        <v>7060300</v>
      </c>
      <c r="G821" s="2" t="s">
        <v>13</v>
      </c>
      <c r="H821">
        <v>0</v>
      </c>
      <c r="I821">
        <v>150.51000582456317</v>
      </c>
      <c r="J821">
        <v>297.17516357421869</v>
      </c>
      <c r="K821">
        <v>0.97701883242335497</v>
      </c>
      <c r="L821">
        <v>0</v>
      </c>
      <c r="M821" t="str">
        <f>VLOOKUP(fact_daily_prices[[#This Row],[Ticker]], dim_company[], 2, FALSE)</f>
        <v>JPMorgan Chase &amp; Co.</v>
      </c>
      <c r="N821" t="str">
        <f>VLOOKUP(fact_daily_prices[[#This Row],[Ticker]], dim_company[], 3, FALSE)</f>
        <v>Financials</v>
      </c>
    </row>
    <row r="822" spans="1:14" x14ac:dyDescent="0.3">
      <c r="A822" s="1">
        <v>45940</v>
      </c>
      <c r="B822">
        <v>298.01370239257813</v>
      </c>
      <c r="C822">
        <v>307.50211054267186</v>
      </c>
      <c r="D822">
        <v>297.93445021391449</v>
      </c>
      <c r="E822">
        <v>302.73809342295908</v>
      </c>
      <c r="F822">
        <v>8597400</v>
      </c>
      <c r="G822" s="2" t="s">
        <v>13</v>
      </c>
      <c r="H822">
        <v>-1.0327832966124162</v>
      </c>
      <c r="I822">
        <v>148.95556362467667</v>
      </c>
      <c r="J822">
        <v>297.2956665039062</v>
      </c>
      <c r="K822">
        <v>0.99206887210252637</v>
      </c>
      <c r="L822">
        <v>0</v>
      </c>
      <c r="M822" t="str">
        <f>VLOOKUP(fact_daily_prices[[#This Row],[Ticker]], dim_company[], 2, FALSE)</f>
        <v>JPMorgan Chase &amp; Co.</v>
      </c>
      <c r="N822" t="str">
        <f>VLOOKUP(fact_daily_prices[[#This Row],[Ticker]], dim_company[], 3, FALSE)</f>
        <v>Financials</v>
      </c>
    </row>
    <row r="823" spans="1:14" x14ac:dyDescent="0.3">
      <c r="A823" s="1">
        <v>45943</v>
      </c>
      <c r="B823">
        <v>305.02603149414063</v>
      </c>
      <c r="C823">
        <v>306.50177850311871</v>
      </c>
      <c r="D823">
        <v>302.53013174675482</v>
      </c>
      <c r="E823">
        <v>302.67869181043511</v>
      </c>
      <c r="F823">
        <v>10788700</v>
      </c>
      <c r="G823" s="2" t="s">
        <v>13</v>
      </c>
      <c r="H823">
        <v>2.3530223762412872</v>
      </c>
      <c r="I823">
        <v>152.46052136742165</v>
      </c>
      <c r="J823">
        <v>297.6918432617187</v>
      </c>
      <c r="K823">
        <v>1.0798058297290811</v>
      </c>
      <c r="L823">
        <v>0</v>
      </c>
      <c r="M823" t="str">
        <f>VLOOKUP(fact_daily_prices[[#This Row],[Ticker]], dim_company[], 2, FALSE)</f>
        <v>JPMorgan Chase &amp; Co.</v>
      </c>
      <c r="N823" t="str">
        <f>VLOOKUP(fact_daily_prices[[#This Row],[Ticker]], dim_company[], 3, FALSE)</f>
        <v>Financials</v>
      </c>
    </row>
    <row r="824" spans="1:14" x14ac:dyDescent="0.3">
      <c r="A824" s="1">
        <v>45944</v>
      </c>
      <c r="B824">
        <v>299.19232177734369</v>
      </c>
      <c r="C824">
        <v>304.06530345786763</v>
      </c>
      <c r="D824">
        <v>291.39755808509767</v>
      </c>
      <c r="E824">
        <v>302.91638858642943</v>
      </c>
      <c r="F824">
        <v>16178800</v>
      </c>
      <c r="G824" s="2" t="s">
        <v>13</v>
      </c>
      <c r="H824">
        <v>-1.9125284777240403</v>
      </c>
      <c r="I824">
        <v>149.54467047898316</v>
      </c>
      <c r="J824">
        <v>297.87494995117186</v>
      </c>
      <c r="K824">
        <v>1.1346661915100278</v>
      </c>
      <c r="L824">
        <v>0</v>
      </c>
      <c r="M824" t="str">
        <f>VLOOKUP(fact_daily_prices[[#This Row],[Ticker]], dim_company[], 2, FALSE)</f>
        <v>JPMorgan Chase &amp; Co.</v>
      </c>
      <c r="N824" t="str">
        <f>VLOOKUP(fact_daily_prices[[#This Row],[Ticker]], dim_company[], 3, FALSE)</f>
        <v>Financials</v>
      </c>
    </row>
    <row r="825" spans="1:14" x14ac:dyDescent="0.3">
      <c r="A825" s="1">
        <v>45945</v>
      </c>
      <c r="B825">
        <v>302.767822265625</v>
      </c>
      <c r="C825">
        <v>309.13634876005415</v>
      </c>
      <c r="D825">
        <v>302.52021208877301</v>
      </c>
      <c r="E825">
        <v>303.46114285115129</v>
      </c>
      <c r="F825">
        <v>11354800</v>
      </c>
      <c r="G825" s="2" t="s">
        <v>13</v>
      </c>
      <c r="H825">
        <v>1.1950508846755081</v>
      </c>
      <c r="I825">
        <v>151.33180538652732</v>
      </c>
      <c r="J825">
        <v>298.18653747558591</v>
      </c>
      <c r="K825">
        <v>1.1534819213541045</v>
      </c>
      <c r="L825">
        <v>0</v>
      </c>
      <c r="M825" t="str">
        <f>VLOOKUP(fact_daily_prices[[#This Row],[Ticker]], dim_company[], 2, FALSE)</f>
        <v>JPMorgan Chase &amp; Co.</v>
      </c>
      <c r="N825" t="str">
        <f>VLOOKUP(fact_daily_prices[[#This Row],[Ticker]], dim_company[], 3, FALSE)</f>
        <v>Financials</v>
      </c>
    </row>
    <row r="826" spans="1:14" x14ac:dyDescent="0.3">
      <c r="A826" s="1">
        <v>45946</v>
      </c>
      <c r="B826">
        <v>295.6861572265625</v>
      </c>
      <c r="C826">
        <v>305.72920960203999</v>
      </c>
      <c r="D826">
        <v>294.23020827624731</v>
      </c>
      <c r="E826">
        <v>302.43105556912377</v>
      </c>
      <c r="F826">
        <v>10549400</v>
      </c>
      <c r="G826" s="2" t="s">
        <v>13</v>
      </c>
      <c r="H826">
        <v>-2.3389754519057115</v>
      </c>
      <c r="I826">
        <v>147.79219160761073</v>
      </c>
      <c r="J826">
        <v>298.3568853759765</v>
      </c>
      <c r="K826">
        <v>1.2062328144529921</v>
      </c>
      <c r="L826">
        <v>0</v>
      </c>
      <c r="M826" t="str">
        <f>VLOOKUP(fact_daily_prices[[#This Row],[Ticker]], dim_company[], 2, FALSE)</f>
        <v>JPMorgan Chase &amp; Co.</v>
      </c>
      <c r="N826" t="str">
        <f>VLOOKUP(fact_daily_prices[[#This Row],[Ticker]], dim_company[], 3, FALSE)</f>
        <v>Financials</v>
      </c>
    </row>
    <row r="827" spans="1:14" x14ac:dyDescent="0.3">
      <c r="A827" s="1">
        <v>45947</v>
      </c>
      <c r="B827">
        <v>294.71554565429688</v>
      </c>
      <c r="C827">
        <v>296.68651306450823</v>
      </c>
      <c r="D827">
        <v>291.3876792596173</v>
      </c>
      <c r="E827">
        <v>296.30025689141456</v>
      </c>
      <c r="F827">
        <v>10153500</v>
      </c>
      <c r="G827" s="2" t="s">
        <v>13</v>
      </c>
      <c r="H827">
        <v>-0.32825735954961077</v>
      </c>
      <c r="I827">
        <v>147.30705286181907</v>
      </c>
      <c r="J827">
        <v>298.50782104492185</v>
      </c>
      <c r="K827">
        <v>1.0600389079367274</v>
      </c>
      <c r="L827">
        <v>0</v>
      </c>
      <c r="M827" t="str">
        <f>VLOOKUP(fact_daily_prices[[#This Row],[Ticker]], dim_company[], 2, FALSE)</f>
        <v>JPMorgan Chase &amp; Co.</v>
      </c>
      <c r="N827" t="str">
        <f>VLOOKUP(fact_daily_prices[[#This Row],[Ticker]], dim_company[], 3, FALSE)</f>
        <v>Financials</v>
      </c>
    </row>
    <row r="828" spans="1:14" x14ac:dyDescent="0.3">
      <c r="A828" s="1">
        <v>45950</v>
      </c>
      <c r="B828">
        <v>299.46963500976563</v>
      </c>
      <c r="C828">
        <v>300.78693806489423</v>
      </c>
      <c r="D828">
        <v>295.30980221269169</v>
      </c>
      <c r="E828">
        <v>295.64654842298921</v>
      </c>
      <c r="F828">
        <v>6894900</v>
      </c>
      <c r="G828" s="2" t="s">
        <v>13</v>
      </c>
      <c r="H828">
        <v>1.6131111594110958</v>
      </c>
      <c r="I828">
        <v>149.68327937013265</v>
      </c>
      <c r="J828">
        <v>298.80489562988276</v>
      </c>
      <c r="K828">
        <v>1.0914743327822221</v>
      </c>
      <c r="L828">
        <v>0</v>
      </c>
      <c r="M828" t="str">
        <f>VLOOKUP(fact_daily_prices[[#This Row],[Ticker]], dim_company[], 2, FALSE)</f>
        <v>JPMorgan Chase &amp; Co.</v>
      </c>
      <c r="N828" t="str">
        <f>VLOOKUP(fact_daily_prices[[#This Row],[Ticker]], dim_company[], 3, FALSE)</f>
        <v>Financials</v>
      </c>
    </row>
    <row r="829" spans="1:14" x14ac:dyDescent="0.3">
      <c r="A829" s="1">
        <v>45951</v>
      </c>
      <c r="B829">
        <v>294.25</v>
      </c>
      <c r="C829">
        <v>301.14345824801012</v>
      </c>
      <c r="D829">
        <v>294.16086397135297</v>
      </c>
      <c r="E829">
        <v>298.77632088500872</v>
      </c>
      <c r="F829">
        <v>7372700</v>
      </c>
      <c r="G829" s="2" t="s">
        <v>13</v>
      </c>
      <c r="H829">
        <v>-1.742959685911194</v>
      </c>
      <c r="I829">
        <v>147.07436015416141</v>
      </c>
      <c r="J829">
        <v>298.98180725097654</v>
      </c>
      <c r="K829">
        <v>1.102138252632487</v>
      </c>
      <c r="L829">
        <v>0</v>
      </c>
      <c r="M829" t="str">
        <f>VLOOKUP(fact_daily_prices[[#This Row],[Ticker]], dim_company[], 2, FALSE)</f>
        <v>JPMorgan Chase &amp; Co.</v>
      </c>
      <c r="N829" t="str">
        <f>VLOOKUP(fact_daily_prices[[#This Row],[Ticker]], dim_company[], 3, FALSE)</f>
        <v>Financials</v>
      </c>
    </row>
    <row r="830" spans="1:14" x14ac:dyDescent="0.3">
      <c r="A830" s="1">
        <v>45952</v>
      </c>
      <c r="B830">
        <v>291.29852294921875</v>
      </c>
      <c r="C830">
        <v>295.21077611588424</v>
      </c>
      <c r="D830">
        <v>287.76267234049385</v>
      </c>
      <c r="E830">
        <v>294.92353982678844</v>
      </c>
      <c r="F830">
        <v>8054100</v>
      </c>
      <c r="G830" s="2" t="s">
        <v>13</v>
      </c>
      <c r="H830">
        <v>-1.0030508243946468</v>
      </c>
      <c r="I830">
        <v>145.59912957216196</v>
      </c>
      <c r="J830">
        <v>299.03483276367183</v>
      </c>
      <c r="K830">
        <v>1.1040281153694607</v>
      </c>
      <c r="L830">
        <v>0</v>
      </c>
      <c r="M830" t="str">
        <f>VLOOKUP(fact_daily_prices[[#This Row],[Ticker]], dim_company[], 2, FALSE)</f>
        <v>JPMorgan Chase &amp; Co.</v>
      </c>
      <c r="N830" t="str">
        <f>VLOOKUP(fact_daily_prices[[#This Row],[Ticker]], dim_company[], 3, FALSE)</f>
        <v>Financials</v>
      </c>
    </row>
    <row r="831" spans="1:14" x14ac:dyDescent="0.3">
      <c r="A831" s="1">
        <v>45953</v>
      </c>
      <c r="B831">
        <v>291.72442626953125</v>
      </c>
      <c r="C831">
        <v>293.53691953831486</v>
      </c>
      <c r="D831">
        <v>289.7138327608809</v>
      </c>
      <c r="E831">
        <v>291.56595212280843</v>
      </c>
      <c r="F831">
        <v>5438800</v>
      </c>
      <c r="G831" s="2" t="s">
        <v>13</v>
      </c>
      <c r="H831">
        <v>0.1462085409841718</v>
      </c>
      <c r="I831">
        <v>145.81200793519506</v>
      </c>
      <c r="J831">
        <v>299.14211059570312</v>
      </c>
      <c r="K831">
        <v>1.0561635802875746</v>
      </c>
      <c r="L831">
        <v>0</v>
      </c>
      <c r="M831" t="str">
        <f>VLOOKUP(fact_daily_prices[[#This Row],[Ticker]], dim_company[], 2, FALSE)</f>
        <v>JPMorgan Chase &amp; Co.</v>
      </c>
      <c r="N831" t="str">
        <f>VLOOKUP(fact_daily_prices[[#This Row],[Ticker]], dim_company[], 3, FALSE)</f>
        <v>Financials</v>
      </c>
    </row>
    <row r="832" spans="1:14" x14ac:dyDescent="0.3">
      <c r="A832" s="1">
        <v>45954</v>
      </c>
      <c r="B832">
        <v>297.5679931640625</v>
      </c>
      <c r="C832">
        <v>299.70734860853685</v>
      </c>
      <c r="D832">
        <v>292.62570396194189</v>
      </c>
      <c r="E832">
        <v>293.24965618562811</v>
      </c>
      <c r="F832">
        <v>7228300</v>
      </c>
      <c r="G832" s="2" t="s">
        <v>13</v>
      </c>
      <c r="H832">
        <v>2.0031119674333464</v>
      </c>
      <c r="I832">
        <v>148.73278571609981</v>
      </c>
      <c r="J832">
        <v>299.29470153808592</v>
      </c>
      <c r="K832">
        <v>1.1203412252464813</v>
      </c>
      <c r="L832">
        <v>0</v>
      </c>
      <c r="M832" t="str">
        <f>VLOOKUP(fact_daily_prices[[#This Row],[Ticker]], dim_company[], 2, FALSE)</f>
        <v>JPMorgan Chase &amp; Co.</v>
      </c>
      <c r="N832" t="str">
        <f>VLOOKUP(fact_daily_prices[[#This Row],[Ticker]], dim_company[], 3, FALSE)</f>
        <v>Financials</v>
      </c>
    </row>
    <row r="833" spans="1:14" x14ac:dyDescent="0.3">
      <c r="A833" s="1">
        <v>45957</v>
      </c>
      <c r="B833">
        <v>301.24252319335938</v>
      </c>
      <c r="C833">
        <v>301.61889548341833</v>
      </c>
      <c r="D833">
        <v>298.13255521259686</v>
      </c>
      <c r="E833">
        <v>299.27155593587759</v>
      </c>
      <c r="F833">
        <v>5642200</v>
      </c>
      <c r="G833" s="2" t="s">
        <v>13</v>
      </c>
      <c r="H833">
        <v>1.2348539203512088</v>
      </c>
      <c r="I833">
        <v>150.56941835136266</v>
      </c>
      <c r="J833">
        <v>299.59313049316404</v>
      </c>
      <c r="K833">
        <v>1.1379044956335471</v>
      </c>
      <c r="L833">
        <v>0</v>
      </c>
      <c r="M833" t="str">
        <f>VLOOKUP(fact_daily_prices[[#This Row],[Ticker]], dim_company[], 2, FALSE)</f>
        <v>JPMorgan Chase &amp; Co.</v>
      </c>
      <c r="N833" t="str">
        <f>VLOOKUP(fact_daily_prices[[#This Row],[Ticker]], dim_company[], 3, FALSE)</f>
        <v>Financials</v>
      </c>
    </row>
    <row r="834" spans="1:14" x14ac:dyDescent="0.3">
      <c r="A834" s="1">
        <v>45958</v>
      </c>
      <c r="B834">
        <v>302.44097900390625</v>
      </c>
      <c r="C834">
        <v>305.02604513092291</v>
      </c>
      <c r="D834">
        <v>300.26202744552563</v>
      </c>
      <c r="E834">
        <v>301.9457586189306</v>
      </c>
      <c r="F834">
        <v>6336000</v>
      </c>
      <c r="G834" s="2" t="s">
        <v>13</v>
      </c>
      <c r="H834">
        <v>0.39783752899242852</v>
      </c>
      <c r="I834">
        <v>151.16844000474998</v>
      </c>
      <c r="J834">
        <v>299.8950268554687</v>
      </c>
      <c r="K834">
        <v>1.1403888713433927</v>
      </c>
      <c r="L834">
        <v>0</v>
      </c>
      <c r="M834" t="str">
        <f>VLOOKUP(fact_daily_prices[[#This Row],[Ticker]], dim_company[], 2, FALSE)</f>
        <v>JPMorgan Chase &amp; Co.</v>
      </c>
      <c r="N834" t="str">
        <f>VLOOKUP(fact_daily_prices[[#This Row],[Ticker]], dim_company[], 3, FALSE)</f>
        <v>Financials</v>
      </c>
    </row>
    <row r="835" spans="1:14" x14ac:dyDescent="0.3">
      <c r="A835" s="1">
        <v>45959</v>
      </c>
      <c r="B835">
        <v>302.58956909179688</v>
      </c>
      <c r="C835">
        <v>305.30336712732219</v>
      </c>
      <c r="D835">
        <v>300.11346716862317</v>
      </c>
      <c r="E835">
        <v>300.60868755325788</v>
      </c>
      <c r="F835">
        <v>7520300</v>
      </c>
      <c r="G835" s="2" t="s">
        <v>13</v>
      </c>
      <c r="H835">
        <v>4.9130276055842081E-2</v>
      </c>
      <c r="I835">
        <v>151.24270947663362</v>
      </c>
      <c r="J835">
        <v>300.21704467773435</v>
      </c>
      <c r="K835">
        <v>1.1292512651805577</v>
      </c>
      <c r="L835">
        <v>0</v>
      </c>
      <c r="M835" t="str">
        <f>VLOOKUP(fact_daily_prices[[#This Row],[Ticker]], dim_company[], 2, FALSE)</f>
        <v>JPMorgan Chase &amp; Co.</v>
      </c>
      <c r="N835" t="str">
        <f>VLOOKUP(fact_daily_prices[[#This Row],[Ticker]], dim_company[], 3, FALSE)</f>
        <v>Financials</v>
      </c>
    </row>
    <row r="836" spans="1:14" x14ac:dyDescent="0.3">
      <c r="A836" s="1">
        <v>45960</v>
      </c>
      <c r="B836">
        <v>306.48196411132813</v>
      </c>
      <c r="C836">
        <v>309.62164411662417</v>
      </c>
      <c r="D836">
        <v>302.18345521985231</v>
      </c>
      <c r="E836">
        <v>302.86686170193389</v>
      </c>
      <c r="F836">
        <v>7514600</v>
      </c>
      <c r="G836" s="2" t="s">
        <v>13</v>
      </c>
      <c r="H836">
        <v>1.2863612685704906</v>
      </c>
      <c r="I836">
        <v>153.18823711287763</v>
      </c>
      <c r="J836">
        <v>300.58576477050775</v>
      </c>
      <c r="K836">
        <v>1.1516339204704762</v>
      </c>
      <c r="L836">
        <v>0</v>
      </c>
      <c r="M836" t="str">
        <f>VLOOKUP(fact_daily_prices[[#This Row],[Ticker]], dim_company[], 2, FALSE)</f>
        <v>JPMorgan Chase &amp; Co.</v>
      </c>
      <c r="N836" t="str">
        <f>VLOOKUP(fact_daily_prices[[#This Row],[Ticker]], dim_company[], 3, FALSE)</f>
        <v>Financials</v>
      </c>
    </row>
    <row r="837" spans="1:14" x14ac:dyDescent="0.3">
      <c r="A837" s="1">
        <v>45961</v>
      </c>
      <c r="B837">
        <v>308.14590454101563</v>
      </c>
      <c r="C837">
        <v>309.87917575922728</v>
      </c>
      <c r="D837">
        <v>304.3129038831637</v>
      </c>
      <c r="E837">
        <v>305.59058084439812</v>
      </c>
      <c r="F837">
        <v>7721300</v>
      </c>
      <c r="G837" s="2" t="s">
        <v>13</v>
      </c>
      <c r="H837">
        <v>0.54291626409803673</v>
      </c>
      <c r="I837">
        <v>154.0199209668485</v>
      </c>
      <c r="J837">
        <v>301.0029418945312</v>
      </c>
      <c r="K837">
        <v>1.152405213692538</v>
      </c>
      <c r="L837">
        <v>0</v>
      </c>
      <c r="M837" t="str">
        <f>VLOOKUP(fact_daily_prices[[#This Row],[Ticker]], dim_company[], 2, FALSE)</f>
        <v>JPMorgan Chase &amp; Co.</v>
      </c>
      <c r="N837" t="str">
        <f>VLOOKUP(fact_daily_prices[[#This Row],[Ticker]], dim_company[], 3, FALSE)</f>
        <v>Financials</v>
      </c>
    </row>
    <row r="838" spans="1:14" x14ac:dyDescent="0.3">
      <c r="A838" s="1">
        <v>45964</v>
      </c>
      <c r="B838">
        <v>306.39285278320313</v>
      </c>
      <c r="C838">
        <v>309.33446302670291</v>
      </c>
      <c r="D838">
        <v>303.28285431242927</v>
      </c>
      <c r="E838">
        <v>308.02707397940242</v>
      </c>
      <c r="F838">
        <v>7770000</v>
      </c>
      <c r="G838" s="2" t="s">
        <v>13</v>
      </c>
      <c r="H838">
        <v>-0.56890315009173742</v>
      </c>
      <c r="I838">
        <v>153.14369678469933</v>
      </c>
      <c r="J838">
        <v>301.2910278320312</v>
      </c>
      <c r="K838">
        <v>1.1490453971191408</v>
      </c>
      <c r="L838">
        <v>0</v>
      </c>
      <c r="M838" t="str">
        <f>VLOOKUP(fact_daily_prices[[#This Row],[Ticker]], dim_company[], 2, FALSE)</f>
        <v>JPMorgan Chase &amp; Co.</v>
      </c>
      <c r="N838" t="str">
        <f>VLOOKUP(fact_daily_prices[[#This Row],[Ticker]], dim_company[], 3, FALSE)</f>
        <v>Financials</v>
      </c>
    </row>
    <row r="839" spans="1:14" x14ac:dyDescent="0.3">
      <c r="A839" s="1">
        <v>45965</v>
      </c>
      <c r="B839">
        <v>306.29379272460938</v>
      </c>
      <c r="C839">
        <v>309.23540287266394</v>
      </c>
      <c r="D839">
        <v>302.18346978091279</v>
      </c>
      <c r="E839">
        <v>303.77806483204012</v>
      </c>
      <c r="F839">
        <v>7085200</v>
      </c>
      <c r="G839" s="2" t="s">
        <v>13</v>
      </c>
      <c r="H839">
        <v>-3.2331060497625685E-2</v>
      </c>
      <c r="I839">
        <v>153.09418380344354</v>
      </c>
      <c r="J839">
        <v>301.60354736328122</v>
      </c>
      <c r="K839">
        <v>1.1488737847970067</v>
      </c>
      <c r="L839">
        <v>0</v>
      </c>
      <c r="M839" t="str">
        <f>VLOOKUP(fact_daily_prices[[#This Row],[Ticker]], dim_company[], 2, FALSE)</f>
        <v>JPMorgan Chase &amp; Co.</v>
      </c>
      <c r="N839" t="str">
        <f>VLOOKUP(fact_daily_prices[[#This Row],[Ticker]], dim_company[], 3, FALSE)</f>
        <v>Financials</v>
      </c>
    </row>
    <row r="840" spans="1:14" x14ac:dyDescent="0.3">
      <c r="A840" s="1">
        <v>45966</v>
      </c>
      <c r="B840">
        <v>308.7005615234375</v>
      </c>
      <c r="C840">
        <v>310.10700066875802</v>
      </c>
      <c r="D840">
        <v>302.70840715746203</v>
      </c>
      <c r="E840">
        <v>306.65034194450971</v>
      </c>
      <c r="F840">
        <v>6865200</v>
      </c>
      <c r="G840" s="2" t="s">
        <v>13</v>
      </c>
      <c r="H840">
        <v>0.78577132674446659</v>
      </c>
      <c r="I840">
        <v>154.29715400268449</v>
      </c>
      <c r="J840">
        <v>301.8918560791015</v>
      </c>
      <c r="K840">
        <v>1.1574897362711947</v>
      </c>
      <c r="L840">
        <v>0</v>
      </c>
      <c r="M840" t="str">
        <f>VLOOKUP(fact_daily_prices[[#This Row],[Ticker]], dim_company[], 2, FALSE)</f>
        <v>JPMorgan Chase &amp; Co.</v>
      </c>
      <c r="N840" t="str">
        <f>VLOOKUP(fact_daily_prices[[#This Row],[Ticker]], dim_company[], 3, FALSE)</f>
        <v>Financials</v>
      </c>
    </row>
    <row r="841" spans="1:14" x14ac:dyDescent="0.3">
      <c r="A841" s="1">
        <v>45967</v>
      </c>
      <c r="B841">
        <v>310.4239501953125</v>
      </c>
      <c r="C841">
        <v>311.83035912038315</v>
      </c>
      <c r="D841">
        <v>307.29415382814523</v>
      </c>
      <c r="E841">
        <v>308.01715622418413</v>
      </c>
      <c r="F841">
        <v>7206100</v>
      </c>
      <c r="G841" s="2" t="s">
        <v>13</v>
      </c>
      <c r="H841">
        <v>0.55827195887498959</v>
      </c>
      <c r="I841">
        <v>155.15855174682366</v>
      </c>
      <c r="J841">
        <v>302.20063598632811</v>
      </c>
      <c r="K841">
        <v>1.1619060936996102</v>
      </c>
      <c r="L841">
        <v>0</v>
      </c>
      <c r="M841" t="str">
        <f>VLOOKUP(fact_daily_prices[[#This Row],[Ticker]], dim_company[], 2, FALSE)</f>
        <v>JPMorgan Chase &amp; Co.</v>
      </c>
      <c r="N841" t="str">
        <f>VLOOKUP(fact_daily_prices[[#This Row],[Ticker]], dim_company[], 3, FALSE)</f>
        <v>Financials</v>
      </c>
    </row>
    <row r="842" spans="1:14" x14ac:dyDescent="0.3">
      <c r="A842" s="1">
        <v>45968</v>
      </c>
      <c r="B842">
        <v>311.20635986328125</v>
      </c>
      <c r="C842">
        <v>311.42425802350027</v>
      </c>
      <c r="D842">
        <v>304.69918751999461</v>
      </c>
      <c r="E842">
        <v>308.90856044061366</v>
      </c>
      <c r="F842">
        <v>7302300</v>
      </c>
      <c r="G842" s="2" t="s">
        <v>13</v>
      </c>
      <c r="H842">
        <v>0.25204552273638825</v>
      </c>
      <c r="I842">
        <v>155.54962192964413</v>
      </c>
      <c r="J842">
        <v>302.48977783203122</v>
      </c>
      <c r="K842">
        <v>1.1527433994949516</v>
      </c>
      <c r="L842">
        <v>0</v>
      </c>
      <c r="M842" t="str">
        <f>VLOOKUP(fact_daily_prices[[#This Row],[Ticker]], dim_company[], 2, FALSE)</f>
        <v>JPMorgan Chase &amp; Co.</v>
      </c>
      <c r="N842" t="str">
        <f>VLOOKUP(fact_daily_prices[[#This Row],[Ticker]], dim_company[], 3, FALSE)</f>
        <v>Financials</v>
      </c>
    </row>
    <row r="843" spans="1:14" x14ac:dyDescent="0.3">
      <c r="A843" s="1">
        <v>45971</v>
      </c>
      <c r="B843">
        <v>313.86077880859369</v>
      </c>
      <c r="C843">
        <v>316.50523864276357</v>
      </c>
      <c r="D843">
        <v>311.20637466895539</v>
      </c>
      <c r="E843">
        <v>311.98883131231071</v>
      </c>
      <c r="F843">
        <v>5794100</v>
      </c>
      <c r="G843" s="2" t="s">
        <v>13</v>
      </c>
      <c r="H843">
        <v>0.85294495474919074</v>
      </c>
      <c r="I843">
        <v>156.87637458202448</v>
      </c>
      <c r="J843">
        <v>302.82510864257807</v>
      </c>
      <c r="K843">
        <v>1.1628189229980257</v>
      </c>
      <c r="L843">
        <v>0</v>
      </c>
      <c r="M843" t="str">
        <f>VLOOKUP(fact_daily_prices[[#This Row],[Ticker]], dim_company[], 2, FALSE)</f>
        <v>JPMorgan Chase &amp; Co.</v>
      </c>
      <c r="N843" t="str">
        <f>VLOOKUP(fact_daily_prices[[#This Row],[Ticker]], dim_company[], 3, FALSE)</f>
        <v>Financials</v>
      </c>
    </row>
    <row r="844" spans="1:14" x14ac:dyDescent="0.3">
      <c r="A844" s="1">
        <v>45972</v>
      </c>
      <c r="B844">
        <v>312.6029052734375</v>
      </c>
      <c r="C844">
        <v>316.00010979819439</v>
      </c>
      <c r="D844">
        <v>312.26615904489938</v>
      </c>
      <c r="E844">
        <v>314.46493872311561</v>
      </c>
      <c r="F844">
        <v>5030200</v>
      </c>
      <c r="G844" s="2" t="s">
        <v>13</v>
      </c>
      <c r="H844">
        <v>-0.40077436241987563</v>
      </c>
      <c r="I844">
        <v>156.24765429200596</v>
      </c>
      <c r="J844">
        <v>303.1691876220703</v>
      </c>
      <c r="K844">
        <v>1.1653808018868554</v>
      </c>
      <c r="L844">
        <v>0</v>
      </c>
      <c r="M844" t="str">
        <f>VLOOKUP(fact_daily_prices[[#This Row],[Ticker]], dim_company[], 2, FALSE)</f>
        <v>JPMorgan Chase &amp; Co.</v>
      </c>
      <c r="N844" t="str">
        <f>VLOOKUP(fact_daily_prices[[#This Row],[Ticker]], dim_company[], 3, FALSE)</f>
        <v>Financials</v>
      </c>
    </row>
    <row r="845" spans="1:14" x14ac:dyDescent="0.3">
      <c r="A845" s="1">
        <v>45973</v>
      </c>
      <c r="B845">
        <v>317.34710693359369</v>
      </c>
      <c r="C845">
        <v>319.16951418656384</v>
      </c>
      <c r="D845">
        <v>313.18724392134919</v>
      </c>
      <c r="E845">
        <v>313.23678409164449</v>
      </c>
      <c r="F845">
        <v>10578300</v>
      </c>
      <c r="G845" s="2" t="s">
        <v>13</v>
      </c>
      <c r="H845">
        <v>1.5176447755680167</v>
      </c>
      <c r="I845">
        <v>158.61893865431617</v>
      </c>
      <c r="J845">
        <v>303.61189697265621</v>
      </c>
      <c r="K845">
        <v>1.1596288213855661</v>
      </c>
      <c r="L845">
        <v>0</v>
      </c>
      <c r="M845" t="str">
        <f>VLOOKUP(fact_daily_prices[[#This Row],[Ticker]], dim_company[], 2, FALSE)</f>
        <v>JPMorgan Chase &amp; Co.</v>
      </c>
      <c r="N845" t="str">
        <f>VLOOKUP(fact_daily_prices[[#This Row],[Ticker]], dim_company[], 3, FALSE)</f>
        <v>Financials</v>
      </c>
    </row>
    <row r="846" spans="1:14" x14ac:dyDescent="0.3">
      <c r="A846" s="1">
        <v>45974</v>
      </c>
      <c r="B846">
        <v>306.5216064453125</v>
      </c>
      <c r="C846">
        <v>317.56501448356801</v>
      </c>
      <c r="D846">
        <v>306.14523413368721</v>
      </c>
      <c r="E846">
        <v>316.17840351377919</v>
      </c>
      <c r="F846">
        <v>8973300</v>
      </c>
      <c r="G846" s="2" t="s">
        <v>13</v>
      </c>
      <c r="H846">
        <v>-3.4112491501447573</v>
      </c>
      <c r="I846">
        <v>153.20805145750219</v>
      </c>
      <c r="J846">
        <v>303.75313293457026</v>
      </c>
      <c r="K846">
        <v>1.3131716238171123</v>
      </c>
      <c r="L846">
        <v>0</v>
      </c>
      <c r="M846" t="str">
        <f>VLOOKUP(fact_daily_prices[[#This Row],[Ticker]], dim_company[], 2, FALSE)</f>
        <v>JPMorgan Chase &amp; Co.</v>
      </c>
      <c r="N846" t="str">
        <f>VLOOKUP(fact_daily_prices[[#This Row],[Ticker]], dim_company[], 3, FALSE)</f>
        <v>Financials</v>
      </c>
    </row>
    <row r="847" spans="1:14" x14ac:dyDescent="0.3">
      <c r="A847" s="1">
        <v>45975</v>
      </c>
      <c r="B847">
        <v>300.70770263671875</v>
      </c>
      <c r="C847">
        <v>304.69920788981074</v>
      </c>
      <c r="D847">
        <v>298.35047903330133</v>
      </c>
      <c r="E847">
        <v>304.57044575573002</v>
      </c>
      <c r="F847">
        <v>10327000</v>
      </c>
      <c r="G847" s="2" t="s">
        <v>13</v>
      </c>
      <c r="H847">
        <v>-1.8967353968996736</v>
      </c>
      <c r="I847">
        <v>150.30210011460747</v>
      </c>
      <c r="J847">
        <v>303.96418151855465</v>
      </c>
      <c r="K847">
        <v>1.3513391897564928</v>
      </c>
      <c r="L847">
        <v>0</v>
      </c>
      <c r="M847" t="str">
        <f>VLOOKUP(fact_daily_prices[[#This Row],[Ticker]], dim_company[], 2, FALSE)</f>
        <v>JPMorgan Chase &amp; Co.</v>
      </c>
      <c r="N847" t="str">
        <f>VLOOKUP(fact_daily_prices[[#This Row],[Ticker]], dim_company[], 3, FALSE)</f>
        <v>Financials</v>
      </c>
    </row>
    <row r="848" spans="1:14" x14ac:dyDescent="0.3">
      <c r="A848" s="1">
        <v>45978</v>
      </c>
      <c r="B848">
        <v>297.4986572265625</v>
      </c>
      <c r="C848">
        <v>302.66875869849656</v>
      </c>
      <c r="D848">
        <v>294.82448557091749</v>
      </c>
      <c r="E848">
        <v>301.09396167080718</v>
      </c>
      <c r="F848">
        <v>8344000</v>
      </c>
      <c r="G848" s="2" t="s">
        <v>13</v>
      </c>
      <c r="H848">
        <v>-1.0671643532966124</v>
      </c>
      <c r="I848">
        <v>148.6981296799282</v>
      </c>
      <c r="J848">
        <v>304.14002746582025</v>
      </c>
      <c r="K848">
        <v>1.3630999683740772</v>
      </c>
      <c r="L848">
        <v>0</v>
      </c>
      <c r="M848" t="str">
        <f>VLOOKUP(fact_daily_prices[[#This Row],[Ticker]], dim_company[], 2, FALSE)</f>
        <v>JPMorgan Chase &amp; Co.</v>
      </c>
      <c r="N848" t="str">
        <f>VLOOKUP(fact_daily_prices[[#This Row],[Ticker]], dim_company[], 3, FALSE)</f>
        <v>Financials</v>
      </c>
    </row>
    <row r="849" spans="1:14" x14ac:dyDescent="0.3">
      <c r="A849" s="1">
        <v>45979</v>
      </c>
      <c r="B849">
        <v>296.5478515625</v>
      </c>
      <c r="C849">
        <v>300.05402007948175</v>
      </c>
      <c r="D849">
        <v>294.18068379746808</v>
      </c>
      <c r="E849">
        <v>296.63698759778117</v>
      </c>
      <c r="F849">
        <v>8077300</v>
      </c>
      <c r="G849" s="2" t="s">
        <v>13</v>
      </c>
      <c r="H849">
        <v>-0.31959998506426723</v>
      </c>
      <c r="I849">
        <v>148.2228904796803</v>
      </c>
      <c r="J849">
        <v>304.1994750976562</v>
      </c>
      <c r="K849">
        <v>1.36180123459681</v>
      </c>
      <c r="L849">
        <v>0</v>
      </c>
      <c r="M849" t="str">
        <f>VLOOKUP(fact_daily_prices[[#This Row],[Ticker]], dim_company[], 2, FALSE)</f>
        <v>JPMorgan Chase &amp; Co.</v>
      </c>
      <c r="N849" t="str">
        <f>VLOOKUP(fact_daily_prices[[#This Row],[Ticker]], dim_company[], 3, FALSE)</f>
        <v>Financials</v>
      </c>
    </row>
    <row r="850" spans="1:14" x14ac:dyDescent="0.3">
      <c r="A850" s="1">
        <v>45980</v>
      </c>
      <c r="B850">
        <v>300.37094116210938</v>
      </c>
      <c r="C850">
        <v>301.5396841634701</v>
      </c>
      <c r="D850">
        <v>296.40917834952103</v>
      </c>
      <c r="E850">
        <v>296.87468668903421</v>
      </c>
      <c r="F850">
        <v>5546600</v>
      </c>
      <c r="G850" s="2" t="s">
        <v>13</v>
      </c>
      <c r="H850">
        <v>1.2891982118452994</v>
      </c>
      <c r="I850">
        <v>150.13377733328971</v>
      </c>
      <c r="J850">
        <v>304.28235656738275</v>
      </c>
      <c r="K850">
        <v>1.3674640211396123</v>
      </c>
      <c r="L850">
        <v>0</v>
      </c>
      <c r="M850" t="str">
        <f>VLOOKUP(fact_daily_prices[[#This Row],[Ticker]], dim_company[], 2, FALSE)</f>
        <v>JPMorgan Chase &amp; Co.</v>
      </c>
      <c r="N850" t="str">
        <f>VLOOKUP(fact_daily_prices[[#This Row],[Ticker]], dim_company[], 3, FALSE)</f>
        <v>Financials</v>
      </c>
    </row>
    <row r="851" spans="1:14" x14ac:dyDescent="0.3">
      <c r="A851" s="1">
        <v>45981</v>
      </c>
      <c r="B851">
        <v>295.5277099609375</v>
      </c>
      <c r="C851">
        <v>306.95740445253</v>
      </c>
      <c r="D851">
        <v>295.30981179122421</v>
      </c>
      <c r="E851">
        <v>303.41160971136401</v>
      </c>
      <c r="F851">
        <v>7501600</v>
      </c>
      <c r="G851" s="2" t="s">
        <v>13</v>
      </c>
      <c r="H851">
        <v>-1.6124166946488994</v>
      </c>
      <c r="I851">
        <v>147.71299524326076</v>
      </c>
      <c r="J851">
        <v>304.16941406249998</v>
      </c>
      <c r="K851">
        <v>1.3988219831965187</v>
      </c>
      <c r="L851">
        <v>0</v>
      </c>
      <c r="M851" t="str">
        <f>VLOOKUP(fact_daily_prices[[#This Row],[Ticker]], dim_company[], 2, FALSE)</f>
        <v>JPMorgan Chase &amp; Co.</v>
      </c>
      <c r="N851" t="str">
        <f>VLOOKUP(fact_daily_prices[[#This Row],[Ticker]], dim_company[], 3, FALSE)</f>
        <v>Financials</v>
      </c>
    </row>
    <row r="852" spans="1:14" x14ac:dyDescent="0.3">
      <c r="A852" s="1">
        <v>45982</v>
      </c>
      <c r="B852">
        <v>295.17111206054688</v>
      </c>
      <c r="C852">
        <v>298.79612847191561</v>
      </c>
      <c r="D852">
        <v>290.01092472978763</v>
      </c>
      <c r="E852">
        <v>298.40987233529643</v>
      </c>
      <c r="F852">
        <v>11766800</v>
      </c>
      <c r="G852" s="2" t="s">
        <v>13</v>
      </c>
      <c r="H852">
        <v>-0.12066479330745672</v>
      </c>
      <c r="I852">
        <v>147.53475766286223</v>
      </c>
      <c r="J852">
        <v>304.02272705078121</v>
      </c>
      <c r="K852">
        <v>1.3866515310623093</v>
      </c>
      <c r="L852">
        <v>0</v>
      </c>
      <c r="M852" t="str">
        <f>VLOOKUP(fact_daily_prices[[#This Row],[Ticker]], dim_company[], 2, FALSE)</f>
        <v>JPMorgan Chase &amp; Co.</v>
      </c>
      <c r="N852" t="str">
        <f>VLOOKUP(fact_daily_prices[[#This Row],[Ticker]], dim_company[], 3, FALSE)</f>
        <v>Financials</v>
      </c>
    </row>
    <row r="853" spans="1:14" x14ac:dyDescent="0.3">
      <c r="A853" s="1">
        <v>45985</v>
      </c>
      <c r="B853">
        <v>295.15133666992188</v>
      </c>
      <c r="C853">
        <v>296.9539460474125</v>
      </c>
      <c r="D853">
        <v>291.69470820468445</v>
      </c>
      <c r="E853">
        <v>295.38903277214843</v>
      </c>
      <c r="F853">
        <v>10940200</v>
      </c>
      <c r="G853" s="2" t="s">
        <v>13</v>
      </c>
      <c r="H853">
        <v>-6.6996361828719486E-3</v>
      </c>
      <c r="I853">
        <v>147.52487337085554</v>
      </c>
      <c r="J853">
        <v>303.83641662597654</v>
      </c>
      <c r="K853">
        <v>1.3121752500227761</v>
      </c>
      <c r="L853">
        <v>0</v>
      </c>
      <c r="M853" t="str">
        <f>VLOOKUP(fact_daily_prices[[#This Row],[Ticker]], dim_company[], 2, FALSE)</f>
        <v>JPMorgan Chase &amp; Co.</v>
      </c>
      <c r="N853" t="str">
        <f>VLOOKUP(fact_daily_prices[[#This Row],[Ticker]], dim_company[], 3, FALSE)</f>
        <v>Financials</v>
      </c>
    </row>
    <row r="854" spans="1:14" x14ac:dyDescent="0.3">
      <c r="A854" s="1">
        <v>45986</v>
      </c>
      <c r="B854">
        <v>300.103515625</v>
      </c>
      <c r="C854">
        <v>301.58917659344058</v>
      </c>
      <c r="D854">
        <v>292.73463480346669</v>
      </c>
      <c r="E854">
        <v>297.18170363006027</v>
      </c>
      <c r="F854">
        <v>8877200</v>
      </c>
      <c r="G854" s="2" t="s">
        <v>13</v>
      </c>
      <c r="H854">
        <v>1.6778439870717365</v>
      </c>
      <c r="I854">
        <v>150.00011058814363</v>
      </c>
      <c r="J854">
        <v>303.74343261718747</v>
      </c>
      <c r="K854">
        <v>1.3049924050166599</v>
      </c>
      <c r="L854">
        <v>0</v>
      </c>
      <c r="M854" t="str">
        <f>VLOOKUP(fact_daily_prices[[#This Row],[Ticker]], dim_company[], 2, FALSE)</f>
        <v>JPMorgan Chase &amp; Co.</v>
      </c>
      <c r="N854" t="str">
        <f>VLOOKUP(fact_daily_prices[[#This Row],[Ticker]], dim_company[], 3, FALSE)</f>
        <v>Financials</v>
      </c>
    </row>
    <row r="855" spans="1:14" x14ac:dyDescent="0.3">
      <c r="A855" s="1">
        <v>45987</v>
      </c>
      <c r="B855">
        <v>304.69918823242188</v>
      </c>
      <c r="C855">
        <v>305.58066472865232</v>
      </c>
      <c r="D855">
        <v>300.30162915288383</v>
      </c>
      <c r="E855">
        <v>302.08441030367982</v>
      </c>
      <c r="F855">
        <v>7910900</v>
      </c>
      <c r="G855" s="2" t="s">
        <v>13</v>
      </c>
      <c r="H855">
        <v>1.5313624693302552</v>
      </c>
      <c r="I855">
        <v>152.29715598564431</v>
      </c>
      <c r="J855">
        <v>303.6918969726562</v>
      </c>
      <c r="K855">
        <v>1.3168394295146353</v>
      </c>
      <c r="L855">
        <v>0</v>
      </c>
      <c r="M855" t="str">
        <f>VLOOKUP(fact_daily_prices[[#This Row],[Ticker]], dim_company[], 2, FALSE)</f>
        <v>JPMorgan Chase &amp; Co.</v>
      </c>
      <c r="N855" t="str">
        <f>VLOOKUP(fact_daily_prices[[#This Row],[Ticker]], dim_company[], 3, FALSE)</f>
        <v>Financials</v>
      </c>
    </row>
    <row r="856" spans="1:14" x14ac:dyDescent="0.3">
      <c r="A856" s="1">
        <v>45989</v>
      </c>
      <c r="B856">
        <v>310.08718872070313</v>
      </c>
      <c r="C856">
        <v>310.72108533366418</v>
      </c>
      <c r="D856">
        <v>305.29345893213809</v>
      </c>
      <c r="E856">
        <v>306.14525372757282</v>
      </c>
      <c r="F856">
        <v>4322400</v>
      </c>
      <c r="G856" s="2" t="s">
        <v>13</v>
      </c>
      <c r="H856">
        <v>1.7683015565408411</v>
      </c>
      <c r="I856">
        <v>154.99022896550591</v>
      </c>
      <c r="J856">
        <v>303.7189459228515</v>
      </c>
      <c r="K856">
        <v>1.2749347219929286</v>
      </c>
      <c r="L856">
        <v>0</v>
      </c>
      <c r="M856" t="str">
        <f>VLOOKUP(fact_daily_prices[[#This Row],[Ticker]], dim_company[], 2, FALSE)</f>
        <v>JPMorgan Chase &amp; Co.</v>
      </c>
      <c r="N856" t="str">
        <f>VLOOKUP(fact_daily_prices[[#This Row],[Ticker]], dim_company[], 3, FALSE)</f>
        <v>Financials</v>
      </c>
    </row>
    <row r="857" spans="1:14" x14ac:dyDescent="0.3">
      <c r="A857" s="1">
        <v>45992</v>
      </c>
      <c r="B857">
        <v>305.96697998046875</v>
      </c>
      <c r="C857">
        <v>311.03803195323798</v>
      </c>
      <c r="D857">
        <v>305.59060764679617</v>
      </c>
      <c r="E857">
        <v>309.95845512688197</v>
      </c>
      <c r="F857">
        <v>7727300</v>
      </c>
      <c r="G857" s="2" t="s">
        <v>13</v>
      </c>
      <c r="H857">
        <v>-1.3287258842368588</v>
      </c>
      <c r="I857">
        <v>152.93083367520325</v>
      </c>
      <c r="J857">
        <v>303.63303527832028</v>
      </c>
      <c r="K857">
        <v>1.3011390609658673</v>
      </c>
      <c r="L857">
        <v>0</v>
      </c>
      <c r="M857" t="str">
        <f>VLOOKUP(fact_daily_prices[[#This Row],[Ticker]], dim_company[], 2, FALSE)</f>
        <v>JPMorgan Chase &amp; Co.</v>
      </c>
      <c r="N857" t="str">
        <f>VLOOKUP(fact_daily_prices[[#This Row],[Ticker]], dim_company[], 3, FALSE)</f>
        <v>Financials</v>
      </c>
    </row>
    <row r="858" spans="1:14" x14ac:dyDescent="0.3">
      <c r="A858" s="1">
        <v>45993</v>
      </c>
      <c r="B858">
        <v>304.9368896484375</v>
      </c>
      <c r="C858">
        <v>307.51204153131079</v>
      </c>
      <c r="D858">
        <v>304.15443302682007</v>
      </c>
      <c r="E858">
        <v>305.7886541478843</v>
      </c>
      <c r="F858">
        <v>7249000</v>
      </c>
      <c r="G858" s="2" t="s">
        <v>13</v>
      </c>
      <c r="H858">
        <v>-0.33666715672946435</v>
      </c>
      <c r="I858">
        <v>152.41596578570628</v>
      </c>
      <c r="J858">
        <v>303.57265075683591</v>
      </c>
      <c r="K858">
        <v>1.2730602965858462</v>
      </c>
      <c r="L858">
        <v>0</v>
      </c>
      <c r="M858" t="str">
        <f>VLOOKUP(fact_daily_prices[[#This Row],[Ticker]], dim_company[], 2, FALSE)</f>
        <v>JPMorgan Chase &amp; Co.</v>
      </c>
      <c r="N858" t="str">
        <f>VLOOKUP(fact_daily_prices[[#This Row],[Ticker]], dim_company[], 3, FALSE)</f>
        <v>Financials</v>
      </c>
    </row>
    <row r="859" spans="1:14" x14ac:dyDescent="0.3">
      <c r="A859" s="1">
        <v>45994</v>
      </c>
      <c r="B859">
        <v>309.14627075195313</v>
      </c>
      <c r="C859">
        <v>309.37405277594195</v>
      </c>
      <c r="D859">
        <v>303.86720471987456</v>
      </c>
      <c r="E859">
        <v>304.26340519365976</v>
      </c>
      <c r="F859">
        <v>8535300</v>
      </c>
      <c r="G859" s="2" t="s">
        <v>13</v>
      </c>
      <c r="H859">
        <v>1.3804105854062554</v>
      </c>
      <c r="I859">
        <v>154.51993191126135</v>
      </c>
      <c r="J859">
        <v>303.59054077148431</v>
      </c>
      <c r="K859">
        <v>1.2472899935681576</v>
      </c>
      <c r="L859">
        <v>0</v>
      </c>
      <c r="M859" t="str">
        <f>VLOOKUP(fact_daily_prices[[#This Row],[Ticker]], dim_company[], 2, FALSE)</f>
        <v>JPMorgan Chase &amp; Co.</v>
      </c>
      <c r="N859" t="str">
        <f>VLOOKUP(fact_daily_prices[[#This Row],[Ticker]], dim_company[], 3, FALSE)</f>
        <v>Financials</v>
      </c>
    </row>
    <row r="860" spans="1:14" x14ac:dyDescent="0.3">
      <c r="A860" s="1">
        <v>45995</v>
      </c>
      <c r="B860">
        <v>313.07830810546875</v>
      </c>
      <c r="C860">
        <v>315.44544563675794</v>
      </c>
      <c r="D860">
        <v>310.0079359217761</v>
      </c>
      <c r="E860">
        <v>310.26546017340843</v>
      </c>
      <c r="F860">
        <v>9627800</v>
      </c>
      <c r="G860" s="2" t="s">
        <v>13</v>
      </c>
      <c r="H860">
        <v>1.2719019200689408</v>
      </c>
      <c r="I860">
        <v>156.48527389212992</v>
      </c>
      <c r="J860">
        <v>303.67366577148437</v>
      </c>
      <c r="K860">
        <v>1.2425136283487184</v>
      </c>
      <c r="L860">
        <v>0</v>
      </c>
      <c r="M860" t="str">
        <f>VLOOKUP(fact_daily_prices[[#This Row],[Ticker]], dim_company[], 2, FALSE)</f>
        <v>JPMorgan Chase &amp; Co.</v>
      </c>
      <c r="N860" t="str">
        <f>VLOOKUP(fact_daily_prices[[#This Row],[Ticker]], dim_company[], 3, FALSE)</f>
        <v>Financials</v>
      </c>
    </row>
    <row r="861" spans="1:14" x14ac:dyDescent="0.3">
      <c r="A861" s="1">
        <v>45996</v>
      </c>
      <c r="B861">
        <v>312.02847290039063</v>
      </c>
      <c r="C861">
        <v>315.43559161373508</v>
      </c>
      <c r="D861">
        <v>311.67189850088278</v>
      </c>
      <c r="E861">
        <v>312.62274341566774</v>
      </c>
      <c r="F861">
        <v>6518900</v>
      </c>
      <c r="G861" s="2" t="s">
        <v>13</v>
      </c>
      <c r="H861">
        <v>-0.33532671472226161</v>
      </c>
      <c r="I861">
        <v>155.96053696416328</v>
      </c>
      <c r="J861">
        <v>303.73520324707033</v>
      </c>
      <c r="K861">
        <v>1.2469781002435927</v>
      </c>
      <c r="L861">
        <v>0</v>
      </c>
      <c r="M861" t="str">
        <f>VLOOKUP(fact_daily_prices[[#This Row],[Ticker]], dim_company[], 2, FALSE)</f>
        <v>JPMorgan Chase &amp; Co.</v>
      </c>
      <c r="N861" t="str">
        <f>VLOOKUP(fact_daily_prices[[#This Row],[Ticker]], dim_company[], 3, FALSE)</f>
        <v>Financials</v>
      </c>
    </row>
    <row r="862" spans="1:14" x14ac:dyDescent="0.3">
      <c r="A862" s="1">
        <v>45999</v>
      </c>
      <c r="B862">
        <v>312.19680786132813</v>
      </c>
      <c r="C862">
        <v>313.44477282870224</v>
      </c>
      <c r="D862">
        <v>310.35460264839662</v>
      </c>
      <c r="E862">
        <v>312.04824779993879</v>
      </c>
      <c r="F862">
        <v>7417200</v>
      </c>
      <c r="G862" s="2" t="s">
        <v>13</v>
      </c>
      <c r="H862">
        <v>5.3948589810670633E-2</v>
      </c>
      <c r="I862">
        <v>156.04467547451659</v>
      </c>
      <c r="J862">
        <v>303.7486572265625</v>
      </c>
      <c r="K862">
        <v>1.2014681379058056</v>
      </c>
      <c r="L862">
        <v>0</v>
      </c>
      <c r="M862" t="str">
        <f>VLOOKUP(fact_daily_prices[[#This Row],[Ticker]], dim_company[], 2, FALSE)</f>
        <v>JPMorgan Chase &amp; Co.</v>
      </c>
      <c r="N862" t="str">
        <f>VLOOKUP(fact_daily_prices[[#This Row],[Ticker]], dim_company[], 3, FALSE)</f>
        <v>Financials</v>
      </c>
    </row>
    <row r="863" spans="1:14" x14ac:dyDescent="0.3">
      <c r="A863" s="1">
        <v>46000</v>
      </c>
      <c r="B863">
        <v>297.63735961914063</v>
      </c>
      <c r="C863">
        <v>315.7524991840304</v>
      </c>
      <c r="D863">
        <v>297.15202309779249</v>
      </c>
      <c r="E863">
        <v>311.93932647510701</v>
      </c>
      <c r="F863">
        <v>18049200</v>
      </c>
      <c r="G863" s="2" t="s">
        <v>13</v>
      </c>
      <c r="H863">
        <v>-4.6635480810727987</v>
      </c>
      <c r="I863">
        <v>148.7674570058085</v>
      </c>
      <c r="J863">
        <v>303.47821533203125</v>
      </c>
      <c r="K863">
        <v>1.4727149909964339</v>
      </c>
      <c r="L863">
        <v>1</v>
      </c>
      <c r="M863" t="str">
        <f>VLOOKUP(fact_daily_prices[[#This Row],[Ticker]], dim_company[], 2, FALSE)</f>
        <v>JPMorgan Chase &amp; Co.</v>
      </c>
      <c r="N863" t="str">
        <f>VLOOKUP(fact_daily_prices[[#This Row],[Ticker]], dim_company[], 3, FALSE)</f>
        <v>Financials</v>
      </c>
    </row>
    <row r="864" spans="1:14" x14ac:dyDescent="0.3">
      <c r="A864" s="1">
        <v>46001</v>
      </c>
      <c r="B864">
        <v>307.14553833007813</v>
      </c>
      <c r="C864">
        <v>308.21523116853888</v>
      </c>
      <c r="D864">
        <v>295.60691069504315</v>
      </c>
      <c r="E864">
        <v>297.62741810314122</v>
      </c>
      <c r="F864">
        <v>18874100</v>
      </c>
      <c r="G864" s="2" t="s">
        <v>13</v>
      </c>
      <c r="H864">
        <v>3.1945514914875739</v>
      </c>
      <c r="I864">
        <v>153.51991002243568</v>
      </c>
      <c r="J864">
        <v>303.40306274414064</v>
      </c>
      <c r="K864">
        <v>1.5849393379715901</v>
      </c>
      <c r="L864">
        <v>1</v>
      </c>
      <c r="M864" t="str">
        <f>VLOOKUP(fact_daily_prices[[#This Row],[Ticker]], dim_company[], 2, FALSE)</f>
        <v>JPMorgan Chase &amp; Co.</v>
      </c>
      <c r="N864" t="str">
        <f>VLOOKUP(fact_daily_prices[[#This Row],[Ticker]], dim_company[], 3, FALSE)</f>
        <v>Financials</v>
      </c>
    </row>
    <row r="865" spans="1:14" x14ac:dyDescent="0.3">
      <c r="A865" s="1">
        <v>46002</v>
      </c>
      <c r="B865">
        <v>314.3460693359375</v>
      </c>
      <c r="C865">
        <v>314.96013772429524</v>
      </c>
      <c r="D865">
        <v>306.28386765433481</v>
      </c>
      <c r="E865">
        <v>306.28386765433481</v>
      </c>
      <c r="F865">
        <v>9721900</v>
      </c>
      <c r="G865" s="2" t="s">
        <v>13</v>
      </c>
      <c r="H865">
        <v>2.3443384673624168</v>
      </c>
      <c r="I865">
        <v>157.11893632815182</v>
      </c>
      <c r="J865">
        <v>303.56496582031252</v>
      </c>
      <c r="K865">
        <v>1.6386950907756681</v>
      </c>
      <c r="L865">
        <v>0</v>
      </c>
      <c r="M865" t="str">
        <f>VLOOKUP(fact_daily_prices[[#This Row],[Ticker]], dim_company[], 2, FALSE)</f>
        <v>JPMorgan Chase &amp; Co.</v>
      </c>
      <c r="N865" t="str">
        <f>VLOOKUP(fact_daily_prices[[#This Row],[Ticker]], dim_company[], 3, FALSE)</f>
        <v>Financials</v>
      </c>
    </row>
    <row r="866" spans="1:14" x14ac:dyDescent="0.3">
      <c r="A866" s="1">
        <v>46003</v>
      </c>
      <c r="B866">
        <v>315.47515869140625</v>
      </c>
      <c r="C866">
        <v>317.20842990436694</v>
      </c>
      <c r="D866">
        <v>313.57352948709178</v>
      </c>
      <c r="E866">
        <v>316.62407352252808</v>
      </c>
      <c r="F866">
        <v>8982900</v>
      </c>
      <c r="G866" s="2" t="s">
        <v>13</v>
      </c>
      <c r="H866">
        <v>0.35918672622627934</v>
      </c>
      <c r="I866">
        <v>157.68328669183046</v>
      </c>
      <c r="J866">
        <v>303.81174438476563</v>
      </c>
      <c r="K866">
        <v>1.6250199266729997</v>
      </c>
      <c r="L866">
        <v>0</v>
      </c>
      <c r="M866" t="str">
        <f>VLOOKUP(fact_daily_prices[[#This Row],[Ticker]], dim_company[], 2, FALSE)</f>
        <v>JPMorgan Chase &amp; Co.</v>
      </c>
      <c r="N866" t="str">
        <f>VLOOKUP(fact_daily_prices[[#This Row],[Ticker]], dim_company[], 3, FALSE)</f>
        <v>Financials</v>
      </c>
    </row>
    <row r="867" spans="1:14" x14ac:dyDescent="0.3">
      <c r="A867" s="1">
        <v>46006</v>
      </c>
      <c r="B867">
        <v>316.96084594726563</v>
      </c>
      <c r="C867">
        <v>319.79352228132637</v>
      </c>
      <c r="D867">
        <v>315.34645287366618</v>
      </c>
      <c r="E867">
        <v>316.53496366820298</v>
      </c>
      <c r="F867">
        <v>10864100</v>
      </c>
      <c r="G867" s="2" t="s">
        <v>13</v>
      </c>
      <c r="H867">
        <v>0.47093636849950826</v>
      </c>
      <c r="I867">
        <v>158.42587463590763</v>
      </c>
      <c r="J867">
        <v>304.03934753417968</v>
      </c>
      <c r="K867">
        <v>1.6244106856059588</v>
      </c>
      <c r="L867">
        <v>0</v>
      </c>
      <c r="M867" t="str">
        <f>VLOOKUP(fact_daily_prices[[#This Row],[Ticker]], dim_company[], 2, FALSE)</f>
        <v>JPMorgan Chase &amp; Co.</v>
      </c>
      <c r="N867" t="str">
        <f>VLOOKUP(fact_daily_prices[[#This Row],[Ticker]], dim_company[], 3, FALSE)</f>
        <v>Financials</v>
      </c>
    </row>
    <row r="868" spans="1:14" x14ac:dyDescent="0.3">
      <c r="A868" s="1">
        <v>46007</v>
      </c>
      <c r="B868">
        <v>312.53353881835938</v>
      </c>
      <c r="C868">
        <v>316.46558945571707</v>
      </c>
      <c r="D868">
        <v>311.39453810217623</v>
      </c>
      <c r="E868">
        <v>316.03970722524122</v>
      </c>
      <c r="F868">
        <v>8331300</v>
      </c>
      <c r="G868" s="2" t="s">
        <v>13</v>
      </c>
      <c r="H868">
        <v>-1.3967993793286504</v>
      </c>
      <c r="I868">
        <v>156.21298300229728</v>
      </c>
      <c r="J868">
        <v>304.16552978515625</v>
      </c>
      <c r="K868">
        <v>1.6432116795978506</v>
      </c>
      <c r="L868">
        <v>0</v>
      </c>
      <c r="M868" t="str">
        <f>VLOOKUP(fact_daily_prices[[#This Row],[Ticker]], dim_company[], 2, FALSE)</f>
        <v>JPMorgan Chase &amp; Co.</v>
      </c>
      <c r="N868" t="str">
        <f>VLOOKUP(fact_daily_prices[[#This Row],[Ticker]], dim_company[], 3, FALSE)</f>
        <v>Financials</v>
      </c>
    </row>
    <row r="869" spans="1:14" x14ac:dyDescent="0.3">
      <c r="A869" s="1">
        <v>46008</v>
      </c>
      <c r="B869">
        <v>311.96902465820313</v>
      </c>
      <c r="C869">
        <v>316.31704364290192</v>
      </c>
      <c r="D869">
        <v>311.65207637787449</v>
      </c>
      <c r="E869">
        <v>315.38602696059388</v>
      </c>
      <c r="F869">
        <v>8718700</v>
      </c>
      <c r="G869" s="2" t="s">
        <v>13</v>
      </c>
      <c r="H869">
        <v>-0.18062514579734179</v>
      </c>
      <c r="I869">
        <v>155.93082307399501</v>
      </c>
      <c r="J869">
        <v>304.30993591308595</v>
      </c>
      <c r="K869">
        <v>1.6437821201667093</v>
      </c>
      <c r="L869">
        <v>0</v>
      </c>
      <c r="M869" t="str">
        <f>VLOOKUP(fact_daily_prices[[#This Row],[Ticker]], dim_company[], 2, FALSE)</f>
        <v>JPMorgan Chase &amp; Co.</v>
      </c>
      <c r="N869" t="str">
        <f>VLOOKUP(fact_daily_prices[[#This Row],[Ticker]], dim_company[], 3, FALSE)</f>
        <v>Financials</v>
      </c>
    </row>
    <row r="870" spans="1:14" x14ac:dyDescent="0.3">
      <c r="A870" s="1">
        <v>46009</v>
      </c>
      <c r="B870">
        <v>310.0079345703125</v>
      </c>
      <c r="C870">
        <v>314.66301788263524</v>
      </c>
      <c r="D870">
        <v>309.23539204463458</v>
      </c>
      <c r="E870">
        <v>312.97925662689698</v>
      </c>
      <c r="F870">
        <v>11444900</v>
      </c>
      <c r="G870" s="2" t="s">
        <v>13</v>
      </c>
      <c r="H870">
        <v>-0.62861692440113748</v>
      </c>
      <c r="I870">
        <v>154.95061552979388</v>
      </c>
      <c r="J870">
        <v>304.48762145996096</v>
      </c>
      <c r="K870">
        <v>1.6429582102555829</v>
      </c>
      <c r="L870">
        <v>0</v>
      </c>
      <c r="M870" t="str">
        <f>VLOOKUP(fact_daily_prices[[#This Row],[Ticker]], dim_company[], 2, FALSE)</f>
        <v>JPMorgan Chase &amp; Co.</v>
      </c>
      <c r="N870" t="str">
        <f>VLOOKUP(fact_daily_prices[[#This Row],[Ticker]], dim_company[], 3, FALSE)</f>
        <v>Financials</v>
      </c>
    </row>
    <row r="871" spans="1:14" x14ac:dyDescent="0.3">
      <c r="A871" s="1">
        <v>46010</v>
      </c>
      <c r="B871">
        <v>314.17767333984369</v>
      </c>
      <c r="C871">
        <v>315.51477427620307</v>
      </c>
      <c r="D871">
        <v>310.19611276738613</v>
      </c>
      <c r="E871">
        <v>310.79038320864026</v>
      </c>
      <c r="F871">
        <v>24494400</v>
      </c>
      <c r="G871" s="2" t="s">
        <v>13</v>
      </c>
      <c r="H871">
        <v>1.3450425955421563</v>
      </c>
      <c r="I871">
        <v>157.03476731072439</v>
      </c>
      <c r="J871">
        <v>304.74870178222659</v>
      </c>
      <c r="K871">
        <v>1.6579381669708826</v>
      </c>
      <c r="L871">
        <v>1</v>
      </c>
      <c r="M871" t="str">
        <f>VLOOKUP(fact_daily_prices[[#This Row],[Ticker]], dim_company[], 2, FALSE)</f>
        <v>JPMorgan Chase &amp; Co.</v>
      </c>
      <c r="N871" t="str">
        <f>VLOOKUP(fact_daily_prices[[#This Row],[Ticker]], dim_company[], 3, FALSE)</f>
        <v>Financials</v>
      </c>
    </row>
    <row r="872" spans="1:14" x14ac:dyDescent="0.3">
      <c r="A872" s="1">
        <v>46013</v>
      </c>
      <c r="B872">
        <v>320.00146484375</v>
      </c>
      <c r="C872">
        <v>320.14014104266494</v>
      </c>
      <c r="D872">
        <v>314.47481933577194</v>
      </c>
      <c r="E872">
        <v>314.47481933577194</v>
      </c>
      <c r="F872">
        <v>8354600</v>
      </c>
      <c r="G872" s="2" t="s">
        <v>13</v>
      </c>
      <c r="H872">
        <v>1.8536617965232649</v>
      </c>
      <c r="I872">
        <v>159.94566079962246</v>
      </c>
      <c r="J872">
        <v>305.18845703124998</v>
      </c>
      <c r="K872">
        <v>1.6900292627715752</v>
      </c>
      <c r="L872">
        <v>0</v>
      </c>
      <c r="M872" t="str">
        <f>VLOOKUP(fact_daily_prices[[#This Row],[Ticker]], dim_company[], 2, FALSE)</f>
        <v>JPMorgan Chase &amp; Co.</v>
      </c>
      <c r="N872" t="str">
        <f>VLOOKUP(fact_daily_prices[[#This Row],[Ticker]], dim_company[], 3, FALSE)</f>
        <v>Financials</v>
      </c>
    </row>
    <row r="873" spans="1:14" x14ac:dyDescent="0.3">
      <c r="A873" s="1">
        <v>46014</v>
      </c>
      <c r="B873">
        <v>322.8143310546875</v>
      </c>
      <c r="C873">
        <v>324.6466524002949</v>
      </c>
      <c r="D873">
        <v>320.00148308544306</v>
      </c>
      <c r="E873">
        <v>320.51650136966475</v>
      </c>
      <c r="F873">
        <v>6668300</v>
      </c>
      <c r="G873" s="2" t="s">
        <v>13</v>
      </c>
      <c r="H873">
        <v>0.8790166670989974</v>
      </c>
      <c r="I873">
        <v>161.35160981635278</v>
      </c>
      <c r="J873">
        <v>305.54422302246093</v>
      </c>
      <c r="K873">
        <v>1.6904328062875085</v>
      </c>
      <c r="L873">
        <v>0</v>
      </c>
      <c r="M873" t="str">
        <f>VLOOKUP(fact_daily_prices[[#This Row],[Ticker]], dim_company[], 2, FALSE)</f>
        <v>JPMorgan Chase &amp; Co.</v>
      </c>
      <c r="N873" t="str">
        <f>VLOOKUP(fact_daily_prices[[#This Row],[Ticker]], dim_company[], 3, FALSE)</f>
        <v>Financials</v>
      </c>
    </row>
    <row r="874" spans="1:14" x14ac:dyDescent="0.3">
      <c r="A874" s="1">
        <v>46015</v>
      </c>
      <c r="B874">
        <v>326.02337646484369</v>
      </c>
      <c r="C874">
        <v>326.8355148620812</v>
      </c>
      <c r="D874">
        <v>322.38844581936451</v>
      </c>
      <c r="E874">
        <v>323.12136226047562</v>
      </c>
      <c r="F874">
        <v>4289300</v>
      </c>
      <c r="G874" s="2" t="s">
        <v>13</v>
      </c>
      <c r="H874">
        <v>0.99408393663060757</v>
      </c>
      <c r="I874">
        <v>162.95558025103202</v>
      </c>
      <c r="J874">
        <v>306.08084411621093</v>
      </c>
      <c r="K874">
        <v>1.6951404882046921</v>
      </c>
      <c r="L874">
        <v>0</v>
      </c>
      <c r="M874" t="str">
        <f>VLOOKUP(fact_daily_prices[[#This Row],[Ticker]], dim_company[], 2, FALSE)</f>
        <v>JPMorgan Chase &amp; Co.</v>
      </c>
      <c r="N874" t="str">
        <f>VLOOKUP(fact_daily_prices[[#This Row],[Ticker]], dim_company[], 3, FALSE)</f>
        <v>Financials</v>
      </c>
    </row>
    <row r="875" spans="1:14" x14ac:dyDescent="0.3">
      <c r="A875" s="1">
        <v>46017</v>
      </c>
      <c r="B875">
        <v>324.77542114257813</v>
      </c>
      <c r="C875">
        <v>327.69720314024562</v>
      </c>
      <c r="D875">
        <v>323.41852218805178</v>
      </c>
      <c r="E875">
        <v>325.96393187480061</v>
      </c>
      <c r="F875">
        <v>4158300</v>
      </c>
      <c r="G875" s="2" t="s">
        <v>13</v>
      </c>
      <c r="H875">
        <v>-0.38278093301084004</v>
      </c>
      <c r="I875">
        <v>162.33181736055391</v>
      </c>
      <c r="J875">
        <v>306.52099609375</v>
      </c>
      <c r="K875">
        <v>1.6778536312531465</v>
      </c>
      <c r="L875">
        <v>0</v>
      </c>
      <c r="M875" t="str">
        <f>VLOOKUP(fact_daily_prices[[#This Row],[Ticker]], dim_company[], 2, FALSE)</f>
        <v>JPMorgan Chase &amp; Co.</v>
      </c>
      <c r="N875" t="str">
        <f>VLOOKUP(fact_daily_prices[[#This Row],[Ticker]], dim_company[], 3, FALSE)</f>
        <v>Financials</v>
      </c>
    </row>
    <row r="876" spans="1:14" x14ac:dyDescent="0.3">
      <c r="A876" s="1">
        <v>46020</v>
      </c>
      <c r="B876">
        <v>320.65518188476563</v>
      </c>
      <c r="C876">
        <v>324.6367426827693</v>
      </c>
      <c r="D876">
        <v>320.43728371815735</v>
      </c>
      <c r="E876">
        <v>323.87411421256638</v>
      </c>
      <c r="F876">
        <v>8635300</v>
      </c>
      <c r="G876" s="2" t="s">
        <v>13</v>
      </c>
      <c r="H876">
        <v>-1.2686425725559114</v>
      </c>
      <c r="I876">
        <v>160.27240681671421</v>
      </c>
      <c r="J876">
        <v>307.02037658691404</v>
      </c>
      <c r="K876">
        <v>1.565478802885629</v>
      </c>
      <c r="L876">
        <v>0</v>
      </c>
      <c r="M876" t="str">
        <f>VLOOKUP(fact_daily_prices[[#This Row],[Ticker]], dim_company[], 2, FALSE)</f>
        <v>JPMorgan Chase &amp; Co.</v>
      </c>
      <c r="N876" t="str">
        <f>VLOOKUP(fact_daily_prices[[#This Row],[Ticker]], dim_company[], 3, FALSE)</f>
        <v>Financials</v>
      </c>
    </row>
    <row r="877" spans="1:14" x14ac:dyDescent="0.3">
      <c r="A877" s="1">
        <v>46021</v>
      </c>
      <c r="B877">
        <v>320.32833862304688</v>
      </c>
      <c r="C877">
        <v>321.83379757815135</v>
      </c>
      <c r="D877">
        <v>319.40720581728044</v>
      </c>
      <c r="E877">
        <v>321.70503545337482</v>
      </c>
      <c r="F877">
        <v>7904300</v>
      </c>
      <c r="G877" s="2" t="s">
        <v>13</v>
      </c>
      <c r="H877">
        <v>-0.10192982374325199</v>
      </c>
      <c r="I877">
        <v>160.10904143493687</v>
      </c>
      <c r="J877">
        <v>307.53263244628909</v>
      </c>
      <c r="K877">
        <v>1.5176414660742874</v>
      </c>
      <c r="L877">
        <v>0</v>
      </c>
      <c r="M877" t="str">
        <f>VLOOKUP(fact_daily_prices[[#This Row],[Ticker]], dim_company[], 2, FALSE)</f>
        <v>JPMorgan Chase &amp; Co.</v>
      </c>
      <c r="N877" t="str">
        <f>VLOOKUP(fact_daily_prices[[#This Row],[Ticker]], dim_company[], 3, FALSE)</f>
        <v>Financials</v>
      </c>
    </row>
    <row r="878" spans="1:14" x14ac:dyDescent="0.3">
      <c r="A878" s="1">
        <v>46022</v>
      </c>
      <c r="B878">
        <v>319.13980102539063</v>
      </c>
      <c r="C878">
        <v>321.77437689354394</v>
      </c>
      <c r="D878">
        <v>318.96152895501251</v>
      </c>
      <c r="E878">
        <v>321.23953045655838</v>
      </c>
      <c r="F878">
        <v>5048500</v>
      </c>
      <c r="G878" s="2" t="s">
        <v>13</v>
      </c>
      <c r="H878">
        <v>-0.37103729341126934</v>
      </c>
      <c r="I878">
        <v>159.51497718108993</v>
      </c>
      <c r="J878">
        <v>307.92603576660156</v>
      </c>
      <c r="K878">
        <v>1.5024951931270156</v>
      </c>
      <c r="L878">
        <v>0</v>
      </c>
      <c r="M878" t="str">
        <f>VLOOKUP(fact_daily_prices[[#This Row],[Ticker]], dim_company[], 2, FALSE)</f>
        <v>JPMorgan Chase &amp; Co.</v>
      </c>
      <c r="N878" t="str">
        <f>VLOOKUP(fact_daily_prices[[#This Row],[Ticker]], dim_company[], 3, FALSE)</f>
        <v>Financials</v>
      </c>
    </row>
    <row r="879" spans="1:14" x14ac:dyDescent="0.3">
      <c r="A879" s="1">
        <v>46024</v>
      </c>
      <c r="B879">
        <v>322.36865234375</v>
      </c>
      <c r="C879">
        <v>322.61626252061376</v>
      </c>
      <c r="D879">
        <v>317.67394283683433</v>
      </c>
      <c r="E879">
        <v>319.41712815422761</v>
      </c>
      <c r="F879">
        <v>8054000</v>
      </c>
      <c r="G879" s="2" t="s">
        <v>13</v>
      </c>
      <c r="H879">
        <v>1.0117357057894738</v>
      </c>
      <c r="I879">
        <v>161.12884716131296</v>
      </c>
      <c r="J879">
        <v>308.48840881347655</v>
      </c>
      <c r="K879">
        <v>1.5048935088278492</v>
      </c>
      <c r="L879">
        <v>0</v>
      </c>
      <c r="M879" t="str">
        <f>VLOOKUP(fact_daily_prices[[#This Row],[Ticker]], dim_company[], 2, FALSE)</f>
        <v>JPMorgan Chase &amp; Co.</v>
      </c>
      <c r="N879" t="str">
        <f>VLOOKUP(fact_daily_prices[[#This Row],[Ticker]], dim_company[], 3, FALSE)</f>
        <v>Financials</v>
      </c>
    </row>
    <row r="880" spans="1:14" x14ac:dyDescent="0.3">
      <c r="A880" s="1">
        <v>46027</v>
      </c>
      <c r="B880">
        <v>330.84683227539063</v>
      </c>
      <c r="C880">
        <v>334.02613857815902</v>
      </c>
      <c r="D880">
        <v>322.08142570711647</v>
      </c>
      <c r="E880">
        <v>322.38845991754118</v>
      </c>
      <c r="F880">
        <v>10752600</v>
      </c>
      <c r="G880" s="2" t="s">
        <v>13</v>
      </c>
      <c r="H880">
        <v>2.629964132678797</v>
      </c>
      <c r="I880">
        <v>165.36647804905434</v>
      </c>
      <c r="J880">
        <v>309.27937500000002</v>
      </c>
      <c r="K880">
        <v>1.5546852868732881</v>
      </c>
      <c r="L880">
        <v>0</v>
      </c>
      <c r="M880" t="str">
        <f>VLOOKUP(fact_daily_prices[[#This Row],[Ticker]], dim_company[], 2, FALSE)</f>
        <v>JPMorgan Chase &amp; Co.</v>
      </c>
      <c r="N880" t="str">
        <f>VLOOKUP(fact_daily_prices[[#This Row],[Ticker]], dim_company[], 3, FALSE)</f>
        <v>Financials</v>
      </c>
    </row>
    <row r="881" spans="1:14" x14ac:dyDescent="0.3">
      <c r="A881" s="1">
        <v>46028</v>
      </c>
      <c r="B881">
        <v>332.90625</v>
      </c>
      <c r="C881">
        <v>334.15984416754071</v>
      </c>
      <c r="D881">
        <v>328.9664216534041</v>
      </c>
      <c r="E881">
        <v>330.92639220894705</v>
      </c>
      <c r="F881">
        <v>7660800</v>
      </c>
      <c r="G881" s="2" t="s">
        <v>13</v>
      </c>
      <c r="H881">
        <v>0.62246862405959114</v>
      </c>
      <c r="I881">
        <v>166.39583248962208</v>
      </c>
      <c r="J881">
        <v>310.10301147460939</v>
      </c>
      <c r="K881">
        <v>1.5111170871600783</v>
      </c>
      <c r="L881">
        <v>0</v>
      </c>
      <c r="M881" t="str">
        <f>VLOOKUP(fact_daily_prices[[#This Row],[Ticker]], dim_company[], 2, FALSE)</f>
        <v>JPMorgan Chase &amp; Co.</v>
      </c>
      <c r="N881" t="str">
        <f>VLOOKUP(fact_daily_prices[[#This Row],[Ticker]], dim_company[], 3, FALSE)</f>
        <v>Financials</v>
      </c>
    </row>
    <row r="882" spans="1:14" x14ac:dyDescent="0.3">
      <c r="A882" s="1">
        <v>46029</v>
      </c>
      <c r="B882">
        <v>325.3250732421875</v>
      </c>
      <c r="C882">
        <v>330.45880399676645</v>
      </c>
      <c r="D882">
        <v>322.94725806239501</v>
      </c>
      <c r="E882">
        <v>329.45396720464191</v>
      </c>
      <c r="F882">
        <v>9815200</v>
      </c>
      <c r="G882" s="2" t="s">
        <v>13</v>
      </c>
      <c r="H882">
        <v>-2.2772707805313042</v>
      </c>
      <c r="I882">
        <v>162.6065488163141</v>
      </c>
      <c r="J882">
        <v>310.65815307617186</v>
      </c>
      <c r="K882">
        <v>1.5865900242044433</v>
      </c>
      <c r="L882">
        <v>0</v>
      </c>
      <c r="M882" t="str">
        <f>VLOOKUP(fact_daily_prices[[#This Row],[Ticker]], dim_company[], 2, FALSE)</f>
        <v>JPMorgan Chase &amp; Co.</v>
      </c>
      <c r="N882" t="str">
        <f>VLOOKUP(fact_daily_prices[[#This Row],[Ticker]], dim_company[], 3, FALSE)</f>
        <v>Financials</v>
      </c>
    </row>
    <row r="883" spans="1:14" x14ac:dyDescent="0.3">
      <c r="A883" s="1">
        <v>46030</v>
      </c>
      <c r="B883">
        <v>328.11083984375</v>
      </c>
      <c r="C883">
        <v>329.7126277455971</v>
      </c>
      <c r="D883">
        <v>323.99190461809644</v>
      </c>
      <c r="E883">
        <v>324.72815745818838</v>
      </c>
      <c r="F883">
        <v>11737100</v>
      </c>
      <c r="G883" s="2" t="s">
        <v>13</v>
      </c>
      <c r="H883">
        <v>0.85630245889121159</v>
      </c>
      <c r="I883">
        <v>163.99895269214636</v>
      </c>
      <c r="J883">
        <v>311.19551940917967</v>
      </c>
      <c r="K883">
        <v>1.5879664309075816</v>
      </c>
      <c r="L883">
        <v>0</v>
      </c>
      <c r="M883" t="str">
        <f>VLOOKUP(fact_daily_prices[[#This Row],[Ticker]], dim_company[], 2, FALSE)</f>
        <v>JPMorgan Chase &amp; Co.</v>
      </c>
      <c r="N883" t="str">
        <f>VLOOKUP(fact_daily_prices[[#This Row],[Ticker]], dim_company[], 3, FALSE)</f>
        <v>Financials</v>
      </c>
    </row>
    <row r="884" spans="1:14" x14ac:dyDescent="0.3">
      <c r="A884" s="1">
        <v>46031</v>
      </c>
      <c r="B884">
        <v>327.51388549804688</v>
      </c>
      <c r="C884">
        <v>330.21007865256746</v>
      </c>
      <c r="D884">
        <v>326.49908990111049</v>
      </c>
      <c r="E884">
        <v>327.66311567962669</v>
      </c>
      <c r="F884">
        <v>6738100</v>
      </c>
      <c r="G884" s="2" t="s">
        <v>13</v>
      </c>
      <c r="H884">
        <v>-0.18193679489144632</v>
      </c>
      <c r="I884">
        <v>163.7005782539627</v>
      </c>
      <c r="J884">
        <v>311.69697753906252</v>
      </c>
      <c r="K884">
        <v>1.5711914476350661</v>
      </c>
      <c r="L884">
        <v>0</v>
      </c>
      <c r="M884" t="str">
        <f>VLOOKUP(fact_daily_prices[[#This Row],[Ticker]], dim_company[], 2, FALSE)</f>
        <v>JPMorgan Chase &amp; Co.</v>
      </c>
      <c r="N884" t="str">
        <f>VLOOKUP(fact_daily_prices[[#This Row],[Ticker]], dim_company[], 3, FALSE)</f>
        <v>Financials</v>
      </c>
    </row>
    <row r="885" spans="1:14" x14ac:dyDescent="0.3">
      <c r="A885" s="1">
        <v>46034</v>
      </c>
      <c r="B885">
        <v>327.51388549804688</v>
      </c>
      <c r="C885">
        <v>324.36000762524651</v>
      </c>
      <c r="D885">
        <v>319.59441851466954</v>
      </c>
      <c r="E885">
        <v>320.2411028663189</v>
      </c>
      <c r="F885">
        <v>12805100</v>
      </c>
      <c r="G885" s="2" t="s">
        <v>13</v>
      </c>
      <c r="H885">
        <v>0</v>
      </c>
      <c r="I885">
        <v>163.7005782539627</v>
      </c>
      <c r="J885">
        <v>312.19546386718753</v>
      </c>
      <c r="K885">
        <v>1.554723385859929</v>
      </c>
      <c r="L885">
        <v>0</v>
      </c>
      <c r="M885" t="str">
        <f>VLOOKUP(fact_daily_prices[[#This Row],[Ticker]], dim_company[], 2, FALSE)</f>
        <v>JPMorgan Chase &amp; Co.</v>
      </c>
      <c r="N885" t="str">
        <f>VLOOKUP(fact_daily_prices[[#This Row],[Ticker]], dim_company[], 3, FALSE)</f>
        <v>Financials</v>
      </c>
    </row>
    <row r="886" spans="1:14" x14ac:dyDescent="0.3">
      <c r="A886" s="1">
        <v>46035</v>
      </c>
      <c r="B886">
        <v>309.31698608398438</v>
      </c>
      <c r="C886">
        <v>325.19571413714289</v>
      </c>
      <c r="D886">
        <v>308.98867970255878</v>
      </c>
      <c r="E886">
        <v>322.64875130423195</v>
      </c>
      <c r="F886">
        <v>19371200</v>
      </c>
      <c r="G886" s="2" t="s">
        <v>13</v>
      </c>
      <c r="H886">
        <v>-5.5560695957640576</v>
      </c>
      <c r="I886">
        <v>154.60526019750432</v>
      </c>
      <c r="J886">
        <v>312.25216430664062</v>
      </c>
      <c r="K886">
        <v>1.8546751995921049</v>
      </c>
      <c r="L886">
        <v>0</v>
      </c>
      <c r="M886" t="str">
        <f>VLOOKUP(fact_daily_prices[[#This Row],[Ticker]], dim_company[], 2, FALSE)</f>
        <v>JPMorgan Chase &amp; Co.</v>
      </c>
      <c r="N886" t="str">
        <f>VLOOKUP(fact_daily_prices[[#This Row],[Ticker]], dim_company[], 3, FALSE)</f>
        <v>Financials</v>
      </c>
    </row>
    <row r="887" spans="1:14" x14ac:dyDescent="0.3">
      <c r="A887" s="1">
        <v>46036</v>
      </c>
      <c r="B887">
        <v>306.30242919921875</v>
      </c>
      <c r="C887">
        <v>310.17263725890126</v>
      </c>
      <c r="D887">
        <v>304.56133958477091</v>
      </c>
      <c r="E887">
        <v>306.63076595791432</v>
      </c>
      <c r="F887">
        <v>25951500</v>
      </c>
      <c r="G887" s="2" t="s">
        <v>13</v>
      </c>
      <c r="H887">
        <v>-0.97458497928953891</v>
      </c>
      <c r="I887">
        <v>153.09850055442794</v>
      </c>
      <c r="J887">
        <v>312.21529479980467</v>
      </c>
      <c r="K887">
        <v>1.8469809897818898</v>
      </c>
      <c r="L887">
        <v>1</v>
      </c>
      <c r="M887" t="str">
        <f>VLOOKUP(fact_daily_prices[[#This Row],[Ticker]], dim_company[], 2, FALSE)</f>
        <v>JPMorgan Chase &amp; Co.</v>
      </c>
      <c r="N887" t="str">
        <f>VLOOKUP(fact_daily_prices[[#This Row],[Ticker]], dim_company[], 3, FALSE)</f>
        <v>Financials</v>
      </c>
    </row>
    <row r="888" spans="1:14" x14ac:dyDescent="0.3">
      <c r="A888" s="1">
        <v>46037</v>
      </c>
      <c r="B888">
        <v>307.68536376953125</v>
      </c>
      <c r="C888">
        <v>311.34661918362463</v>
      </c>
      <c r="D888">
        <v>306.18304245620016</v>
      </c>
      <c r="E888">
        <v>306.89937767740912</v>
      </c>
      <c r="F888">
        <v>14751400</v>
      </c>
      <c r="G888" s="2" t="s">
        <v>13</v>
      </c>
      <c r="H888">
        <v>0.45149317748736095</v>
      </c>
      <c r="I888">
        <v>153.78972983926664</v>
      </c>
      <c r="J888">
        <v>312.24114501953125</v>
      </c>
      <c r="K888">
        <v>1.8473324418568033</v>
      </c>
      <c r="L888">
        <v>0</v>
      </c>
      <c r="M888" t="str">
        <f>VLOOKUP(fact_daily_prices[[#This Row],[Ticker]], dim_company[], 2, FALSE)</f>
        <v>JPMorgan Chase &amp; Co.</v>
      </c>
      <c r="N888" t="str">
        <f>VLOOKUP(fact_daily_prices[[#This Row],[Ticker]], dim_company[], 3, FALSE)</f>
        <v>Financials</v>
      </c>
    </row>
    <row r="889" spans="1:14" x14ac:dyDescent="0.3">
      <c r="A889" s="1">
        <v>46038</v>
      </c>
      <c r="B889">
        <v>310.87899780273438</v>
      </c>
      <c r="C889">
        <v>315.59485343015649</v>
      </c>
      <c r="D889">
        <v>308.42157308655703</v>
      </c>
      <c r="E889">
        <v>308.76979706409315</v>
      </c>
      <c r="F889">
        <v>14652500</v>
      </c>
      <c r="G889" s="2" t="s">
        <v>13</v>
      </c>
      <c r="H889">
        <v>1.0379544850873224</v>
      </c>
      <c r="I889">
        <v>155.385997237737</v>
      </c>
      <c r="J889">
        <v>312.33284912109377</v>
      </c>
      <c r="K889">
        <v>1.8398495439987643</v>
      </c>
      <c r="L889">
        <v>0</v>
      </c>
      <c r="M889" t="str">
        <f>VLOOKUP(fact_daily_prices[[#This Row],[Ticker]], dim_company[], 2, FALSE)</f>
        <v>JPMorgan Chase &amp; Co.</v>
      </c>
      <c r="N889" t="str">
        <f>VLOOKUP(fact_daily_prices[[#This Row],[Ticker]], dim_company[], 3, FALSE)</f>
        <v>Financials</v>
      </c>
    </row>
    <row r="890" spans="1:14" x14ac:dyDescent="0.3">
      <c r="A890" s="1">
        <v>46042</v>
      </c>
      <c r="B890">
        <v>301.19854736328125</v>
      </c>
      <c r="C890">
        <v>309.56573031914434</v>
      </c>
      <c r="D890">
        <v>300.32302314802803</v>
      </c>
      <c r="E890">
        <v>304.65088058894946</v>
      </c>
      <c r="F890">
        <v>12900600</v>
      </c>
      <c r="G890" s="2" t="s">
        <v>13</v>
      </c>
      <c r="H890">
        <v>-3.1138965667908414</v>
      </c>
      <c r="I890">
        <v>150.54743800447739</v>
      </c>
      <c r="J890">
        <v>312.1828088378906</v>
      </c>
      <c r="K890">
        <v>1.9110654358381245</v>
      </c>
      <c r="L890">
        <v>0</v>
      </c>
      <c r="M890" t="str">
        <f>VLOOKUP(fact_daily_prices[[#This Row],[Ticker]], dim_company[], 2, FALSE)</f>
        <v>JPMorgan Chase &amp; Co.</v>
      </c>
      <c r="N890" t="str">
        <f>VLOOKUP(fact_daily_prices[[#This Row],[Ticker]], dim_company[], 3, FALSE)</f>
        <v>Financials</v>
      </c>
    </row>
    <row r="891" spans="1:14" x14ac:dyDescent="0.3">
      <c r="A891" s="1">
        <v>46043</v>
      </c>
      <c r="B891">
        <v>300.50213623046875</v>
      </c>
      <c r="C891">
        <v>303.8450138204667</v>
      </c>
      <c r="D891">
        <v>299.61665319654776</v>
      </c>
      <c r="E891">
        <v>301.88504309324475</v>
      </c>
      <c r="F891">
        <v>10270100</v>
      </c>
      <c r="G891" s="2" t="s">
        <v>13</v>
      </c>
      <c r="H891">
        <v>-0.23121331059161587</v>
      </c>
      <c r="I891">
        <v>150.19935228905638</v>
      </c>
      <c r="J891">
        <v>311.98437255859375</v>
      </c>
      <c r="K891">
        <v>1.9107384211250518</v>
      </c>
      <c r="L891">
        <v>0</v>
      </c>
      <c r="M891" t="str">
        <f>VLOOKUP(fact_daily_prices[[#This Row],[Ticker]], dim_company[], 2, FALSE)</f>
        <v>JPMorgan Chase &amp; Co.</v>
      </c>
      <c r="N891" t="str">
        <f>VLOOKUP(fact_daily_prices[[#This Row],[Ticker]], dim_company[], 3, FALSE)</f>
        <v>Financials</v>
      </c>
    </row>
    <row r="892" spans="1:14" x14ac:dyDescent="0.3">
      <c r="A892" s="1">
        <v>46044</v>
      </c>
      <c r="B892">
        <v>302.08401489257813</v>
      </c>
      <c r="C892">
        <v>306.63075315423742</v>
      </c>
      <c r="D892">
        <v>301.35772089620315</v>
      </c>
      <c r="E892">
        <v>303.30773268154582</v>
      </c>
      <c r="F892">
        <v>10535800</v>
      </c>
      <c r="G892" s="2" t="s">
        <v>13</v>
      </c>
      <c r="H892">
        <v>0.52641178593690885</v>
      </c>
      <c r="I892">
        <v>150.99001938190688</v>
      </c>
      <c r="J892">
        <v>311.80192565917969</v>
      </c>
      <c r="K892">
        <v>1.9140589909601902</v>
      </c>
      <c r="L892">
        <v>0</v>
      </c>
      <c r="M892" t="str">
        <f>VLOOKUP(fact_daily_prices[[#This Row],[Ticker]], dim_company[], 2, FALSE)</f>
        <v>JPMorgan Chase &amp; Co.</v>
      </c>
      <c r="N892" t="str">
        <f>VLOOKUP(fact_daily_prices[[#This Row],[Ticker]], dim_company[], 3, FALSE)</f>
        <v>Financials</v>
      </c>
    </row>
    <row r="893" spans="1:14" x14ac:dyDescent="0.3">
      <c r="A893" s="1">
        <v>46045</v>
      </c>
      <c r="B893">
        <v>296.2041015625</v>
      </c>
      <c r="C893">
        <v>300.83041910492881</v>
      </c>
      <c r="D893">
        <v>295.00027101574398</v>
      </c>
      <c r="E893">
        <v>300.46230789029869</v>
      </c>
      <c r="F893">
        <v>11107900</v>
      </c>
      <c r="G893" s="2" t="s">
        <v>13</v>
      </c>
      <c r="H893">
        <v>-1.9464496763157202</v>
      </c>
      <c r="I893">
        <v>148.05107463837871</v>
      </c>
      <c r="J893">
        <v>311.4487921142578</v>
      </c>
      <c r="K893">
        <v>1.7472874783314094</v>
      </c>
      <c r="L893">
        <v>0</v>
      </c>
      <c r="M893" t="str">
        <f>VLOOKUP(fact_daily_prices[[#This Row],[Ticker]], dim_company[], 2, FALSE)</f>
        <v>JPMorgan Chase &amp; Co.</v>
      </c>
      <c r="N893" t="str">
        <f>VLOOKUP(fact_daily_prices[[#This Row],[Ticker]], dim_company[], 3, FALSE)</f>
        <v>Financials</v>
      </c>
    </row>
    <row r="894" spans="1:14" x14ac:dyDescent="0.3">
      <c r="A894" s="1">
        <v>46048</v>
      </c>
      <c r="B894">
        <v>299.5072021484375</v>
      </c>
      <c r="C894">
        <v>300.24342457211498</v>
      </c>
      <c r="D894">
        <v>295.93548500664667</v>
      </c>
      <c r="E894">
        <v>296.2936374196168</v>
      </c>
      <c r="F894">
        <v>11752700</v>
      </c>
      <c r="G894" s="2" t="s">
        <v>13</v>
      </c>
      <c r="H894">
        <v>1.1151434326916343</v>
      </c>
      <c r="I894">
        <v>149.70205647423796</v>
      </c>
      <c r="J894">
        <v>311.18687805175779</v>
      </c>
      <c r="K894">
        <v>1.6549490637090236</v>
      </c>
      <c r="L894">
        <v>0</v>
      </c>
      <c r="M894" t="str">
        <f>VLOOKUP(fact_daily_prices[[#This Row],[Ticker]], dim_company[], 2, FALSE)</f>
        <v>JPMorgan Chase &amp; Co.</v>
      </c>
      <c r="N894" t="str">
        <f>VLOOKUP(fact_daily_prices[[#This Row],[Ticker]], dim_company[], 3, FALSE)</f>
        <v>Financials</v>
      </c>
    </row>
    <row r="895" spans="1:14" x14ac:dyDescent="0.3">
      <c r="A895" s="1">
        <v>46049</v>
      </c>
      <c r="B895">
        <v>298.78091430664063</v>
      </c>
      <c r="C895">
        <v>300.43246575664068</v>
      </c>
      <c r="D895">
        <v>296.63190869804509</v>
      </c>
      <c r="E895">
        <v>299.7957098597862</v>
      </c>
      <c r="F895">
        <v>11527400</v>
      </c>
      <c r="G895" s="2" t="s">
        <v>13</v>
      </c>
      <c r="H895">
        <v>-0.24249428280422869</v>
      </c>
      <c r="I895">
        <v>149.33903754604759</v>
      </c>
      <c r="J895">
        <v>310.81555419921875</v>
      </c>
      <c r="K895">
        <v>1.5909449481969173</v>
      </c>
      <c r="L895">
        <v>0</v>
      </c>
      <c r="M895" t="str">
        <f>VLOOKUP(fact_daily_prices[[#This Row],[Ticker]], dim_company[], 2, FALSE)</f>
        <v>JPMorgan Chase &amp; Co.</v>
      </c>
      <c r="N895" t="str">
        <f>VLOOKUP(fact_daily_prices[[#This Row],[Ticker]], dim_company[], 3, FALSE)</f>
        <v>Financials</v>
      </c>
    </row>
    <row r="896" spans="1:14" x14ac:dyDescent="0.3">
      <c r="A896" s="1">
        <v>46050</v>
      </c>
      <c r="B896">
        <v>299.23855590820313</v>
      </c>
      <c r="C896">
        <v>300.38272473319722</v>
      </c>
      <c r="D896">
        <v>296.53240414079806</v>
      </c>
      <c r="E896">
        <v>298.74110176244625</v>
      </c>
      <c r="F896">
        <v>9556700</v>
      </c>
      <c r="G896" s="2" t="s">
        <v>13</v>
      </c>
      <c r="H896">
        <v>0.15316962350975238</v>
      </c>
      <c r="I896">
        <v>149.56777958760995</v>
      </c>
      <c r="J896">
        <v>310.66989318847658</v>
      </c>
      <c r="K896">
        <v>1.5890849140528815</v>
      </c>
      <c r="L896">
        <v>0</v>
      </c>
      <c r="M896" t="str">
        <f>VLOOKUP(fact_daily_prices[[#This Row],[Ticker]], dim_company[], 2, FALSE)</f>
        <v>JPMorgan Chase &amp; Co.</v>
      </c>
      <c r="N896" t="str">
        <f>VLOOKUP(fact_daily_prices[[#This Row],[Ticker]], dim_company[], 3, FALSE)</f>
        <v>Financials</v>
      </c>
    </row>
    <row r="897" spans="1:14" x14ac:dyDescent="0.3">
      <c r="A897" s="1">
        <v>46051</v>
      </c>
      <c r="B897">
        <v>304.85983276367188</v>
      </c>
      <c r="C897">
        <v>305.26771847218441</v>
      </c>
      <c r="D897">
        <v>300.68120551045268</v>
      </c>
      <c r="E897">
        <v>300.86028172816947</v>
      </c>
      <c r="F897">
        <v>11580000</v>
      </c>
      <c r="G897" s="2" t="s">
        <v>13</v>
      </c>
      <c r="H897">
        <v>1.8785269292614704</v>
      </c>
      <c r="I897">
        <v>152.37745060466168</v>
      </c>
      <c r="J897">
        <v>310.7529357910156</v>
      </c>
      <c r="K897">
        <v>1.6287507383001083</v>
      </c>
      <c r="L897">
        <v>0</v>
      </c>
      <c r="M897" t="str">
        <f>VLOOKUP(fact_daily_prices[[#This Row],[Ticker]], dim_company[], 2, FALSE)</f>
        <v>JPMorgan Chase &amp; Co.</v>
      </c>
      <c r="N897" t="str">
        <f>VLOOKUP(fact_daily_prices[[#This Row],[Ticker]], dim_company[], 3, FALSE)</f>
        <v>Financials</v>
      </c>
    </row>
    <row r="898" spans="1:14" x14ac:dyDescent="0.3">
      <c r="A898" s="1">
        <v>46052</v>
      </c>
      <c r="B898">
        <v>304.33251953125</v>
      </c>
      <c r="C898">
        <v>306.36211063628639</v>
      </c>
      <c r="D898">
        <v>301.01945783422462</v>
      </c>
      <c r="E898">
        <v>303.6957636347891</v>
      </c>
      <c r="F898">
        <v>11953200</v>
      </c>
      <c r="G898" s="2" t="s">
        <v>13</v>
      </c>
      <c r="H898">
        <v>-0.17296907488322244</v>
      </c>
      <c r="I898">
        <v>152.11388473802015</v>
      </c>
      <c r="J898">
        <v>310.88961303710937</v>
      </c>
      <c r="K898">
        <v>1.6108093245675028</v>
      </c>
      <c r="L898">
        <v>0</v>
      </c>
      <c r="M898" t="str">
        <f>VLOOKUP(fact_daily_prices[[#This Row],[Ticker]], dim_company[], 2, FALSE)</f>
        <v>JPMorgan Chase &amp; Co.</v>
      </c>
      <c r="N898" t="str">
        <f>VLOOKUP(fact_daily_prices[[#This Row],[Ticker]], dim_company[], 3, FALSE)</f>
        <v>Financials</v>
      </c>
    </row>
    <row r="899" spans="1:14" x14ac:dyDescent="0.3">
      <c r="A899" s="1">
        <v>46055</v>
      </c>
      <c r="B899">
        <v>306.57107543945313</v>
      </c>
      <c r="C899">
        <v>307.72514241386267</v>
      </c>
      <c r="D899">
        <v>299.83552643648</v>
      </c>
      <c r="E899">
        <v>302.90978961353568</v>
      </c>
      <c r="F899">
        <v>9839400</v>
      </c>
      <c r="G899" s="2" t="s">
        <v>13</v>
      </c>
      <c r="H899">
        <v>0.73556250631745534</v>
      </c>
      <c r="I899">
        <v>153.23277744105596</v>
      </c>
      <c r="J899">
        <v>311.09007751464844</v>
      </c>
      <c r="K899">
        <v>1.6174258896171032</v>
      </c>
      <c r="L899">
        <v>0</v>
      </c>
      <c r="M899" t="str">
        <f>VLOOKUP(fact_daily_prices[[#This Row],[Ticker]], dim_company[], 2, FALSE)</f>
        <v>JPMorgan Chase &amp; Co.</v>
      </c>
      <c r="N899" t="str">
        <f>VLOOKUP(fact_daily_prices[[#This Row],[Ticker]], dim_company[], 3, FALSE)</f>
        <v>Financials</v>
      </c>
    </row>
    <row r="900" spans="1:14" x14ac:dyDescent="0.3">
      <c r="A900" s="1">
        <v>46056</v>
      </c>
      <c r="B900">
        <v>313.24688720703125</v>
      </c>
      <c r="C900">
        <v>314.63975276739711</v>
      </c>
      <c r="D900">
        <v>307.52616442944219</v>
      </c>
      <c r="E900">
        <v>308.15296152215484</v>
      </c>
      <c r="F900">
        <v>12688000</v>
      </c>
      <c r="G900" s="2" t="s">
        <v>13</v>
      </c>
      <c r="H900">
        <v>2.1775739143063966</v>
      </c>
      <c r="I900">
        <v>156.56953443077958</v>
      </c>
      <c r="J900">
        <v>311.34759643554685</v>
      </c>
      <c r="K900">
        <v>1.6630302077097552</v>
      </c>
      <c r="L900">
        <v>0</v>
      </c>
      <c r="M900" t="str">
        <f>VLOOKUP(fact_daily_prices[[#This Row],[Ticker]], dim_company[], 2, FALSE)</f>
        <v>JPMorgan Chase &amp; Co.</v>
      </c>
      <c r="N900" t="str">
        <f>VLOOKUP(fact_daily_prices[[#This Row],[Ticker]], dim_company[], 3, FALSE)</f>
        <v>Financials</v>
      </c>
    </row>
    <row r="901" spans="1:14" x14ac:dyDescent="0.3">
      <c r="A901" s="1">
        <v>46057</v>
      </c>
      <c r="B901">
        <v>315.654541015625</v>
      </c>
      <c r="C901">
        <v>317.68416242077944</v>
      </c>
      <c r="D901">
        <v>312.80911789109501</v>
      </c>
      <c r="E901">
        <v>312.80911789109501</v>
      </c>
      <c r="F901">
        <v>9848800</v>
      </c>
      <c r="G901" s="2" t="s">
        <v>13</v>
      </c>
      <c r="H901">
        <v>0.76861220555481946</v>
      </c>
      <c r="I901">
        <v>157.7729469825949</v>
      </c>
      <c r="J901">
        <v>311.75013305664061</v>
      </c>
      <c r="K901">
        <v>1.6508155153489565</v>
      </c>
      <c r="L901">
        <v>0</v>
      </c>
      <c r="M901" t="str">
        <f>VLOOKUP(fact_daily_prices[[#This Row],[Ticker]], dim_company[], 2, FALSE)</f>
        <v>JPMorgan Chase &amp; Co.</v>
      </c>
      <c r="N901" t="str">
        <f>VLOOKUP(fact_daily_prices[[#This Row],[Ticker]], dim_company[], 3, FALSE)</f>
        <v>Financials</v>
      </c>
    </row>
    <row r="902" spans="1:14" x14ac:dyDescent="0.3">
      <c r="A902" s="1">
        <v>46058</v>
      </c>
      <c r="B902">
        <v>308.58078002929688</v>
      </c>
      <c r="C902">
        <v>314.4009999973286</v>
      </c>
      <c r="D902">
        <v>303.98430827226679</v>
      </c>
      <c r="E902">
        <v>313.39613283962342</v>
      </c>
      <c r="F902">
        <v>9388000</v>
      </c>
      <c r="G902" s="2" t="s">
        <v>13</v>
      </c>
      <c r="H902">
        <v>-2.2409818542664217</v>
      </c>
      <c r="I902">
        <v>154.23728386977356</v>
      </c>
      <c r="J902">
        <v>312.01832641601561</v>
      </c>
      <c r="K902">
        <v>1.6639714807901538</v>
      </c>
      <c r="L902">
        <v>0</v>
      </c>
      <c r="M902" t="str">
        <f>VLOOKUP(fact_daily_prices[[#This Row],[Ticker]], dim_company[], 2, FALSE)</f>
        <v>JPMorgan Chase &amp; Co.</v>
      </c>
      <c r="N902" t="str">
        <f>VLOOKUP(fact_daily_prices[[#This Row],[Ticker]], dim_company[], 3, FALSE)</f>
        <v>Financials</v>
      </c>
    </row>
    <row r="903" spans="1:14" x14ac:dyDescent="0.3">
      <c r="A903" s="1">
        <v>46059</v>
      </c>
      <c r="B903">
        <v>320.75845336914063</v>
      </c>
      <c r="C903">
        <v>322.59903993155126</v>
      </c>
      <c r="D903">
        <v>313.10760555211999</v>
      </c>
      <c r="E903">
        <v>313.10760555211999</v>
      </c>
      <c r="F903">
        <v>17797400</v>
      </c>
      <c r="G903" s="2" t="s">
        <v>13</v>
      </c>
      <c r="H903">
        <v>3.9463486153245242</v>
      </c>
      <c r="I903">
        <v>160.32402478608253</v>
      </c>
      <c r="J903">
        <v>312.53046875000001</v>
      </c>
      <c r="K903">
        <v>1.8141392154673224</v>
      </c>
      <c r="L903">
        <v>0</v>
      </c>
      <c r="M903" t="str">
        <f>VLOOKUP(fact_daily_prices[[#This Row],[Ticker]], dim_company[], 2, FALSE)</f>
        <v>JPMorgan Chase &amp; Co.</v>
      </c>
      <c r="N903" t="str">
        <f>VLOOKUP(fact_daily_prices[[#This Row],[Ticker]], dim_company[], 3, FALSE)</f>
        <v>Financials</v>
      </c>
    </row>
    <row r="904" spans="1:14" x14ac:dyDescent="0.3">
      <c r="A904" s="1">
        <v>46062</v>
      </c>
      <c r="B904">
        <v>320.45999145507813</v>
      </c>
      <c r="C904">
        <v>324.73808529326595</v>
      </c>
      <c r="D904">
        <v>318.48010315615841</v>
      </c>
      <c r="E904">
        <v>319.70385137937853</v>
      </c>
      <c r="F904">
        <v>11477500</v>
      </c>
      <c r="G904" s="2" t="s">
        <v>13</v>
      </c>
      <c r="H904">
        <v>-9.3048806953499597E-2</v>
      </c>
      <c r="I904">
        <v>160.17484519375921</v>
      </c>
      <c r="J904">
        <v>312.93759826660158</v>
      </c>
      <c r="K904">
        <v>1.8043206746303904</v>
      </c>
      <c r="L904">
        <v>0</v>
      </c>
      <c r="M904" t="str">
        <f>VLOOKUP(fact_daily_prices[[#This Row],[Ticker]], dim_company[], 2, FALSE)</f>
        <v>JPMorgan Chase &amp; Co.</v>
      </c>
      <c r="N904" t="str">
        <f>VLOOKUP(fact_daily_prices[[#This Row],[Ticker]], dim_company[], 3, FALSE)</f>
        <v>Financials</v>
      </c>
    </row>
    <row r="905" spans="1:14" x14ac:dyDescent="0.3">
      <c r="A905" s="1">
        <v>46063</v>
      </c>
      <c r="B905">
        <v>316.659423828125</v>
      </c>
      <c r="C905">
        <v>324.46946033472381</v>
      </c>
      <c r="D905">
        <v>313.51550984428656</v>
      </c>
      <c r="E905">
        <v>320.90767149058451</v>
      </c>
      <c r="F905">
        <v>9902200</v>
      </c>
      <c r="G905" s="2" t="s">
        <v>13</v>
      </c>
      <c r="H905">
        <v>-1.1859725795086873</v>
      </c>
      <c r="I905">
        <v>158.27521545049075</v>
      </c>
      <c r="J905">
        <v>313.17680297851564</v>
      </c>
      <c r="K905">
        <v>1.8154842822831234</v>
      </c>
      <c r="L905">
        <v>0</v>
      </c>
      <c r="M905" t="str">
        <f>VLOOKUP(fact_daily_prices[[#This Row],[Ticker]], dim_company[], 2, FALSE)</f>
        <v>JPMorgan Chase &amp; Co.</v>
      </c>
      <c r="N905" t="str">
        <f>VLOOKUP(fact_daily_prices[[#This Row],[Ticker]], dim_company[], 3, FALSE)</f>
        <v>Financials</v>
      </c>
    </row>
    <row r="906" spans="1:14" x14ac:dyDescent="0.3">
      <c r="A906" s="1">
        <v>46064</v>
      </c>
      <c r="B906">
        <v>309.2374267578125</v>
      </c>
      <c r="C906">
        <v>323.62379328229429</v>
      </c>
      <c r="D906">
        <v>307.15807190859783</v>
      </c>
      <c r="E906">
        <v>321.59417170668718</v>
      </c>
      <c r="F906">
        <v>8703500</v>
      </c>
      <c r="G906" s="2" t="s">
        <v>13</v>
      </c>
      <c r="H906">
        <v>-2.3438421571628232</v>
      </c>
      <c r="I906">
        <v>154.56549422642186</v>
      </c>
      <c r="J906">
        <v>313.15980773925781</v>
      </c>
      <c r="K906">
        <v>1.8502783921179018</v>
      </c>
      <c r="L906">
        <v>0</v>
      </c>
      <c r="M906" t="str">
        <f>VLOOKUP(fact_daily_prices[[#This Row],[Ticker]], dim_company[], 2, FALSE)</f>
        <v>JPMorgan Chase &amp; Co.</v>
      </c>
      <c r="N906" t="str">
        <f>VLOOKUP(fact_daily_prices[[#This Row],[Ticker]], dim_company[], 3, FALSE)</f>
        <v>Financials</v>
      </c>
    </row>
    <row r="907" spans="1:14" x14ac:dyDescent="0.3">
      <c r="A907" s="1">
        <v>46065</v>
      </c>
      <c r="B907">
        <v>309.2374267578125</v>
      </c>
      <c r="C907">
        <v>312.02313367272848</v>
      </c>
      <c r="D907">
        <v>298.49237482936599</v>
      </c>
      <c r="E907">
        <v>310.68996020493864</v>
      </c>
      <c r="F907">
        <v>13443400</v>
      </c>
      <c r="G907" s="2" t="s">
        <v>13</v>
      </c>
      <c r="H907">
        <v>0</v>
      </c>
      <c r="I907">
        <v>154.56549422642186</v>
      </c>
      <c r="J907">
        <v>313.2252166748047</v>
      </c>
      <c r="K907">
        <v>1.8503760626695553</v>
      </c>
      <c r="L907">
        <v>0</v>
      </c>
      <c r="M907" t="str">
        <f>VLOOKUP(fact_daily_prices[[#This Row],[Ticker]], dim_company[], 2, FALSE)</f>
        <v>JPMorgan Chase &amp; Co.</v>
      </c>
      <c r="N907" t="str">
        <f>VLOOKUP(fact_daily_prices[[#This Row],[Ticker]], dim_company[], 3, FALSE)</f>
        <v>Financials</v>
      </c>
    </row>
    <row r="908" spans="1:14" x14ac:dyDescent="0.3">
      <c r="A908" s="1">
        <v>46066</v>
      </c>
      <c r="B908">
        <v>301.00949096679688</v>
      </c>
      <c r="C908">
        <v>302.74065203752701</v>
      </c>
      <c r="D908">
        <v>295.01019519313911</v>
      </c>
      <c r="E908">
        <v>297.00001177295519</v>
      </c>
      <c r="F908">
        <v>9114500</v>
      </c>
      <c r="G908" s="2" t="s">
        <v>13</v>
      </c>
      <c r="H908">
        <v>-2.6607179723622365</v>
      </c>
      <c r="I908">
        <v>150.45294234246893</v>
      </c>
      <c r="J908">
        <v>313.14666870117185</v>
      </c>
      <c r="K908">
        <v>1.9082288873058444</v>
      </c>
      <c r="L908">
        <v>0</v>
      </c>
      <c r="M908" t="str">
        <f>VLOOKUP(fact_daily_prices[[#This Row],[Ticker]], dim_company[], 2, FALSE)</f>
        <v>JPMorgan Chase &amp; Co.</v>
      </c>
      <c r="N908" t="str">
        <f>VLOOKUP(fact_daily_prices[[#This Row],[Ticker]], dim_company[], 3, FALSE)</f>
        <v>Financials</v>
      </c>
    </row>
    <row r="909" spans="1:14" x14ac:dyDescent="0.3">
      <c r="A909" s="1">
        <v>46070</v>
      </c>
      <c r="B909">
        <v>305.56619262695313</v>
      </c>
      <c r="C909">
        <v>306.67052627184739</v>
      </c>
      <c r="D909">
        <v>300.95976231603305</v>
      </c>
      <c r="E909">
        <v>301.21844819128046</v>
      </c>
      <c r="F909">
        <v>8896800</v>
      </c>
      <c r="G909" s="2" t="s">
        <v>13</v>
      </c>
      <c r="H909">
        <v>1.5138066396248151</v>
      </c>
      <c r="I909">
        <v>152.73050897316011</v>
      </c>
      <c r="J909">
        <v>313.0750671386719</v>
      </c>
      <c r="K909">
        <v>1.9211717434211337</v>
      </c>
      <c r="L909">
        <v>0</v>
      </c>
      <c r="M909" t="str">
        <f>VLOOKUP(fact_daily_prices[[#This Row],[Ticker]], dim_company[], 2, FALSE)</f>
        <v>JPMorgan Chase &amp; Co.</v>
      </c>
      <c r="N909" t="str">
        <f>VLOOKUP(fact_daily_prices[[#This Row],[Ticker]], dim_company[], 3, FALSE)</f>
        <v>Financials</v>
      </c>
    </row>
    <row r="910" spans="1:14" x14ac:dyDescent="0.3">
      <c r="A910" s="1">
        <v>46071</v>
      </c>
      <c r="B910">
        <v>307.20779418945313</v>
      </c>
      <c r="C910">
        <v>310.68997335880931</v>
      </c>
      <c r="D910">
        <v>305.65573961722981</v>
      </c>
      <c r="E910">
        <v>306.88941623561431</v>
      </c>
      <c r="F910">
        <v>8398700</v>
      </c>
      <c r="G910" s="2" t="s">
        <v>13</v>
      </c>
      <c r="H910">
        <v>0.53723271818362228</v>
      </c>
      <c r="I910">
        <v>153.55102723801232</v>
      </c>
      <c r="J910">
        <v>312.95765686035156</v>
      </c>
      <c r="K910">
        <v>1.8531542834525638</v>
      </c>
      <c r="L910">
        <v>0</v>
      </c>
      <c r="M910" t="str">
        <f>VLOOKUP(fact_daily_prices[[#This Row],[Ticker]], dim_company[], 2, FALSE)</f>
        <v>JPMorgan Chase &amp; Co.</v>
      </c>
      <c r="N910" t="str">
        <f>VLOOKUP(fact_daily_prices[[#This Row],[Ticker]], dim_company[], 3, FALSE)</f>
        <v>Financials</v>
      </c>
    </row>
    <row r="911" spans="1:14" x14ac:dyDescent="0.3">
      <c r="A911" s="1">
        <v>46072</v>
      </c>
      <c r="B911">
        <v>306.48150634765625</v>
      </c>
      <c r="C911">
        <v>307.60575764578431</v>
      </c>
      <c r="D911">
        <v>303.56643215695527</v>
      </c>
      <c r="E911">
        <v>305.60601250025638</v>
      </c>
      <c r="F911">
        <v>6737700</v>
      </c>
      <c r="G911" s="2" t="s">
        <v>13</v>
      </c>
      <c r="H911">
        <v>-0.23641582522772042</v>
      </c>
      <c r="I911">
        <v>153.18800830982192</v>
      </c>
      <c r="J911">
        <v>312.84671752929688</v>
      </c>
      <c r="K911">
        <v>1.8461511124353023</v>
      </c>
      <c r="L911">
        <v>0</v>
      </c>
      <c r="M911" t="str">
        <f>VLOOKUP(fact_daily_prices[[#This Row],[Ticker]], dim_company[], 2, FALSE)</f>
        <v>JPMorgan Chase &amp; Co.</v>
      </c>
      <c r="N911" t="str">
        <f>VLOOKUP(fact_daily_prices[[#This Row],[Ticker]], dim_company[], 3, FALSE)</f>
        <v>Financials</v>
      </c>
    </row>
    <row r="912" spans="1:14" x14ac:dyDescent="0.3">
      <c r="A912" s="1">
        <v>46073</v>
      </c>
      <c r="B912">
        <v>309.20758056640625</v>
      </c>
      <c r="C912">
        <v>309.41650282252482</v>
      </c>
      <c r="D912">
        <v>304.12358301143166</v>
      </c>
      <c r="E912">
        <v>306.82973499015498</v>
      </c>
      <c r="F912">
        <v>7792700</v>
      </c>
      <c r="G912" s="2" t="s">
        <v>13</v>
      </c>
      <c r="H912">
        <v>0.8894742952802126</v>
      </c>
      <c r="I912">
        <v>154.55057626718951</v>
      </c>
      <c r="J912">
        <v>312.78693298339846</v>
      </c>
      <c r="K912">
        <v>1.8170559302919598</v>
      </c>
      <c r="L912">
        <v>0</v>
      </c>
      <c r="M912" t="str">
        <f>VLOOKUP(fact_daily_prices[[#This Row],[Ticker]], dim_company[], 2, FALSE)</f>
        <v>JPMorgan Chase &amp; Co.</v>
      </c>
      <c r="N912" t="str">
        <f>VLOOKUP(fact_daily_prices[[#This Row],[Ticker]], dim_company[], 3, FALSE)</f>
        <v>Financials</v>
      </c>
    </row>
    <row r="913" spans="1:14" x14ac:dyDescent="0.3">
      <c r="A913" s="1">
        <v>46076</v>
      </c>
      <c r="B913">
        <v>296.15438842773438</v>
      </c>
      <c r="C913">
        <v>309.41650366601527</v>
      </c>
      <c r="D913">
        <v>293.59746662498259</v>
      </c>
      <c r="E913">
        <v>307.22769310292153</v>
      </c>
      <c r="F913">
        <v>12955400</v>
      </c>
      <c r="G913" s="2" t="s">
        <v>13</v>
      </c>
      <c r="H913">
        <v>-4.2214981000016412</v>
      </c>
      <c r="I913">
        <v>148.02622662652854</v>
      </c>
      <c r="J913">
        <v>312.75727355957031</v>
      </c>
      <c r="K913">
        <v>1.9513265431000022</v>
      </c>
      <c r="L913">
        <v>0</v>
      </c>
      <c r="M913" t="str">
        <f>VLOOKUP(fact_daily_prices[[#This Row],[Ticker]], dim_company[], 2, FALSE)</f>
        <v>JPMorgan Chase &amp; Co.</v>
      </c>
      <c r="N913" t="str">
        <f>VLOOKUP(fact_daily_prices[[#This Row],[Ticker]], dim_company[], 3, FALSE)</f>
        <v>Financials</v>
      </c>
    </row>
    <row r="914" spans="1:14" x14ac:dyDescent="0.3">
      <c r="A914" s="1">
        <v>46077</v>
      </c>
      <c r="B914">
        <v>295.78622436523438</v>
      </c>
      <c r="C914">
        <v>298.22376183621185</v>
      </c>
      <c r="D914">
        <v>289.89638425356503</v>
      </c>
      <c r="E914">
        <v>295.30868781478051</v>
      </c>
      <c r="F914">
        <v>13554100</v>
      </c>
      <c r="G914" s="2" t="s">
        <v>13</v>
      </c>
      <c r="H914">
        <v>-0.12431491035961306</v>
      </c>
      <c r="I914">
        <v>147.84220795558903</v>
      </c>
      <c r="J914">
        <v>312.53008728027345</v>
      </c>
      <c r="K914">
        <v>1.9514978817282236</v>
      </c>
      <c r="L914">
        <v>0</v>
      </c>
      <c r="M914" t="str">
        <f>VLOOKUP(fact_daily_prices[[#This Row],[Ticker]], dim_company[], 2, FALSE)</f>
        <v>JPMorgan Chase &amp; Co.</v>
      </c>
      <c r="N914" t="str">
        <f>VLOOKUP(fact_daily_prices[[#This Row],[Ticker]], dim_company[], 3, FALSE)</f>
        <v>Financials</v>
      </c>
    </row>
    <row r="915" spans="1:14" x14ac:dyDescent="0.3">
      <c r="A915" s="1">
        <v>46078</v>
      </c>
      <c r="B915">
        <v>301.75567626953125</v>
      </c>
      <c r="C915">
        <v>302.11385904708698</v>
      </c>
      <c r="D915">
        <v>295.4977249020647</v>
      </c>
      <c r="E915">
        <v>297.11943029452078</v>
      </c>
      <c r="F915">
        <v>8095500</v>
      </c>
      <c r="G915" s="2" t="s">
        <v>13</v>
      </c>
      <c r="H915">
        <v>2.0181642728992921</v>
      </c>
      <c r="I915">
        <v>150.82590657681422</v>
      </c>
      <c r="J915">
        <v>312.27827941894532</v>
      </c>
      <c r="K915">
        <v>1.9971755222980832</v>
      </c>
      <c r="L915">
        <v>0</v>
      </c>
      <c r="M915" t="str">
        <f>VLOOKUP(fact_daily_prices[[#This Row],[Ticker]], dim_company[], 2, FALSE)</f>
        <v>JPMorgan Chase &amp; Co.</v>
      </c>
      <c r="N915" t="str">
        <f>VLOOKUP(fact_daily_prices[[#This Row],[Ticker]], dim_company[], 3, FALSE)</f>
        <v>Financials</v>
      </c>
    </row>
    <row r="916" spans="1:14" x14ac:dyDescent="0.3">
      <c r="A916" s="1">
        <v>46079</v>
      </c>
      <c r="B916">
        <v>304.5712890625</v>
      </c>
      <c r="C916">
        <v>307.43662988396011</v>
      </c>
      <c r="D916">
        <v>302.09397705995082</v>
      </c>
      <c r="E916">
        <v>303.02916294815697</v>
      </c>
      <c r="F916">
        <v>7007800</v>
      </c>
      <c r="G916" s="2" t="s">
        <v>13</v>
      </c>
      <c r="H916">
        <v>0.93307699387030762</v>
      </c>
      <c r="I916">
        <v>152.2332284118788</v>
      </c>
      <c r="J916">
        <v>312.06020202636716</v>
      </c>
      <c r="K916">
        <v>1.7375701449171375</v>
      </c>
      <c r="L916">
        <v>0</v>
      </c>
      <c r="M916" t="str">
        <f>VLOOKUP(fact_daily_prices[[#This Row],[Ticker]], dim_company[], 2, FALSE)</f>
        <v>JPMorgan Chase &amp; Co.</v>
      </c>
      <c r="N916" t="str">
        <f>VLOOKUP(fact_daily_prices[[#This Row],[Ticker]], dim_company[], 3, FALSE)</f>
        <v>Financials</v>
      </c>
    </row>
    <row r="917" spans="1:14" x14ac:dyDescent="0.3">
      <c r="A917" s="1">
        <v>46080</v>
      </c>
      <c r="B917">
        <v>298.77096557617188</v>
      </c>
      <c r="C917">
        <v>301.40749699533308</v>
      </c>
      <c r="D917">
        <v>292.95077601421781</v>
      </c>
      <c r="E917">
        <v>298.47250521583339</v>
      </c>
      <c r="F917">
        <v>18620800</v>
      </c>
      <c r="G917" s="2" t="s">
        <v>13</v>
      </c>
      <c r="H917">
        <v>-1.9044222796515298</v>
      </c>
      <c r="I917">
        <v>149.33406489297013</v>
      </c>
      <c r="J917">
        <v>311.69640441894529</v>
      </c>
      <c r="K917">
        <v>1.762981292155863</v>
      </c>
      <c r="L917">
        <v>0</v>
      </c>
      <c r="M917" t="str">
        <f>VLOOKUP(fact_daily_prices[[#This Row],[Ticker]], dim_company[], 2, FALSE)</f>
        <v>JPMorgan Chase &amp; Co.</v>
      </c>
      <c r="N917" t="str">
        <f>VLOOKUP(fact_daily_prices[[#This Row],[Ticker]], dim_company[], 3, FALSE)</f>
        <v>Financials</v>
      </c>
    </row>
    <row r="918" spans="1:14" x14ac:dyDescent="0.3">
      <c r="A918" s="1">
        <v>46083</v>
      </c>
      <c r="B918">
        <v>296.044921875</v>
      </c>
      <c r="C918">
        <v>298.45261340621465</v>
      </c>
      <c r="D918">
        <v>291.7170645432447</v>
      </c>
      <c r="E918">
        <v>293.30892395244342</v>
      </c>
      <c r="F918">
        <v>8508900</v>
      </c>
      <c r="G918" s="2" t="s">
        <v>13</v>
      </c>
      <c r="H918">
        <v>-0.91241921580792473</v>
      </c>
      <c r="I918">
        <v>147.97151218913962</v>
      </c>
      <c r="J918">
        <v>311.36663208007815</v>
      </c>
      <c r="K918">
        <v>1.7667088281541339</v>
      </c>
      <c r="L918">
        <v>0</v>
      </c>
      <c r="M918" t="str">
        <f>VLOOKUP(fact_daily_prices[[#This Row],[Ticker]], dim_company[], 2, FALSE)</f>
        <v>JPMorgan Chase &amp; Co.</v>
      </c>
      <c r="N918" t="str">
        <f>VLOOKUP(fact_daily_prices[[#This Row],[Ticker]], dim_company[], 3, FALSE)</f>
        <v>Financials</v>
      </c>
    </row>
    <row r="919" spans="1:14" x14ac:dyDescent="0.3">
      <c r="A919" s="1">
        <v>46084</v>
      </c>
      <c r="B919">
        <v>298.73117065429688</v>
      </c>
      <c r="C919">
        <v>300.85033015422039</v>
      </c>
      <c r="D919">
        <v>288.02594781744341</v>
      </c>
      <c r="E919">
        <v>290.80175042735664</v>
      </c>
      <c r="F919">
        <v>10278200</v>
      </c>
      <c r="G919" s="2" t="s">
        <v>13</v>
      </c>
      <c r="H919">
        <v>0.90737877288471491</v>
      </c>
      <c r="I919">
        <v>149.31417428066038</v>
      </c>
      <c r="J919">
        <v>311.10187500000001</v>
      </c>
      <c r="K919">
        <v>1.7639333706592804</v>
      </c>
      <c r="L919">
        <v>0</v>
      </c>
      <c r="M919" t="str">
        <f>VLOOKUP(fact_daily_prices[[#This Row],[Ticker]], dim_company[], 2, FALSE)</f>
        <v>JPMorgan Chase &amp; Co.</v>
      </c>
      <c r="N919" t="str">
        <f>VLOOKUP(fact_daily_prices[[#This Row],[Ticker]], dim_company[], 3, FALSE)</f>
        <v>Financials</v>
      </c>
    </row>
    <row r="920" spans="1:14" x14ac:dyDescent="0.3">
      <c r="A920" s="1">
        <v>46085</v>
      </c>
      <c r="B920">
        <v>297.86563110351563</v>
      </c>
      <c r="C920">
        <v>299.46741900340169</v>
      </c>
      <c r="D920">
        <v>294.31380094003714</v>
      </c>
      <c r="E920">
        <v>298.46255183502979</v>
      </c>
      <c r="F920">
        <v>8055700</v>
      </c>
      <c r="G920" s="2" t="s">
        <v>13</v>
      </c>
      <c r="H920">
        <v>-0.28973861311007987</v>
      </c>
      <c r="I920">
        <v>148.88155346292282</v>
      </c>
      <c r="J920">
        <v>310.85902893066407</v>
      </c>
      <c r="K920">
        <v>1.6714514935058378</v>
      </c>
      <c r="L920">
        <v>0</v>
      </c>
      <c r="M920" t="str">
        <f>VLOOKUP(fact_daily_prices[[#This Row],[Ticker]], dim_company[], 2, FALSE)</f>
        <v>JPMorgan Chase &amp; Co.</v>
      </c>
      <c r="N920" t="str">
        <f>VLOOKUP(fact_daily_prices[[#This Row],[Ticker]], dim_company[], 3, FALSE)</f>
        <v>Financials</v>
      </c>
    </row>
    <row r="921" spans="1:14" x14ac:dyDescent="0.3">
      <c r="A921" s="1">
        <v>46086</v>
      </c>
      <c r="B921">
        <v>292.05532836914063</v>
      </c>
      <c r="C921">
        <v>299.70617586216918</v>
      </c>
      <c r="D921">
        <v>290.94103589656618</v>
      </c>
      <c r="E921">
        <v>296.46279534996694</v>
      </c>
      <c r="F921">
        <v>12732500</v>
      </c>
      <c r="G921" s="2" t="s">
        <v>13</v>
      </c>
      <c r="H921">
        <v>-1.9506455688926949</v>
      </c>
      <c r="I921">
        <v>145.97740203739971</v>
      </c>
      <c r="J921">
        <v>310.41658203125002</v>
      </c>
      <c r="K921">
        <v>1.7079008418572876</v>
      </c>
      <c r="L921">
        <v>0</v>
      </c>
      <c r="M921" t="str">
        <f>VLOOKUP(fact_daily_prices[[#This Row],[Ticker]], dim_company[], 2, FALSE)</f>
        <v>JPMorgan Chase &amp; Co.</v>
      </c>
      <c r="N921" t="str">
        <f>VLOOKUP(fact_daily_prices[[#This Row],[Ticker]], dim_company[], 3, FALSE)</f>
        <v>Financials</v>
      </c>
    </row>
    <row r="922" spans="1:14" x14ac:dyDescent="0.3">
      <c r="A922" s="1">
        <v>46087</v>
      </c>
      <c r="B922">
        <v>288.00607299804688</v>
      </c>
      <c r="C922">
        <v>288.51345559776433</v>
      </c>
      <c r="D922">
        <v>282.26543252807039</v>
      </c>
      <c r="E922">
        <v>284.88204628210366</v>
      </c>
      <c r="F922">
        <v>13496500</v>
      </c>
      <c r="G922" s="2" t="s">
        <v>13</v>
      </c>
      <c r="H922">
        <v>-1.3864685824104273</v>
      </c>
      <c r="I922">
        <v>143.95347122073221</v>
      </c>
      <c r="J922">
        <v>309.77667419433595</v>
      </c>
      <c r="K922">
        <v>1.7201116896024575</v>
      </c>
      <c r="L922">
        <v>0</v>
      </c>
      <c r="M922" t="str">
        <f>VLOOKUP(fact_daily_prices[[#This Row],[Ticker]], dim_company[], 2, FALSE)</f>
        <v>JPMorgan Chase &amp; Co.</v>
      </c>
      <c r="N922" t="str">
        <f>VLOOKUP(fact_daily_prices[[#This Row],[Ticker]], dim_company[], 3, FALSE)</f>
        <v>Financials</v>
      </c>
    </row>
    <row r="923" spans="1:14" x14ac:dyDescent="0.3">
      <c r="A923" s="1">
        <v>46090</v>
      </c>
      <c r="B923">
        <v>288.44384765625</v>
      </c>
      <c r="C923">
        <v>289.61783224456605</v>
      </c>
      <c r="D923">
        <v>279.02206418875625</v>
      </c>
      <c r="E923">
        <v>284.04633930656934</v>
      </c>
      <c r="F923">
        <v>12241100</v>
      </c>
      <c r="G923" s="2" t="s">
        <v>13</v>
      </c>
      <c r="H923">
        <v>0.15200188442070495</v>
      </c>
      <c r="I923">
        <v>144.17228320967675</v>
      </c>
      <c r="J923">
        <v>309.08926452636717</v>
      </c>
      <c r="K923">
        <v>1.686654673148571</v>
      </c>
      <c r="L923">
        <v>0</v>
      </c>
      <c r="M923" t="str">
        <f>VLOOKUP(fact_daily_prices[[#This Row],[Ticker]], dim_company[], 2, FALSE)</f>
        <v>JPMorgan Chase &amp; Co.</v>
      </c>
      <c r="N923" t="str">
        <f>VLOOKUP(fact_daily_prices[[#This Row],[Ticker]], dim_company[], 3, FALSE)</f>
        <v>Financials</v>
      </c>
    </row>
    <row r="924" spans="1:14" x14ac:dyDescent="0.3">
      <c r="A924" s="1">
        <v>46091</v>
      </c>
      <c r="B924">
        <v>287.2598876953125</v>
      </c>
      <c r="C924">
        <v>291.25940817695187</v>
      </c>
      <c r="D924">
        <v>285.7177615952499</v>
      </c>
      <c r="E924">
        <v>287.81703392074905</v>
      </c>
      <c r="F924">
        <v>8344900</v>
      </c>
      <c r="G924" s="2" t="s">
        <v>13</v>
      </c>
      <c r="H924">
        <v>-0.41046462615089707</v>
      </c>
      <c r="I924">
        <v>143.58050698638692</v>
      </c>
      <c r="J924">
        <v>308.31399475097658</v>
      </c>
      <c r="K924">
        <v>1.6724837780489996</v>
      </c>
      <c r="L924">
        <v>0</v>
      </c>
      <c r="M924" t="str">
        <f>VLOOKUP(fact_daily_prices[[#This Row],[Ticker]], dim_company[], 2, FALSE)</f>
        <v>JPMorgan Chase &amp; Co.</v>
      </c>
      <c r="N924" t="str">
        <f>VLOOKUP(fact_daily_prices[[#This Row],[Ticker]], dim_company[], 3, FALSE)</f>
        <v>Financials</v>
      </c>
    </row>
    <row r="925" spans="1:14" x14ac:dyDescent="0.3">
      <c r="A925" s="1">
        <v>46092</v>
      </c>
      <c r="B925">
        <v>286.0560302734375</v>
      </c>
      <c r="C925">
        <v>289.00098077209634</v>
      </c>
      <c r="D925">
        <v>283.40957048917664</v>
      </c>
      <c r="E925">
        <v>287.33947051230598</v>
      </c>
      <c r="F925">
        <v>10205000</v>
      </c>
      <c r="G925" s="2" t="s">
        <v>13</v>
      </c>
      <c r="H925">
        <v>-0.41908302322803959</v>
      </c>
      <c r="I925">
        <v>142.97878545694223</v>
      </c>
      <c r="J925">
        <v>307.53960693359375</v>
      </c>
      <c r="K925">
        <v>1.6732202671866052</v>
      </c>
      <c r="L925">
        <v>0</v>
      </c>
      <c r="M925" t="str">
        <f>VLOOKUP(fact_daily_prices[[#This Row],[Ticker]], dim_company[], 2, FALSE)</f>
        <v>JPMorgan Chase &amp; Co.</v>
      </c>
      <c r="N925" t="str">
        <f>VLOOKUP(fact_daily_prices[[#This Row],[Ticker]], dim_company[], 3, FALSE)</f>
        <v>Financials</v>
      </c>
    </row>
    <row r="926" spans="1:14" x14ac:dyDescent="0.3">
      <c r="A926" s="1">
        <v>46093</v>
      </c>
      <c r="B926">
        <v>281.44964599609369</v>
      </c>
      <c r="C926">
        <v>282.43459557570583</v>
      </c>
      <c r="D926">
        <v>277.67893473710473</v>
      </c>
      <c r="E926">
        <v>281.38992356011664</v>
      </c>
      <c r="F926">
        <v>13760500</v>
      </c>
      <c r="G926" s="2" t="s">
        <v>13</v>
      </c>
      <c r="H926">
        <v>-1.6103083976032995</v>
      </c>
      <c r="I926">
        <v>140.67638606793787</v>
      </c>
      <c r="J926">
        <v>306.7554962158203</v>
      </c>
      <c r="K926">
        <v>1.6937291593141253</v>
      </c>
      <c r="L926">
        <v>0</v>
      </c>
      <c r="M926" t="str">
        <f>VLOOKUP(fact_daily_prices[[#This Row],[Ticker]], dim_company[], 2, FALSE)</f>
        <v>JPMorgan Chase &amp; Co.</v>
      </c>
      <c r="N926" t="str">
        <f>VLOOKUP(fact_daily_prices[[#This Row],[Ticker]], dim_company[], 3, FALSE)</f>
        <v>Financials</v>
      </c>
    </row>
    <row r="927" spans="1:14" x14ac:dyDescent="0.3">
      <c r="A927" s="1">
        <v>46094</v>
      </c>
      <c r="B927">
        <v>281.996826171875</v>
      </c>
      <c r="C927">
        <v>285.72773249785536</v>
      </c>
      <c r="D927">
        <v>281.50933079451545</v>
      </c>
      <c r="E927">
        <v>283.22057437718621</v>
      </c>
      <c r="F927">
        <v>9091200</v>
      </c>
      <c r="G927" s="2" t="s">
        <v>13</v>
      </c>
      <c r="H927">
        <v>0.19441494546732496</v>
      </c>
      <c r="I927">
        <v>140.94988198719727</v>
      </c>
      <c r="J927">
        <v>305.98886596679688</v>
      </c>
      <c r="K927">
        <v>1.6501477702655414</v>
      </c>
      <c r="L927">
        <v>0</v>
      </c>
      <c r="M927" t="str">
        <f>VLOOKUP(fact_daily_prices[[#This Row],[Ticker]], dim_company[], 2, FALSE)</f>
        <v>JPMorgan Chase &amp; Co.</v>
      </c>
      <c r="N927" t="str">
        <f>VLOOKUP(fact_daily_prices[[#This Row],[Ticker]], dim_company[], 3, FALSE)</f>
        <v>Financials</v>
      </c>
    </row>
    <row r="928" spans="1:14" x14ac:dyDescent="0.3">
      <c r="A928" s="1">
        <v>46097</v>
      </c>
      <c r="B928">
        <v>284.70297241210938</v>
      </c>
      <c r="C928">
        <v>287.7971227560318</v>
      </c>
      <c r="D928">
        <v>283.16084627757465</v>
      </c>
      <c r="E928">
        <v>284.88204862524725</v>
      </c>
      <c r="F928">
        <v>8149000</v>
      </c>
      <c r="G928" s="2" t="s">
        <v>13</v>
      </c>
      <c r="H928">
        <v>0.95963712676148116</v>
      </c>
      <c r="I928">
        <v>142.3024893848729</v>
      </c>
      <c r="J928">
        <v>305.30012939453127</v>
      </c>
      <c r="K928">
        <v>1.66477542657127</v>
      </c>
      <c r="L928">
        <v>0</v>
      </c>
      <c r="M928" t="str">
        <f>VLOOKUP(fact_daily_prices[[#This Row],[Ticker]], dim_company[], 2, FALSE)</f>
        <v>JPMorgan Chase &amp; Co.</v>
      </c>
      <c r="N928" t="str">
        <f>VLOOKUP(fact_daily_prices[[#This Row],[Ticker]], dim_company[], 3, FALSE)</f>
        <v>Financials</v>
      </c>
    </row>
    <row r="929" spans="1:14" x14ac:dyDescent="0.3">
      <c r="A929" s="1">
        <v>46098</v>
      </c>
      <c r="B929">
        <v>285.42926025390625</v>
      </c>
      <c r="C929">
        <v>290.27445887625061</v>
      </c>
      <c r="D929">
        <v>284.49404401148581</v>
      </c>
      <c r="E929">
        <v>287.52850221874451</v>
      </c>
      <c r="F929">
        <v>8961200</v>
      </c>
      <c r="G929" s="2" t="s">
        <v>13</v>
      </c>
      <c r="H929">
        <v>0.25510370883854439</v>
      </c>
      <c r="I929">
        <v>142.6655083130633</v>
      </c>
      <c r="J929">
        <v>304.56134155273435</v>
      </c>
      <c r="K929">
        <v>1.6576754933276878</v>
      </c>
      <c r="L929">
        <v>0</v>
      </c>
      <c r="M929" t="str">
        <f>VLOOKUP(fact_daily_prices[[#This Row],[Ticker]], dim_company[], 2, FALSE)</f>
        <v>JPMorgan Chase &amp; Co.</v>
      </c>
      <c r="N929" t="str">
        <f>VLOOKUP(fact_daily_prices[[#This Row],[Ticker]], dim_company[], 3, FALSE)</f>
        <v>Financials</v>
      </c>
    </row>
    <row r="930" spans="1:14" x14ac:dyDescent="0.3">
      <c r="A930" s="1">
        <v>46099</v>
      </c>
      <c r="B930">
        <v>286.27490234375</v>
      </c>
      <c r="C930">
        <v>287.93641255144826</v>
      </c>
      <c r="D930">
        <v>283.66824747557189</v>
      </c>
      <c r="E930">
        <v>285.36953215418885</v>
      </c>
      <c r="F930">
        <v>10057000</v>
      </c>
      <c r="G930" s="2" t="s">
        <v>13</v>
      </c>
      <c r="H930">
        <v>0.29627028745808914</v>
      </c>
      <c r="I930">
        <v>143.08818382464597</v>
      </c>
      <c r="J930">
        <v>303.66990295410159</v>
      </c>
      <c r="K930">
        <v>1.5981854301903655</v>
      </c>
      <c r="L930">
        <v>0</v>
      </c>
      <c r="M930" t="str">
        <f>VLOOKUP(fact_daily_prices[[#This Row],[Ticker]], dim_company[], 2, FALSE)</f>
        <v>JPMorgan Chase &amp; Co.</v>
      </c>
      <c r="N930" t="str">
        <f>VLOOKUP(fact_daily_prices[[#This Row],[Ticker]], dim_company[], 3, FALSE)</f>
        <v>Financials</v>
      </c>
    </row>
    <row r="931" spans="1:14" x14ac:dyDescent="0.3">
      <c r="A931" s="1">
        <v>46100</v>
      </c>
      <c r="B931">
        <v>286.50375366210938</v>
      </c>
      <c r="C931">
        <v>288.03592099523962</v>
      </c>
      <c r="D931">
        <v>283.17080467652181</v>
      </c>
      <c r="E931">
        <v>285.41930722338373</v>
      </c>
      <c r="F931">
        <v>9846700</v>
      </c>
      <c r="G931" s="2" t="s">
        <v>13</v>
      </c>
      <c r="H931">
        <v>7.9941104332159618E-2</v>
      </c>
      <c r="I931">
        <v>143.2025700989642</v>
      </c>
      <c r="J931">
        <v>302.74185302734372</v>
      </c>
      <c r="K931">
        <v>1.5874053670864918</v>
      </c>
      <c r="L931">
        <v>0</v>
      </c>
      <c r="M931" t="str">
        <f>VLOOKUP(fact_daily_prices[[#This Row],[Ticker]], dim_company[], 2, FALSE)</f>
        <v>JPMorgan Chase &amp; Co.</v>
      </c>
      <c r="N931" t="str">
        <f>VLOOKUP(fact_daily_prices[[#This Row],[Ticker]], dim_company[], 3, FALSE)</f>
        <v>Financials</v>
      </c>
    </row>
    <row r="932" spans="1:14" x14ac:dyDescent="0.3">
      <c r="A932" s="1">
        <v>46101</v>
      </c>
      <c r="B932">
        <v>285.10092163085938</v>
      </c>
      <c r="C932">
        <v>289.22978502676381</v>
      </c>
      <c r="D932">
        <v>283.81748141518966</v>
      </c>
      <c r="E932">
        <v>286.61317132501995</v>
      </c>
      <c r="F932">
        <v>22436500</v>
      </c>
      <c r="G932" s="2" t="s">
        <v>13</v>
      </c>
      <c r="H932">
        <v>-0.48963827290878781</v>
      </c>
      <c r="I932">
        <v>142.50139550797064</v>
      </c>
      <c r="J932">
        <v>301.93736999511719</v>
      </c>
      <c r="K932">
        <v>1.5456059147244599</v>
      </c>
      <c r="L932">
        <v>1</v>
      </c>
      <c r="M932" t="str">
        <f>VLOOKUP(fact_daily_prices[[#This Row],[Ticker]], dim_company[], 2, FALSE)</f>
        <v>JPMorgan Chase &amp; Co.</v>
      </c>
      <c r="N932" t="str">
        <f>VLOOKUP(fact_daily_prices[[#This Row],[Ticker]], dim_company[], 3, FALSE)</f>
        <v>Financials</v>
      </c>
    </row>
    <row r="933" spans="1:14" x14ac:dyDescent="0.3">
      <c r="A933" s="1">
        <v>46104</v>
      </c>
      <c r="B933">
        <v>288.43386840820313</v>
      </c>
      <c r="C933">
        <v>294.24412922690453</v>
      </c>
      <c r="D933">
        <v>286.50374388049511</v>
      </c>
      <c r="E933">
        <v>292.81145884835439</v>
      </c>
      <c r="F933">
        <v>11470800</v>
      </c>
      <c r="G933" s="2" t="s">
        <v>13</v>
      </c>
      <c r="H933">
        <v>1.169041039319807</v>
      </c>
      <c r="I933">
        <v>144.16729530306225</v>
      </c>
      <c r="J933">
        <v>301.14383056640622</v>
      </c>
      <c r="K933">
        <v>1.3571630771173089</v>
      </c>
      <c r="L933">
        <v>0</v>
      </c>
      <c r="M933" t="str">
        <f>VLOOKUP(fact_daily_prices[[#This Row],[Ticker]], dim_company[], 2, FALSE)</f>
        <v>JPMorgan Chase &amp; Co.</v>
      </c>
      <c r="N933" t="str">
        <f>VLOOKUP(fact_daily_prices[[#This Row],[Ticker]], dim_company[], 3, FALSE)</f>
        <v>Financials</v>
      </c>
    </row>
    <row r="934" spans="1:14" x14ac:dyDescent="0.3">
      <c r="A934" s="1">
        <v>46105</v>
      </c>
      <c r="B934">
        <v>290.91119384765625</v>
      </c>
      <c r="C934">
        <v>293.97552855142112</v>
      </c>
      <c r="D934">
        <v>283.91698940059041</v>
      </c>
      <c r="E934">
        <v>284.71293429347423</v>
      </c>
      <c r="F934">
        <v>11092300</v>
      </c>
      <c r="G934" s="2" t="s">
        <v>13</v>
      </c>
      <c r="H934">
        <v>0.85888853938163034</v>
      </c>
      <c r="I934">
        <v>145.40553167995671</v>
      </c>
      <c r="J934">
        <v>300.41177673339843</v>
      </c>
      <c r="K934">
        <v>1.3742643046933638</v>
      </c>
      <c r="L934">
        <v>0</v>
      </c>
      <c r="M934" t="str">
        <f>VLOOKUP(fact_daily_prices[[#This Row],[Ticker]], dim_company[], 2, FALSE)</f>
        <v>JPMorgan Chase &amp; Co.</v>
      </c>
      <c r="N934" t="str">
        <f>VLOOKUP(fact_daily_prices[[#This Row],[Ticker]], dim_company[], 3, FALSE)</f>
        <v>Financials</v>
      </c>
    </row>
    <row r="935" spans="1:14" x14ac:dyDescent="0.3">
      <c r="A935" s="1">
        <v>46106</v>
      </c>
      <c r="B935">
        <v>293.91583251953125</v>
      </c>
      <c r="C935">
        <v>296.12453022896028</v>
      </c>
      <c r="D935">
        <v>290.95099476259901</v>
      </c>
      <c r="E935">
        <v>292.65227950728848</v>
      </c>
      <c r="F935">
        <v>12188200</v>
      </c>
      <c r="G935" s="2" t="s">
        <v>13</v>
      </c>
      <c r="H935">
        <v>1.0328370772313633</v>
      </c>
      <c r="I935">
        <v>146.9073339234927</v>
      </c>
      <c r="J935">
        <v>299.7398156738281</v>
      </c>
      <c r="K935">
        <v>1.385308464837943</v>
      </c>
      <c r="L935">
        <v>0</v>
      </c>
      <c r="M935" t="str">
        <f>VLOOKUP(fact_daily_prices[[#This Row],[Ticker]], dim_company[], 2, FALSE)</f>
        <v>JPMorgan Chase &amp; Co.</v>
      </c>
      <c r="N935" t="str">
        <f>VLOOKUP(fact_daily_prices[[#This Row],[Ticker]], dim_company[], 3, FALSE)</f>
        <v>Financials</v>
      </c>
    </row>
    <row r="936" spans="1:14" x14ac:dyDescent="0.3">
      <c r="A936" s="1">
        <v>46107</v>
      </c>
      <c r="B936">
        <v>290.17495727539063</v>
      </c>
      <c r="C936">
        <v>293.48798854194115</v>
      </c>
      <c r="D936">
        <v>289.24969984697105</v>
      </c>
      <c r="E936">
        <v>291.09025590494821</v>
      </c>
      <c r="F936">
        <v>8669200</v>
      </c>
      <c r="G936" s="2" t="s">
        <v>13</v>
      </c>
      <c r="H936">
        <v>-1.2727709195087478</v>
      </c>
      <c r="I936">
        <v>145.03754009868888</v>
      </c>
      <c r="J936">
        <v>299.35697509765623</v>
      </c>
      <c r="K936">
        <v>1.3423200205203309</v>
      </c>
      <c r="L936">
        <v>0</v>
      </c>
      <c r="M936" t="str">
        <f>VLOOKUP(fact_daily_prices[[#This Row],[Ticker]], dim_company[], 2, FALSE)</f>
        <v>JPMorgan Chase &amp; Co.</v>
      </c>
      <c r="N936" t="str">
        <f>VLOOKUP(fact_daily_prices[[#This Row],[Ticker]], dim_company[], 3, FALSE)</f>
        <v>Financials</v>
      </c>
    </row>
    <row r="937" spans="1:14" x14ac:dyDescent="0.3">
      <c r="A937" s="1">
        <v>46108</v>
      </c>
      <c r="B937">
        <v>281.39987182617188</v>
      </c>
      <c r="C937">
        <v>288.63284454259417</v>
      </c>
      <c r="D937">
        <v>280.31542537678433</v>
      </c>
      <c r="E937">
        <v>287.66781259849654</v>
      </c>
      <c r="F937">
        <v>9873300</v>
      </c>
      <c r="G937" s="2" t="s">
        <v>13</v>
      </c>
      <c r="H937">
        <v>-3.0240671116531836</v>
      </c>
      <c r="I937">
        <v>140.65150754901364</v>
      </c>
      <c r="J937">
        <v>298.85892395019533</v>
      </c>
      <c r="K937">
        <v>1.4367697965392243</v>
      </c>
      <c r="L937">
        <v>0</v>
      </c>
      <c r="M937" t="str">
        <f>VLOOKUP(fact_daily_prices[[#This Row],[Ticker]], dim_company[], 2, FALSE)</f>
        <v>JPMorgan Chase &amp; Co.</v>
      </c>
      <c r="N937" t="str">
        <f>VLOOKUP(fact_daily_prices[[#This Row],[Ticker]], dim_company[], 3, FALSE)</f>
        <v>Financials</v>
      </c>
    </row>
    <row r="938" spans="1:14" x14ac:dyDescent="0.3">
      <c r="A938" s="1">
        <v>46111</v>
      </c>
      <c r="B938">
        <v>282.32513427734369</v>
      </c>
      <c r="C938">
        <v>285.787426299191</v>
      </c>
      <c r="D938">
        <v>280.89246381052374</v>
      </c>
      <c r="E938">
        <v>283.29019660065728</v>
      </c>
      <c r="F938">
        <v>11734400</v>
      </c>
      <c r="G938" s="2" t="s">
        <v>13</v>
      </c>
      <c r="H938">
        <v>0.32880699097950217</v>
      </c>
      <c r="I938">
        <v>141.11397953875286</v>
      </c>
      <c r="J938">
        <v>298.35171936035158</v>
      </c>
      <c r="K938">
        <v>1.369778187910202</v>
      </c>
      <c r="L938">
        <v>0</v>
      </c>
      <c r="M938" t="str">
        <f>VLOOKUP(fact_daily_prices[[#This Row],[Ticker]], dim_company[], 2, FALSE)</f>
        <v>JPMorgan Chase &amp; Co.</v>
      </c>
      <c r="N938" t="str">
        <f>VLOOKUP(fact_daily_prices[[#This Row],[Ticker]], dim_company[], 3, FALSE)</f>
        <v>Financials</v>
      </c>
    </row>
    <row r="939" spans="1:14" x14ac:dyDescent="0.3">
      <c r="A939" s="1">
        <v>46112</v>
      </c>
      <c r="B939">
        <v>292.6622314453125</v>
      </c>
      <c r="C939">
        <v>293.56760164880984</v>
      </c>
      <c r="D939">
        <v>283.4991344325332</v>
      </c>
      <c r="E939">
        <v>287.00120074535357</v>
      </c>
      <c r="F939">
        <v>12956900</v>
      </c>
      <c r="G939" s="2" t="s">
        <v>13</v>
      </c>
      <c r="H939">
        <v>3.6614158333540647</v>
      </c>
      <c r="I939">
        <v>146.28074912866077</v>
      </c>
      <c r="J939">
        <v>297.98738403320311</v>
      </c>
      <c r="K939">
        <v>1.5114528291662699</v>
      </c>
      <c r="L939">
        <v>0</v>
      </c>
      <c r="M939" t="str">
        <f>VLOOKUP(fact_daily_prices[[#This Row],[Ticker]], dim_company[], 2, FALSE)</f>
        <v>JPMorgan Chase &amp; Co.</v>
      </c>
      <c r="N939" t="str">
        <f>VLOOKUP(fact_daily_prices[[#This Row],[Ticker]], dim_company[], 3, FALSE)</f>
        <v>Financials</v>
      </c>
    </row>
    <row r="940" spans="1:14" x14ac:dyDescent="0.3">
      <c r="A940" s="1">
        <v>46113</v>
      </c>
      <c r="B940">
        <v>293.87603759765625</v>
      </c>
      <c r="C940">
        <v>297.19902789200404</v>
      </c>
      <c r="D940">
        <v>291.41861272257177</v>
      </c>
      <c r="E940">
        <v>293.88599639720439</v>
      </c>
      <c r="F940">
        <v>11267200</v>
      </c>
      <c r="G940" s="2" t="s">
        <v>13</v>
      </c>
      <c r="H940">
        <v>0.41474642845076293</v>
      </c>
      <c r="I940">
        <v>146.88744331118292</v>
      </c>
      <c r="J940">
        <v>297.84093383789065</v>
      </c>
      <c r="K940">
        <v>1.5097454396269991</v>
      </c>
      <c r="L940">
        <v>0</v>
      </c>
      <c r="M940" t="str">
        <f>VLOOKUP(fact_daily_prices[[#This Row],[Ticker]], dim_company[], 2, FALSE)</f>
        <v>JPMorgan Chase &amp; Co.</v>
      </c>
      <c r="N940" t="str">
        <f>VLOOKUP(fact_daily_prices[[#This Row],[Ticker]], dim_company[], 3, FALSE)</f>
        <v>Financials</v>
      </c>
    </row>
    <row r="941" spans="1:14" x14ac:dyDescent="0.3">
      <c r="A941" s="1">
        <v>46114</v>
      </c>
      <c r="B941">
        <v>293.10000610351563</v>
      </c>
      <c r="C941">
        <v>294.11480169054528</v>
      </c>
      <c r="D941">
        <v>287.24994014514812</v>
      </c>
      <c r="E941">
        <v>290.4237002119346</v>
      </c>
      <c r="F941">
        <v>6669300</v>
      </c>
      <c r="G941" s="2" t="s">
        <v>13</v>
      </c>
      <c r="H941">
        <v>-0.26406763221814566</v>
      </c>
      <c r="I941">
        <v>146.49956111760531</v>
      </c>
      <c r="J941">
        <v>297.69289123535157</v>
      </c>
      <c r="K941">
        <v>1.5098168552873192</v>
      </c>
      <c r="L941">
        <v>0</v>
      </c>
      <c r="M941" t="str">
        <f>VLOOKUP(fact_daily_prices[[#This Row],[Ticker]], dim_company[], 2, FALSE)</f>
        <v>JPMorgan Chase &amp; Co.</v>
      </c>
      <c r="N941" t="str">
        <f>VLOOKUP(fact_daily_prices[[#This Row],[Ticker]], dim_company[], 3, FALSE)</f>
        <v>Financials</v>
      </c>
    </row>
    <row r="942" spans="1:14" x14ac:dyDescent="0.3">
      <c r="A942" s="1">
        <v>46118</v>
      </c>
      <c r="B942">
        <v>295.45001220703125</v>
      </c>
      <c r="C942">
        <v>296.82998657226563</v>
      </c>
      <c r="D942">
        <v>293.20001220703125</v>
      </c>
      <c r="E942">
        <v>294.05999755859369</v>
      </c>
      <c r="F942">
        <v>7142600</v>
      </c>
      <c r="G942" s="2" t="s">
        <v>13</v>
      </c>
      <c r="H942">
        <v>0.80177620422350326</v>
      </c>
      <c r="I942">
        <v>147.67415973793817</v>
      </c>
      <c r="J942">
        <v>297.56021118164063</v>
      </c>
      <c r="K942">
        <v>1.5078432496458243</v>
      </c>
      <c r="L942">
        <v>0</v>
      </c>
      <c r="M942" t="str">
        <f>VLOOKUP(fact_daily_prices[[#This Row],[Ticker]], dim_company[], 2, FALSE)</f>
        <v>JPMorgan Chase &amp; Co.</v>
      </c>
      <c r="N942" t="str">
        <f>VLOOKUP(fact_daily_prices[[#This Row],[Ticker]], dim_company[], 3, FALSE)</f>
        <v>Financials</v>
      </c>
    </row>
    <row r="943" spans="1:14" x14ac:dyDescent="0.3">
      <c r="A943" s="1">
        <v>46119</v>
      </c>
      <c r="B943">
        <v>297.39999389648438</v>
      </c>
      <c r="C943">
        <v>298.17999267578125</v>
      </c>
      <c r="D943">
        <v>292.70001220703125</v>
      </c>
      <c r="E943">
        <v>293.1400146484375</v>
      </c>
      <c r="F943">
        <v>7849100</v>
      </c>
      <c r="G943" s="2" t="s">
        <v>13</v>
      </c>
      <c r="H943">
        <v>0.66000392922194173</v>
      </c>
      <c r="I943">
        <v>148.64881499465403</v>
      </c>
      <c r="J943">
        <v>297.58412902832032</v>
      </c>
      <c r="K943">
        <v>1.3015450136346618</v>
      </c>
      <c r="L943">
        <v>0</v>
      </c>
      <c r="M943" t="str">
        <f>VLOOKUP(fact_daily_prices[[#This Row],[Ticker]], dim_company[], 2, FALSE)</f>
        <v>JPMorgan Chase &amp; Co.</v>
      </c>
      <c r="N943" t="str">
        <f>VLOOKUP(fact_daily_prices[[#This Row],[Ticker]], dim_company[], 3, FALSE)</f>
        <v>Financials</v>
      </c>
    </row>
    <row r="944" spans="1:14" x14ac:dyDescent="0.3">
      <c r="A944" s="1">
        <v>46120</v>
      </c>
      <c r="B944">
        <v>297.39999389648438</v>
      </c>
      <c r="C944">
        <v>311.260009765625</v>
      </c>
      <c r="D944">
        <v>305.32998657226563</v>
      </c>
      <c r="E944">
        <v>307.97000122070313</v>
      </c>
      <c r="F944">
        <v>10590200</v>
      </c>
      <c r="G944" s="2" t="s">
        <v>13</v>
      </c>
      <c r="H944">
        <v>0</v>
      </c>
      <c r="I944">
        <v>148.64881499465403</v>
      </c>
      <c r="J944">
        <v>297.54198486328124</v>
      </c>
      <c r="K944">
        <v>1.3012604211555197</v>
      </c>
      <c r="L944">
        <v>0</v>
      </c>
      <c r="M944" t="str">
        <f>VLOOKUP(fact_daily_prices[[#This Row],[Ticker]], dim_company[], 2, FALSE)</f>
        <v>JPMorgan Chase &amp; Co.</v>
      </c>
      <c r="N944" t="str">
        <f>VLOOKUP(fact_daily_prices[[#This Row],[Ticker]], dim_company[], 3, FALSE)</f>
        <v>Financials</v>
      </c>
    </row>
    <row r="945" spans="1:14" x14ac:dyDescent="0.3">
      <c r="A945" s="1">
        <v>46121</v>
      </c>
      <c r="B945">
        <v>310.32998657226563</v>
      </c>
      <c r="C945">
        <v>311.260009765625</v>
      </c>
      <c r="D945">
        <v>306.1099853515625</v>
      </c>
      <c r="E945">
        <v>306.95001220703125</v>
      </c>
      <c r="F945">
        <v>6586600</v>
      </c>
      <c r="G945" s="2" t="s">
        <v>13</v>
      </c>
      <c r="H945">
        <v>4.3476775188777461</v>
      </c>
      <c r="I945">
        <v>155.1115861062548</v>
      </c>
      <c r="J945">
        <v>297.77296630859377</v>
      </c>
      <c r="K945">
        <v>1.4812728759846623</v>
      </c>
      <c r="L945">
        <v>0</v>
      </c>
      <c r="M945" t="str">
        <f>VLOOKUP(fact_daily_prices[[#This Row],[Ticker]], dim_company[], 2, FALSE)</f>
        <v>JPMorgan Chase &amp; Co.</v>
      </c>
      <c r="N945" t="str">
        <f>VLOOKUP(fact_daily_prices[[#This Row],[Ticker]], dim_company[], 3, FALSE)</f>
        <v>Financials</v>
      </c>
    </row>
    <row r="946" spans="1:14" x14ac:dyDescent="0.3">
      <c r="A946" s="1">
        <v>46122</v>
      </c>
      <c r="B946">
        <v>309.8699951171875</v>
      </c>
      <c r="C946">
        <v>310.35000610351563</v>
      </c>
      <c r="D946">
        <v>306.72000122070313</v>
      </c>
      <c r="E946">
        <v>310</v>
      </c>
      <c r="F946">
        <v>6069700</v>
      </c>
      <c r="G946" s="2" t="s">
        <v>13</v>
      </c>
      <c r="H946">
        <v>-0.14822655720735378</v>
      </c>
      <c r="I946">
        <v>154.88166954233975</v>
      </c>
      <c r="J946">
        <v>297.98559509277345</v>
      </c>
      <c r="K946">
        <v>1.4735379518123424</v>
      </c>
      <c r="L946">
        <v>0</v>
      </c>
      <c r="M946" t="str">
        <f>VLOOKUP(fact_daily_prices[[#This Row],[Ticker]], dim_company[], 2, FALSE)</f>
        <v>JPMorgan Chase &amp; Co.</v>
      </c>
      <c r="N946" t="str">
        <f>VLOOKUP(fact_daily_prices[[#This Row],[Ticker]], dim_company[], 3, FALSE)</f>
        <v>Financials</v>
      </c>
    </row>
    <row r="947" spans="1:14" x14ac:dyDescent="0.3">
      <c r="A947" s="1">
        <v>46125</v>
      </c>
      <c r="B947">
        <v>313.67999267578125</v>
      </c>
      <c r="C947">
        <v>313.739990234375</v>
      </c>
      <c r="D947">
        <v>305.45999145507813</v>
      </c>
      <c r="E947">
        <v>307.47000122070313</v>
      </c>
      <c r="F947">
        <v>8318200</v>
      </c>
      <c r="G947" s="2" t="s">
        <v>13</v>
      </c>
      <c r="H947">
        <v>1.2295471064092123</v>
      </c>
      <c r="I947">
        <v>156.78601262855588</v>
      </c>
      <c r="J947">
        <v>298.16199829101561</v>
      </c>
      <c r="K947">
        <v>1.4395875342537643</v>
      </c>
      <c r="L947">
        <v>0</v>
      </c>
      <c r="M947" t="str">
        <f>VLOOKUP(fact_daily_prices[[#This Row],[Ticker]], dim_company[], 2, FALSE)</f>
        <v>JPMorgan Chase &amp; Co.</v>
      </c>
      <c r="N947" t="str">
        <f>VLOOKUP(fact_daily_prices[[#This Row],[Ticker]], dim_company[], 3, FALSE)</f>
        <v>Financials</v>
      </c>
    </row>
    <row r="948" spans="1:14" x14ac:dyDescent="0.3">
      <c r="A948" s="1">
        <v>46126</v>
      </c>
      <c r="B948">
        <v>313.67999267578125</v>
      </c>
      <c r="C948">
        <v>314.32000732421875</v>
      </c>
      <c r="D948">
        <v>308.8699951171875</v>
      </c>
      <c r="E948">
        <v>309.82000732421875</v>
      </c>
      <c r="F948">
        <v>11455500</v>
      </c>
      <c r="G948" s="2" t="s">
        <v>13</v>
      </c>
      <c r="H948">
        <v>0</v>
      </c>
      <c r="I948">
        <v>156.78601262855588</v>
      </c>
      <c r="J948">
        <v>298.34894775390626</v>
      </c>
      <c r="K948">
        <v>1.425447533720233</v>
      </c>
      <c r="L948">
        <v>0</v>
      </c>
      <c r="M948" t="str">
        <f>VLOOKUP(fact_daily_prices[[#This Row],[Ticker]], dim_company[], 2, FALSE)</f>
        <v>JPMorgan Chase &amp; Co.</v>
      </c>
      <c r="N948" t="str">
        <f>VLOOKUP(fact_daily_prices[[#This Row],[Ticker]], dim_company[], 3, FALSE)</f>
        <v>Financials</v>
      </c>
    </row>
    <row r="949" spans="1:14" x14ac:dyDescent="0.3">
      <c r="A949" s="1">
        <v>46127</v>
      </c>
      <c r="B949">
        <v>305.92999267578125</v>
      </c>
      <c r="C949">
        <v>314.239990234375</v>
      </c>
      <c r="D949">
        <v>304.260009765625</v>
      </c>
      <c r="E949">
        <v>313.95001220703125</v>
      </c>
      <c r="F949">
        <v>9885800</v>
      </c>
      <c r="G949" s="2" t="s">
        <v>13</v>
      </c>
      <c r="H949">
        <v>-2.4706708049468729</v>
      </c>
      <c r="I949">
        <v>152.91234638830184</v>
      </c>
      <c r="J949">
        <v>298.3361260986328</v>
      </c>
      <c r="K949">
        <v>1.4993764505471854</v>
      </c>
      <c r="L949">
        <v>0</v>
      </c>
      <c r="M949" t="str">
        <f>VLOOKUP(fact_daily_prices[[#This Row],[Ticker]], dim_company[], 2, FALSE)</f>
        <v>JPMorgan Chase &amp; Co.</v>
      </c>
      <c r="N949" t="str">
        <f>VLOOKUP(fact_daily_prices[[#This Row],[Ticker]], dim_company[], 3, FALSE)</f>
        <v>Financials</v>
      </c>
    </row>
    <row r="950" spans="1:14" x14ac:dyDescent="0.3">
      <c r="A950" s="1">
        <v>46128</v>
      </c>
      <c r="B950">
        <v>309.95001220703125</v>
      </c>
      <c r="C950">
        <v>309.95001220703125</v>
      </c>
      <c r="D950">
        <v>305.20001220703125</v>
      </c>
      <c r="E950">
        <v>305.35000610351563</v>
      </c>
      <c r="F950">
        <v>8208600</v>
      </c>
      <c r="G950" s="2" t="s">
        <v>13</v>
      </c>
      <c r="H950">
        <v>1.3140325000793096</v>
      </c>
      <c r="I950">
        <v>154.92166431647797</v>
      </c>
      <c r="J950">
        <v>298.27018859863279</v>
      </c>
      <c r="K950">
        <v>1.5138833755721195</v>
      </c>
      <c r="L950">
        <v>0</v>
      </c>
      <c r="M950" t="str">
        <f>VLOOKUP(fact_daily_prices[[#This Row],[Ticker]], dim_company[], 2, FALSE)</f>
        <v>JPMorgan Chase &amp; Co.</v>
      </c>
      <c r="N950" t="str">
        <f>VLOOKUP(fact_daily_prices[[#This Row],[Ticker]], dim_company[], 3, FALSE)</f>
        <v>Financials</v>
      </c>
    </row>
    <row r="951" spans="1:14" x14ac:dyDescent="0.3">
      <c r="A951" s="1">
        <v>46129</v>
      </c>
      <c r="B951">
        <v>310.29000854492188</v>
      </c>
      <c r="C951">
        <v>314.89999389648438</v>
      </c>
      <c r="D951">
        <v>310.08999633789063</v>
      </c>
      <c r="E951">
        <v>312.47000122070313</v>
      </c>
      <c r="F951">
        <v>11082400</v>
      </c>
      <c r="G951" s="2" t="s">
        <v>13</v>
      </c>
      <c r="H951">
        <v>0.10969392627850905</v>
      </c>
      <c r="I951">
        <v>155.09160397272274</v>
      </c>
      <c r="J951">
        <v>298.16289794921875</v>
      </c>
      <c r="K951">
        <v>1.4614233827072018</v>
      </c>
      <c r="L951">
        <v>0</v>
      </c>
      <c r="M951" t="str">
        <f>VLOOKUP(fact_daily_prices[[#This Row],[Ticker]], dim_company[], 2, FALSE)</f>
        <v>JPMorgan Chase &amp; Co.</v>
      </c>
      <c r="N951" t="str">
        <f>VLOOKUP(fact_daily_prices[[#This Row],[Ticker]], dim_company[], 3, FALSE)</f>
        <v>Financials</v>
      </c>
    </row>
    <row r="952" spans="1:14" x14ac:dyDescent="0.3">
      <c r="A952" s="1">
        <v>46132</v>
      </c>
      <c r="B952">
        <v>316.989990234375</v>
      </c>
      <c r="C952">
        <v>317.1300048828125</v>
      </c>
      <c r="D952">
        <v>310.3699951171875</v>
      </c>
      <c r="E952">
        <v>310.85000610351563</v>
      </c>
      <c r="F952">
        <v>10772000</v>
      </c>
      <c r="G952" s="2" t="s">
        <v>13</v>
      </c>
      <c r="H952">
        <v>2.1592643994152727</v>
      </c>
      <c r="I952">
        <v>158.44044176378787</v>
      </c>
      <c r="J952">
        <v>298.33108215332032</v>
      </c>
      <c r="K952">
        <v>1.4710103627668936</v>
      </c>
      <c r="L952">
        <v>0</v>
      </c>
      <c r="M952" t="str">
        <f>VLOOKUP(fact_daily_prices[[#This Row],[Ticker]], dim_company[], 2, FALSE)</f>
        <v>JPMorgan Chase &amp; Co.</v>
      </c>
      <c r="N952" t="str">
        <f>VLOOKUP(fact_daily_prices[[#This Row],[Ticker]], dim_company[], 3, FALSE)</f>
        <v>Financials</v>
      </c>
    </row>
    <row r="953" spans="1:14" x14ac:dyDescent="0.3">
      <c r="A953" s="1">
        <v>46133</v>
      </c>
      <c r="B953">
        <v>313</v>
      </c>
      <c r="C953">
        <v>320.239990234375</v>
      </c>
      <c r="D953">
        <v>312.75</v>
      </c>
      <c r="E953">
        <v>317.489990234375</v>
      </c>
      <c r="F953">
        <v>7084300</v>
      </c>
      <c r="G953" s="2" t="s">
        <v>13</v>
      </c>
      <c r="H953">
        <v>-1.2587117439969986</v>
      </c>
      <c r="I953">
        <v>156.44613331606635</v>
      </c>
      <c r="J953">
        <v>298.17591308593751</v>
      </c>
      <c r="K953">
        <v>1.4991922418778543</v>
      </c>
      <c r="L953">
        <v>0</v>
      </c>
      <c r="M953" t="str">
        <f>VLOOKUP(fact_daily_prices[[#This Row],[Ticker]], dim_company[], 2, FALSE)</f>
        <v>JPMorgan Chase &amp; Co.</v>
      </c>
      <c r="N953" t="str">
        <f>VLOOKUP(fact_daily_prices[[#This Row],[Ticker]], dim_company[], 3, FALSE)</f>
        <v>Financials</v>
      </c>
    </row>
    <row r="954" spans="1:14" x14ac:dyDescent="0.3">
      <c r="A954" s="1">
        <v>46134</v>
      </c>
      <c r="B954">
        <v>313.01998901367188</v>
      </c>
      <c r="C954">
        <v>315.14999389648438</v>
      </c>
      <c r="D954">
        <v>311.94000244140625</v>
      </c>
      <c r="E954">
        <v>314.85000610351563</v>
      </c>
      <c r="F954">
        <v>5545900</v>
      </c>
      <c r="G954" s="2" t="s">
        <v>13</v>
      </c>
      <c r="H954">
        <v>6.3862663488345461E-3</v>
      </c>
      <c r="I954">
        <v>156.45612438283237</v>
      </c>
      <c r="J954">
        <v>298.02711303710936</v>
      </c>
      <c r="K954">
        <v>1.4944628194084317</v>
      </c>
      <c r="L954">
        <v>0</v>
      </c>
      <c r="M954" t="str">
        <f>VLOOKUP(fact_daily_prices[[#This Row],[Ticker]], dim_company[], 2, FALSE)</f>
        <v>JPMorgan Chase &amp; Co.</v>
      </c>
      <c r="N954" t="str">
        <f>VLOOKUP(fact_daily_prices[[#This Row],[Ticker]], dim_company[], 3, FALSE)</f>
        <v>Financials</v>
      </c>
    </row>
    <row r="955" spans="1:14" x14ac:dyDescent="0.3">
      <c r="A955" s="1">
        <v>46135</v>
      </c>
      <c r="B955">
        <v>311.69000244140625</v>
      </c>
      <c r="C955">
        <v>314.989990234375</v>
      </c>
      <c r="D955">
        <v>308.8900146484375</v>
      </c>
      <c r="E955">
        <v>313.51998901367188</v>
      </c>
      <c r="F955">
        <v>6969700</v>
      </c>
      <c r="G955" s="2" t="s">
        <v>13</v>
      </c>
      <c r="H955">
        <v>-0.42488870326027328</v>
      </c>
      <c r="I955">
        <v>155.79135998477091</v>
      </c>
      <c r="J955">
        <v>297.92772460937499</v>
      </c>
      <c r="K955">
        <v>1.4945591708610748</v>
      </c>
      <c r="L955">
        <v>0</v>
      </c>
      <c r="M955" t="str">
        <f>VLOOKUP(fact_daily_prices[[#This Row],[Ticker]], dim_company[], 2, FALSE)</f>
        <v>JPMorgan Chase &amp; Co.</v>
      </c>
      <c r="N955" t="str">
        <f>VLOOKUP(fact_daily_prices[[#This Row],[Ticker]], dim_company[], 3, FALSE)</f>
        <v>Financials</v>
      </c>
    </row>
    <row r="956" spans="1:14" x14ac:dyDescent="0.3">
      <c r="A956" s="1">
        <v>46136</v>
      </c>
      <c r="B956">
        <v>308.27999877929688</v>
      </c>
      <c r="C956">
        <v>311.14999389648438</v>
      </c>
      <c r="D956">
        <v>307.8900146484375</v>
      </c>
      <c r="E956">
        <v>311.14999389648438</v>
      </c>
      <c r="F956">
        <v>5215300</v>
      </c>
      <c r="G956" s="2" t="s">
        <v>13</v>
      </c>
      <c r="H956">
        <v>-1.0940369069907585</v>
      </c>
      <c r="I956">
        <v>154.08694500863467</v>
      </c>
      <c r="J956">
        <v>297.90857604980471</v>
      </c>
      <c r="K956">
        <v>1.4746778608420164</v>
      </c>
      <c r="L956">
        <v>0</v>
      </c>
      <c r="M956" t="str">
        <f>VLOOKUP(fact_daily_prices[[#This Row],[Ticker]], dim_company[], 2, FALSE)</f>
        <v>JPMorgan Chase &amp; Co.</v>
      </c>
      <c r="N956" t="str">
        <f>VLOOKUP(fact_daily_prices[[#This Row],[Ticker]], dim_company[], 3, FALSE)</f>
        <v>Financials</v>
      </c>
    </row>
    <row r="957" spans="1:14" x14ac:dyDescent="0.3">
      <c r="A957" s="1">
        <v>46139</v>
      </c>
      <c r="B957">
        <v>311.6300048828125</v>
      </c>
      <c r="C957">
        <v>312.57998657226563</v>
      </c>
      <c r="D957">
        <v>306.8800048828125</v>
      </c>
      <c r="E957">
        <v>306.8800048828125</v>
      </c>
      <c r="F957">
        <v>7925300</v>
      </c>
      <c r="G957" s="2" t="s">
        <v>13</v>
      </c>
      <c r="H957">
        <v>1.0866764359610537</v>
      </c>
      <c r="I957">
        <v>155.76137153093578</v>
      </c>
      <c r="J957">
        <v>297.95642761230471</v>
      </c>
      <c r="K957">
        <v>1.481157767469649</v>
      </c>
      <c r="L957">
        <v>0</v>
      </c>
      <c r="M957" t="str">
        <f>VLOOKUP(fact_daily_prices[[#This Row],[Ticker]], dim_company[], 2, FALSE)</f>
        <v>JPMorgan Chase &amp; Co.</v>
      </c>
      <c r="N957" t="str">
        <f>VLOOKUP(fact_daily_prices[[#This Row],[Ticker]], dim_company[], 3, FALSE)</f>
        <v>Financials</v>
      </c>
    </row>
    <row r="958" spans="1:14" x14ac:dyDescent="0.3">
      <c r="A958" s="1">
        <v>46140</v>
      </c>
      <c r="B958">
        <v>311.45001220703125</v>
      </c>
      <c r="C958">
        <v>315.45001220703125</v>
      </c>
      <c r="D958">
        <v>311.17001342773438</v>
      </c>
      <c r="E958">
        <v>315.20001220703125</v>
      </c>
      <c r="F958">
        <v>7398600</v>
      </c>
      <c r="G958" s="2" t="s">
        <v>13</v>
      </c>
      <c r="H958">
        <v>-5.775845488592557E-2</v>
      </c>
      <c r="I958">
        <v>155.67140616943036</v>
      </c>
      <c r="J958">
        <v>298.16523803710936</v>
      </c>
      <c r="K958">
        <v>1.4782239563470165</v>
      </c>
      <c r="L958">
        <v>0</v>
      </c>
      <c r="M958" t="str">
        <f>VLOOKUP(fact_daily_prices[[#This Row],[Ticker]], dim_company[], 2, FALSE)</f>
        <v>JPMorgan Chase &amp; Co.</v>
      </c>
      <c r="N958" t="str">
        <f>VLOOKUP(fact_daily_prices[[#This Row],[Ticker]], dim_company[], 3, FALSE)</f>
        <v>Financials</v>
      </c>
    </row>
    <row r="959" spans="1:14" x14ac:dyDescent="0.3">
      <c r="A959" s="1">
        <v>46141</v>
      </c>
      <c r="B959">
        <v>309.25</v>
      </c>
      <c r="C959">
        <v>312.04998779296875</v>
      </c>
      <c r="D959">
        <v>307.29000854492188</v>
      </c>
      <c r="E959">
        <v>310.57000732421875</v>
      </c>
      <c r="F959">
        <v>8031800</v>
      </c>
      <c r="G959" s="2" t="s">
        <v>13</v>
      </c>
      <c r="H959">
        <v>-0.70637730640665808</v>
      </c>
      <c r="I959">
        <v>154.57177868368538</v>
      </c>
      <c r="J959">
        <v>298.23891418457032</v>
      </c>
      <c r="K959">
        <v>1.4898379499314072</v>
      </c>
      <c r="L959">
        <v>0</v>
      </c>
      <c r="M959" t="str">
        <f>VLOOKUP(fact_daily_prices[[#This Row],[Ticker]], dim_company[], 2, FALSE)</f>
        <v>JPMorgan Chase &amp; Co.</v>
      </c>
      <c r="N959" t="str">
        <f>VLOOKUP(fact_daily_prices[[#This Row],[Ticker]], dim_company[], 3, FALSE)</f>
        <v>Financials</v>
      </c>
    </row>
    <row r="960" spans="1:14" x14ac:dyDescent="0.3">
      <c r="A960" s="1">
        <v>46142</v>
      </c>
      <c r="B960">
        <v>313.23001098632813</v>
      </c>
      <c r="C960">
        <v>314.10000610351563</v>
      </c>
      <c r="D960">
        <v>306.57000732421875</v>
      </c>
      <c r="E960">
        <v>307.07000732421875</v>
      </c>
      <c r="F960">
        <v>8865400</v>
      </c>
      <c r="G960" s="2" t="s">
        <v>13</v>
      </c>
      <c r="H960">
        <v>1.2869881928304405</v>
      </c>
      <c r="I960">
        <v>156.5610992247924</v>
      </c>
      <c r="J960">
        <v>298.35935852050784</v>
      </c>
      <c r="K960">
        <v>1.5011894120070945</v>
      </c>
      <c r="L960">
        <v>0</v>
      </c>
      <c r="M960" t="str">
        <f>VLOOKUP(fact_daily_prices[[#This Row],[Ticker]], dim_company[], 2, FALSE)</f>
        <v>JPMorgan Chase &amp; Co.</v>
      </c>
      <c r="N960" t="str">
        <f>VLOOKUP(fact_daily_prices[[#This Row],[Ticker]], dim_company[], 3, FALSE)</f>
        <v>Financials</v>
      </c>
    </row>
    <row r="961" spans="1:14" x14ac:dyDescent="0.3">
      <c r="A961" s="1">
        <v>46143</v>
      </c>
      <c r="B961">
        <v>312.47000122070313</v>
      </c>
      <c r="C961">
        <v>316.07998657226563</v>
      </c>
      <c r="D961">
        <v>311.82998657226563</v>
      </c>
      <c r="E961">
        <v>313.95001220703125</v>
      </c>
      <c r="F961">
        <v>6135400</v>
      </c>
      <c r="G961" s="2" t="s">
        <v>13</v>
      </c>
      <c r="H961">
        <v>-0.24263631803089769</v>
      </c>
      <c r="I961">
        <v>156.18122513816465</v>
      </c>
      <c r="J961">
        <v>298.47912841796875</v>
      </c>
      <c r="K961">
        <v>1.5040556238490623</v>
      </c>
      <c r="L961">
        <v>0</v>
      </c>
      <c r="M961" t="str">
        <f>VLOOKUP(fact_daily_prices[[#This Row],[Ticker]], dim_company[], 2, FALSE)</f>
        <v>JPMorgan Chase &amp; Co.</v>
      </c>
      <c r="N961" t="str">
        <f>VLOOKUP(fact_daily_prices[[#This Row],[Ticker]], dim_company[], 3, FALSE)</f>
        <v>Financials</v>
      </c>
    </row>
    <row r="962" spans="1:14" x14ac:dyDescent="0.3">
      <c r="A962" s="1">
        <v>46146</v>
      </c>
      <c r="B962">
        <v>307.64999389648438</v>
      </c>
      <c r="C962">
        <v>310.64999389648438</v>
      </c>
      <c r="D962">
        <v>306.510009765625</v>
      </c>
      <c r="E962">
        <v>310.6199951171875</v>
      </c>
      <c r="F962">
        <v>7338200</v>
      </c>
      <c r="G962" s="2" t="s">
        <v>13</v>
      </c>
      <c r="H962">
        <v>-1.5425504225649811</v>
      </c>
      <c r="I962">
        <v>153.77205098982873</v>
      </c>
      <c r="J962">
        <v>298.44797668457034</v>
      </c>
      <c r="K962">
        <v>1.5350929828571311</v>
      </c>
      <c r="L962">
        <v>0</v>
      </c>
      <c r="M962" t="str">
        <f>VLOOKUP(fact_daily_prices[[#This Row],[Ticker]], dim_company[], 2, FALSE)</f>
        <v>JPMorgan Chase &amp; Co.</v>
      </c>
      <c r="N962" t="str">
        <f>VLOOKUP(fact_daily_prices[[#This Row],[Ticker]], dim_company[], 3, FALSE)</f>
        <v>Financials</v>
      </c>
    </row>
    <row r="963" spans="1:14" x14ac:dyDescent="0.3">
      <c r="A963" s="1">
        <v>46147</v>
      </c>
      <c r="B963">
        <v>309.39999389648438</v>
      </c>
      <c r="C963">
        <v>310.97000122070313</v>
      </c>
      <c r="D963">
        <v>306.79998779296875</v>
      </c>
      <c r="E963">
        <v>307.70999145507813</v>
      </c>
      <c r="F963">
        <v>6316800</v>
      </c>
      <c r="G963" s="2" t="s">
        <v>13</v>
      </c>
      <c r="H963">
        <v>0.56882822516448606</v>
      </c>
      <c r="I963">
        <v>154.64674981827321</v>
      </c>
      <c r="J963">
        <v>298.7128887939453</v>
      </c>
      <c r="K963">
        <v>1.5267980618304051</v>
      </c>
      <c r="L963">
        <v>0</v>
      </c>
      <c r="M963" t="str">
        <f>VLOOKUP(fact_daily_prices[[#This Row],[Ticker]], dim_company[], 2, FALSE)</f>
        <v>JPMorgan Chase &amp; Co.</v>
      </c>
      <c r="N963" t="str">
        <f>VLOOKUP(fact_daily_prices[[#This Row],[Ticker]], dim_company[], 3, FALSE)</f>
        <v>Financials</v>
      </c>
    </row>
    <row r="964" spans="1:14" x14ac:dyDescent="0.3">
      <c r="A964" s="1">
        <v>46148</v>
      </c>
      <c r="B964">
        <v>314.89999389648438</v>
      </c>
      <c r="C964">
        <v>316.260009765625</v>
      </c>
      <c r="D964">
        <v>311.35000610351563</v>
      </c>
      <c r="E964">
        <v>311.45001220703125</v>
      </c>
      <c r="F964">
        <v>8629500</v>
      </c>
      <c r="G964" s="2" t="s">
        <v>13</v>
      </c>
      <c r="H964">
        <v>1.7776341656425831</v>
      </c>
      <c r="I964">
        <v>157.39580327909863</v>
      </c>
      <c r="J964">
        <v>299.09516418457031</v>
      </c>
      <c r="K964">
        <v>1.5485874243628504</v>
      </c>
      <c r="L964">
        <v>0</v>
      </c>
      <c r="M964" t="str">
        <f>VLOOKUP(fact_daily_prices[[#This Row],[Ticker]], dim_company[], 2, FALSE)</f>
        <v>JPMorgan Chase &amp; Co.</v>
      </c>
      <c r="N964" t="str">
        <f>VLOOKUP(fact_daily_prices[[#This Row],[Ticker]], dim_company[], 3, FALSE)</f>
        <v>Financials</v>
      </c>
    </row>
    <row r="965" spans="1:14" x14ac:dyDescent="0.3">
      <c r="A965" s="1">
        <v>46149</v>
      </c>
      <c r="B965">
        <v>306.26998901367188</v>
      </c>
      <c r="C965">
        <v>316.29998779296875</v>
      </c>
      <c r="D965">
        <v>306.1400146484375</v>
      </c>
      <c r="E965">
        <v>314.64999389648438</v>
      </c>
      <c r="F965">
        <v>8359600</v>
      </c>
      <c r="G965" s="2" t="s">
        <v>13</v>
      </c>
      <c r="H965">
        <v>-2.7405541600770578</v>
      </c>
      <c r="I965">
        <v>153.08228604454661</v>
      </c>
      <c r="J965">
        <v>299.18545043945312</v>
      </c>
      <c r="K965">
        <v>1.6357813201065128</v>
      </c>
      <c r="L965">
        <v>0</v>
      </c>
      <c r="M965" t="str">
        <f>VLOOKUP(fact_daily_prices[[#This Row],[Ticker]], dim_company[], 2, FALSE)</f>
        <v>JPMorgan Chase &amp; Co.</v>
      </c>
      <c r="N965" t="str">
        <f>VLOOKUP(fact_daily_prices[[#This Row],[Ticker]], dim_company[], 3, FALSE)</f>
        <v>Financials</v>
      </c>
    </row>
    <row r="966" spans="1:14" x14ac:dyDescent="0.3">
      <c r="A966" s="1">
        <v>46150</v>
      </c>
      <c r="B966">
        <v>302.10000610351563</v>
      </c>
      <c r="C966">
        <v>308.989990234375</v>
      </c>
      <c r="D966">
        <v>300.5</v>
      </c>
      <c r="E966">
        <v>308.25</v>
      </c>
      <c r="F966">
        <v>9464300</v>
      </c>
      <c r="G966" s="2" t="s">
        <v>13</v>
      </c>
      <c r="H966">
        <v>-1.3615382047668101</v>
      </c>
      <c r="I966">
        <v>150.99801223531969</v>
      </c>
      <c r="J966">
        <v>299.13602478027343</v>
      </c>
      <c r="K966">
        <v>1.6385220395636984</v>
      </c>
      <c r="L966">
        <v>0</v>
      </c>
      <c r="M966" t="str">
        <f>VLOOKUP(fact_daily_prices[[#This Row],[Ticker]], dim_company[], 2, FALSE)</f>
        <v>JPMorgan Chase &amp; Co.</v>
      </c>
      <c r="N966" t="str">
        <f>VLOOKUP(fact_daily_prices[[#This Row],[Ticker]], dim_company[], 3, FALSE)</f>
        <v>Financials</v>
      </c>
    </row>
    <row r="967" spans="1:14" x14ac:dyDescent="0.3">
      <c r="A967" s="1">
        <v>46153</v>
      </c>
      <c r="B967">
        <v>300</v>
      </c>
      <c r="C967">
        <v>303.19000244140625</v>
      </c>
      <c r="D967">
        <v>298.8800048828125</v>
      </c>
      <c r="E967">
        <v>302.10000610351563</v>
      </c>
      <c r="F967">
        <v>9512000</v>
      </c>
      <c r="G967" s="2" t="s">
        <v>13</v>
      </c>
      <c r="H967">
        <v>-0.69513606788741411</v>
      </c>
      <c r="I967">
        <v>149.94837059047893</v>
      </c>
      <c r="J967">
        <v>299.16060546875002</v>
      </c>
      <c r="K967">
        <v>1.5349880486694096</v>
      </c>
      <c r="L967">
        <v>0</v>
      </c>
      <c r="M967" t="str">
        <f>VLOOKUP(fact_daily_prices[[#This Row],[Ticker]], dim_company[], 2, FALSE)</f>
        <v>JPMorgan Chase &amp; Co.</v>
      </c>
      <c r="N967" t="str">
        <f>VLOOKUP(fact_daily_prices[[#This Row],[Ticker]], dim_company[], 3, FALSE)</f>
        <v>Financials</v>
      </c>
    </row>
    <row r="968" spans="1:14" x14ac:dyDescent="0.3">
      <c r="A968" s="1">
        <v>46154</v>
      </c>
      <c r="B968">
        <v>304.8800048828125</v>
      </c>
      <c r="C968">
        <v>306.05999755859369</v>
      </c>
      <c r="D968">
        <v>295.54998779296875</v>
      </c>
      <c r="E968">
        <v>300.01998901367188</v>
      </c>
      <c r="F968">
        <v>9498200</v>
      </c>
      <c r="G968" s="2" t="s">
        <v>13</v>
      </c>
      <c r="H968">
        <v>1.6266682942708277</v>
      </c>
      <c r="I968">
        <v>152.38753319264998</v>
      </c>
      <c r="J968">
        <v>299.33730712890628</v>
      </c>
      <c r="K968">
        <v>1.5561616012921133</v>
      </c>
      <c r="L968">
        <v>0</v>
      </c>
      <c r="M968" t="str">
        <f>VLOOKUP(fact_daily_prices[[#This Row],[Ticker]], dim_company[], 2, FALSE)</f>
        <v>JPMorgan Chase &amp; Co.</v>
      </c>
      <c r="N968" t="str">
        <f>VLOOKUP(fact_daily_prices[[#This Row],[Ticker]], dim_company[], 3, FALSE)</f>
        <v>Financials</v>
      </c>
    </row>
    <row r="969" spans="1:14" x14ac:dyDescent="0.3">
      <c r="A969" s="1">
        <v>46155</v>
      </c>
      <c r="B969">
        <v>300.25</v>
      </c>
      <c r="C969">
        <v>303</v>
      </c>
      <c r="D969">
        <v>300.07000732421875</v>
      </c>
      <c r="E969">
        <v>302.26998901367188</v>
      </c>
      <c r="F969">
        <v>7709500</v>
      </c>
      <c r="G969" s="2" t="s">
        <v>13</v>
      </c>
      <c r="H969">
        <v>-1.5186318579967661</v>
      </c>
      <c r="I969">
        <v>150.073327565971</v>
      </c>
      <c r="J969">
        <v>299.36768371582031</v>
      </c>
      <c r="K969">
        <v>1.4504616049310877</v>
      </c>
      <c r="L969">
        <v>0</v>
      </c>
      <c r="M969" t="str">
        <f>VLOOKUP(fact_daily_prices[[#This Row],[Ticker]], dim_company[], 2, FALSE)</f>
        <v>JPMorgan Chase &amp; Co.</v>
      </c>
      <c r="N969" t="str">
        <f>VLOOKUP(fact_daily_prices[[#This Row],[Ticker]], dim_company[], 3, FALSE)</f>
        <v>Financials</v>
      </c>
    </row>
    <row r="970" spans="1:14" x14ac:dyDescent="0.3">
      <c r="A970" s="1">
        <v>46156</v>
      </c>
      <c r="B970">
        <v>299.91000366210938</v>
      </c>
      <c r="C970">
        <v>303.75</v>
      </c>
      <c r="D970">
        <v>298.80999755859369</v>
      </c>
      <c r="E970">
        <v>302.25</v>
      </c>
      <c r="F970">
        <v>7364300</v>
      </c>
      <c r="G970" s="2" t="s">
        <v>13</v>
      </c>
      <c r="H970">
        <v>-0.11323774784034457</v>
      </c>
      <c r="I970">
        <v>149.90338790972623</v>
      </c>
      <c r="J970">
        <v>299.4085711669922</v>
      </c>
      <c r="K970">
        <v>1.4496570075984192</v>
      </c>
      <c r="L970">
        <v>0</v>
      </c>
      <c r="M970" t="str">
        <f>VLOOKUP(fact_daily_prices[[#This Row],[Ticker]], dim_company[], 2, FALSE)</f>
        <v>JPMorgan Chase &amp; Co.</v>
      </c>
      <c r="N970" t="str">
        <f>VLOOKUP(fact_daily_prices[[#This Row],[Ticker]], dim_company[], 3, FALSE)</f>
        <v>Financials</v>
      </c>
    </row>
    <row r="971" spans="1:14" x14ac:dyDescent="0.3">
      <c r="A971" s="1">
        <v>46157</v>
      </c>
      <c r="B971">
        <v>297.80999755859369</v>
      </c>
      <c r="C971">
        <v>300.79000854492188</v>
      </c>
      <c r="D971">
        <v>296.45001220703125</v>
      </c>
      <c r="E971">
        <v>300.20999145507813</v>
      </c>
      <c r="F971">
        <v>8699300</v>
      </c>
      <c r="G971" s="2" t="s">
        <v>13</v>
      </c>
      <c r="H971">
        <v>-0.70021208958459535</v>
      </c>
      <c r="I971">
        <v>148.85374626488544</v>
      </c>
      <c r="J971">
        <v>299.52366455078123</v>
      </c>
      <c r="K971">
        <v>1.4553801374461925</v>
      </c>
      <c r="L971">
        <v>0</v>
      </c>
      <c r="M971" t="str">
        <f>VLOOKUP(fact_daily_prices[[#This Row],[Ticker]], dim_company[], 2, FALSE)</f>
        <v>JPMorgan Chase &amp; Co.</v>
      </c>
      <c r="N971" t="str">
        <f>VLOOKUP(fact_daily_prices[[#This Row],[Ticker]], dim_company[], 3, FALSE)</f>
        <v>Financials</v>
      </c>
    </row>
    <row r="972" spans="1:14" x14ac:dyDescent="0.3">
      <c r="A972" s="1">
        <v>46160</v>
      </c>
      <c r="B972">
        <v>300.73001098632813</v>
      </c>
      <c r="C972">
        <v>301.260009765625</v>
      </c>
      <c r="D972">
        <v>297.22000122070313</v>
      </c>
      <c r="E972">
        <v>298</v>
      </c>
      <c r="F972">
        <v>7546300</v>
      </c>
      <c r="G972" s="2" t="s">
        <v>13</v>
      </c>
      <c r="H972">
        <v>0.98049543389151506</v>
      </c>
      <c r="I972">
        <v>150.31325045018912</v>
      </c>
      <c r="J972">
        <v>299.77814331054685</v>
      </c>
      <c r="K972">
        <v>1.4588686291028177</v>
      </c>
      <c r="L972">
        <v>0</v>
      </c>
      <c r="M972" t="str">
        <f>VLOOKUP(fact_daily_prices[[#This Row],[Ticker]], dim_company[], 2, FALSE)</f>
        <v>JPMorgan Chase &amp; Co.</v>
      </c>
      <c r="N972" t="str">
        <f>VLOOKUP(fact_daily_prices[[#This Row],[Ticker]], dim_company[], 3, FALSE)</f>
        <v>Financials</v>
      </c>
    </row>
    <row r="973" spans="1:14" x14ac:dyDescent="0.3">
      <c r="A973" s="1">
        <v>46161</v>
      </c>
      <c r="B973">
        <v>295.70001220703125</v>
      </c>
      <c r="C973">
        <v>301.79000854492188</v>
      </c>
      <c r="D973">
        <v>295.260009765625</v>
      </c>
      <c r="E973">
        <v>301.08999633789063</v>
      </c>
      <c r="F973">
        <v>8066900</v>
      </c>
      <c r="G973" s="2" t="s">
        <v>13</v>
      </c>
      <c r="H973">
        <v>-1.6725962143916306</v>
      </c>
      <c r="I973">
        <v>147.79911671343024</v>
      </c>
      <c r="J973">
        <v>299.92326660156249</v>
      </c>
      <c r="K973">
        <v>1.4881658966153968</v>
      </c>
      <c r="L973">
        <v>0</v>
      </c>
      <c r="M973" t="str">
        <f>VLOOKUP(fact_daily_prices[[#This Row],[Ticker]], dim_company[], 2, FALSE)</f>
        <v>JPMorgan Chase &amp; Co.</v>
      </c>
      <c r="N973" t="str">
        <f>VLOOKUP(fact_daily_prices[[#This Row],[Ticker]], dim_company[], 3, FALSE)</f>
        <v>Financials</v>
      </c>
    </row>
    <row r="974" spans="1:14" x14ac:dyDescent="0.3">
      <c r="A974" s="1">
        <v>46162</v>
      </c>
      <c r="B974">
        <v>301.98001098632813</v>
      </c>
      <c r="C974">
        <v>302.92999267578125</v>
      </c>
      <c r="D974">
        <v>293.67001342773438</v>
      </c>
      <c r="E974">
        <v>296.70001220703125</v>
      </c>
      <c r="F974">
        <v>9327000</v>
      </c>
      <c r="G974" s="2" t="s">
        <v>13</v>
      </c>
      <c r="H974">
        <v>2.1237735948756109</v>
      </c>
      <c r="I974">
        <v>150.93803532764943</v>
      </c>
      <c r="J974">
        <v>300.21766906738281</v>
      </c>
      <c r="K974">
        <v>1.5382536649526823</v>
      </c>
      <c r="L974">
        <v>0</v>
      </c>
      <c r="M974" t="str">
        <f>VLOOKUP(fact_daily_prices[[#This Row],[Ticker]], dim_company[], 2, FALSE)</f>
        <v>JPMorgan Chase &amp; Co.</v>
      </c>
      <c r="N974" t="str">
        <f>VLOOKUP(fact_daily_prices[[#This Row],[Ticker]], dim_company[], 3, FALSE)</f>
        <v>Financials</v>
      </c>
    </row>
    <row r="975" spans="1:14" x14ac:dyDescent="0.3">
      <c r="A975" s="1">
        <v>46163</v>
      </c>
      <c r="B975">
        <v>303</v>
      </c>
      <c r="C975">
        <v>303.98001098632813</v>
      </c>
      <c r="D975">
        <v>300.20999145507813</v>
      </c>
      <c r="E975">
        <v>301.23001098632813</v>
      </c>
      <c r="F975">
        <v>7874400</v>
      </c>
      <c r="G975" s="2" t="s">
        <v>13</v>
      </c>
      <c r="H975">
        <v>0.33776706290604697</v>
      </c>
      <c r="I975">
        <v>151.44785429638372</v>
      </c>
      <c r="J975">
        <v>300.55654846191408</v>
      </c>
      <c r="K975">
        <v>1.3103854300739322</v>
      </c>
      <c r="L975">
        <v>0</v>
      </c>
      <c r="M975" t="str">
        <f>VLOOKUP(fact_daily_prices[[#This Row],[Ticker]], dim_company[], 2, FALSE)</f>
        <v>JPMorgan Chase &amp; Co.</v>
      </c>
      <c r="N975" t="str">
        <f>VLOOKUP(fact_daily_prices[[#This Row],[Ticker]], dim_company[], 3, FALSE)</f>
        <v>Financials</v>
      </c>
    </row>
    <row r="976" spans="1:14" x14ac:dyDescent="0.3">
      <c r="A976" s="1">
        <v>46164</v>
      </c>
      <c r="B976">
        <v>306.3800048828125</v>
      </c>
      <c r="C976">
        <v>307.45001220703125</v>
      </c>
      <c r="D976">
        <v>303.83999633789063</v>
      </c>
      <c r="E976">
        <v>304.67999267578125</v>
      </c>
      <c r="F976">
        <v>5973900</v>
      </c>
      <c r="G976" s="2" t="s">
        <v>13</v>
      </c>
      <c r="H976">
        <v>1.1155131626443993</v>
      </c>
      <c r="I976">
        <v>153.13727504560237</v>
      </c>
      <c r="J976">
        <v>301.05515563964843</v>
      </c>
      <c r="K976">
        <v>1.3280222187327633</v>
      </c>
      <c r="L976">
        <v>0</v>
      </c>
      <c r="M976" t="str">
        <f>VLOOKUP(fact_daily_prices[[#This Row],[Ticker]], dim_company[], 2, FALSE)</f>
        <v>JPMorgan Chase &amp; Co.</v>
      </c>
      <c r="N976" t="str">
        <f>VLOOKUP(fact_daily_prices[[#This Row],[Ticker]], dim_company[], 3, FALSE)</f>
        <v>Financials</v>
      </c>
    </row>
    <row r="977" spans="1:14" x14ac:dyDescent="0.3">
      <c r="A977" s="1">
        <v>46168</v>
      </c>
      <c r="B977">
        <v>306.739990234375</v>
      </c>
      <c r="C977">
        <v>309.92999267578125</v>
      </c>
      <c r="D977">
        <v>305.44000244140625</v>
      </c>
      <c r="E977">
        <v>308.489990234375</v>
      </c>
      <c r="F977">
        <v>7725400</v>
      </c>
      <c r="G977" s="2" t="s">
        <v>13</v>
      </c>
      <c r="H977">
        <v>0.11749635936593172</v>
      </c>
      <c r="I977">
        <v>153.31720576861315</v>
      </c>
      <c r="J977">
        <v>301.55001892089842</v>
      </c>
      <c r="K977">
        <v>1.3070298146122694</v>
      </c>
      <c r="L977">
        <v>0</v>
      </c>
      <c r="M977" t="str">
        <f>VLOOKUP(fact_daily_prices[[#This Row],[Ticker]], dim_company[], 2, FALSE)</f>
        <v>JPMorgan Chase &amp; Co.</v>
      </c>
      <c r="N977" t="str">
        <f>VLOOKUP(fact_daily_prices[[#This Row],[Ticker]], dim_company[], 3, FALSE)</f>
        <v>Financials</v>
      </c>
    </row>
    <row r="978" spans="1:14" x14ac:dyDescent="0.3">
      <c r="A978" s="1">
        <v>46169</v>
      </c>
      <c r="B978">
        <v>299.27999877929688</v>
      </c>
      <c r="C978">
        <v>305.89999389648438</v>
      </c>
      <c r="D978">
        <v>295.75</v>
      </c>
      <c r="E978">
        <v>305</v>
      </c>
      <c r="F978">
        <v>11779200</v>
      </c>
      <c r="G978" s="2" t="s">
        <v>13</v>
      </c>
      <c r="H978">
        <v>-2.4320244156551207</v>
      </c>
      <c r="I978">
        <v>149.58849389092029</v>
      </c>
      <c r="J978">
        <v>301.84155944824221</v>
      </c>
      <c r="K978">
        <v>1.3763606408615083</v>
      </c>
      <c r="L978">
        <v>0</v>
      </c>
      <c r="M978" t="str">
        <f>VLOOKUP(fact_daily_prices[[#This Row],[Ticker]], dim_company[], 2, FALSE)</f>
        <v>JPMorgan Chase &amp; Co.</v>
      </c>
      <c r="N978" t="str">
        <f>VLOOKUP(fact_daily_prices[[#This Row],[Ticker]], dim_company[], 3, FALSE)</f>
        <v>Financials</v>
      </c>
    </row>
    <row r="979" spans="1:14" x14ac:dyDescent="0.3">
      <c r="A979" s="1">
        <v>46170</v>
      </c>
      <c r="B979">
        <v>296.73001098632813</v>
      </c>
      <c r="C979">
        <v>301.07000732421875</v>
      </c>
      <c r="D979">
        <v>295.75</v>
      </c>
      <c r="E979">
        <v>297.57000732421875</v>
      </c>
      <c r="F979">
        <v>9757700</v>
      </c>
      <c r="G979" s="2" t="s">
        <v>13</v>
      </c>
      <c r="H979">
        <v>-0.85204083245443707</v>
      </c>
      <c r="I979">
        <v>148.31393884231605</v>
      </c>
      <c r="J979">
        <v>302.0675744628906</v>
      </c>
      <c r="K979">
        <v>1.3123828079854898</v>
      </c>
      <c r="L979">
        <v>0</v>
      </c>
      <c r="M979" t="str">
        <f>VLOOKUP(fact_daily_prices[[#This Row],[Ticker]], dim_company[], 2, FALSE)</f>
        <v>JPMorgan Chase &amp; Co.</v>
      </c>
      <c r="N979" t="str">
        <f>VLOOKUP(fact_daily_prices[[#This Row],[Ticker]], dim_company[], 3, FALSE)</f>
        <v>Financials</v>
      </c>
    </row>
    <row r="980" spans="1:14" x14ac:dyDescent="0.3">
      <c r="A980" s="1">
        <v>46171</v>
      </c>
      <c r="B980">
        <v>299.30999755859369</v>
      </c>
      <c r="C980">
        <v>299.8800048828125</v>
      </c>
      <c r="D980">
        <v>295.20001220703125</v>
      </c>
      <c r="E980">
        <v>296.39999389648438</v>
      </c>
      <c r="F980">
        <v>13969000</v>
      </c>
      <c r="G980" s="2" t="s">
        <v>13</v>
      </c>
      <c r="H980">
        <v>0.86947274516984141</v>
      </c>
      <c r="I980">
        <v>149.60348811783783</v>
      </c>
      <c r="J980">
        <v>302.32827636718753</v>
      </c>
      <c r="K980">
        <v>1.2983781501305147</v>
      </c>
      <c r="L980">
        <v>0</v>
      </c>
      <c r="M980" t="str">
        <f>VLOOKUP(fact_daily_prices[[#This Row],[Ticker]], dim_company[], 2, FALSE)</f>
        <v>JPMorgan Chase &amp; Co.</v>
      </c>
      <c r="N980" t="str">
        <f>VLOOKUP(fact_daily_prices[[#This Row],[Ticker]], dim_company[], 3, FALSE)</f>
        <v>Financials</v>
      </c>
    </row>
    <row r="981" spans="1:14" x14ac:dyDescent="0.3">
      <c r="A981" s="1">
        <v>46174</v>
      </c>
      <c r="B981">
        <v>296.57998657226563</v>
      </c>
      <c r="C981">
        <v>299.54998779296875</v>
      </c>
      <c r="D981">
        <v>295.26998901367188</v>
      </c>
      <c r="E981">
        <v>297.69000244140625</v>
      </c>
      <c r="F981">
        <v>7930000</v>
      </c>
      <c r="G981" s="2" t="s">
        <v>13</v>
      </c>
      <c r="H981">
        <v>-0.91210150298892678</v>
      </c>
      <c r="I981">
        <v>148.23895245419118</v>
      </c>
      <c r="J981">
        <v>302.52980102539061</v>
      </c>
      <c r="K981">
        <v>1.3058455822930486</v>
      </c>
      <c r="L981">
        <v>0</v>
      </c>
      <c r="M981" t="str">
        <f>VLOOKUP(fact_daily_prices[[#This Row],[Ticker]], dim_company[], 2, FALSE)</f>
        <v>JPMorgan Chase &amp; Co.</v>
      </c>
      <c r="N981" t="str">
        <f>VLOOKUP(fact_daily_prices[[#This Row],[Ticker]], dim_company[], 3, FALSE)</f>
        <v>Financials</v>
      </c>
    </row>
    <row r="982" spans="1:14" x14ac:dyDescent="0.3">
      <c r="A982" s="1">
        <v>46175</v>
      </c>
      <c r="B982">
        <v>300.95999145507813</v>
      </c>
      <c r="C982">
        <v>302.07000732421875</v>
      </c>
      <c r="D982">
        <v>295.26998901367188</v>
      </c>
      <c r="E982">
        <v>296.5</v>
      </c>
      <c r="F982">
        <v>8296200</v>
      </c>
      <c r="G982" s="2" t="s">
        <v>13</v>
      </c>
      <c r="H982">
        <v>1.4768376428344165</v>
      </c>
      <c r="I982">
        <v>150.42820110537809</v>
      </c>
      <c r="J982">
        <v>302.846982421875</v>
      </c>
      <c r="K982">
        <v>1.269817726695267</v>
      </c>
      <c r="L982">
        <v>0</v>
      </c>
      <c r="M982" t="str">
        <f>VLOOKUP(fact_daily_prices[[#This Row],[Ticker]], dim_company[], 2, FALSE)</f>
        <v>JPMorgan Chase &amp; Co.</v>
      </c>
      <c r="N982" t="str">
        <f>VLOOKUP(fact_daily_prices[[#This Row],[Ticker]], dim_company[], 3, FALSE)</f>
        <v>Financials</v>
      </c>
    </row>
    <row r="983" spans="1:14" x14ac:dyDescent="0.3">
      <c r="A983" s="1">
        <v>46176</v>
      </c>
      <c r="B983">
        <v>300.85000610351563</v>
      </c>
      <c r="C983">
        <v>301.95999145507813</v>
      </c>
      <c r="D983">
        <v>296.55999755859369</v>
      </c>
      <c r="E983">
        <v>299.92001342773438</v>
      </c>
      <c r="F983">
        <v>7003900</v>
      </c>
      <c r="G983" s="2" t="s">
        <v>13</v>
      </c>
      <c r="H983">
        <v>-3.6544841402585959E-2</v>
      </c>
      <c r="I983">
        <v>150.37322735785935</v>
      </c>
      <c r="J983">
        <v>303.09530517578128</v>
      </c>
      <c r="K983">
        <v>1.2530132053531418</v>
      </c>
      <c r="L983">
        <v>0</v>
      </c>
      <c r="M983" t="str">
        <f>VLOOKUP(fact_daily_prices[[#This Row],[Ticker]], dim_company[], 2, FALSE)</f>
        <v>JPMorgan Chase &amp; Co.</v>
      </c>
      <c r="N983" t="str">
        <f>VLOOKUP(fact_daily_prices[[#This Row],[Ticker]], dim_company[], 3, FALSE)</f>
        <v>Financials</v>
      </c>
    </row>
    <row r="984" spans="1:14" x14ac:dyDescent="0.3">
      <c r="A984" s="1">
        <v>46177</v>
      </c>
      <c r="B984">
        <v>310.8900146484375</v>
      </c>
      <c r="C984">
        <v>312.91000366210938</v>
      </c>
      <c r="D984">
        <v>304.44000244140625</v>
      </c>
      <c r="E984">
        <v>305.739990234375</v>
      </c>
      <c r="F984">
        <v>10345200</v>
      </c>
      <c r="G984" s="2" t="s">
        <v>13</v>
      </c>
      <c r="H984">
        <v>3.3372140073905543</v>
      </c>
      <c r="I984">
        <v>155.39150376461112</v>
      </c>
      <c r="J984">
        <v>303.49488159179685</v>
      </c>
      <c r="K984">
        <v>1.4035209187896627</v>
      </c>
      <c r="L984">
        <v>0</v>
      </c>
      <c r="M984" t="str">
        <f>VLOOKUP(fact_daily_prices[[#This Row],[Ticker]], dim_company[], 2, FALSE)</f>
        <v>JPMorgan Chase &amp; Co.</v>
      </c>
      <c r="N984" t="str">
        <f>VLOOKUP(fact_daily_prices[[#This Row],[Ticker]], dim_company[], 3, FALSE)</f>
        <v>Financials</v>
      </c>
    </row>
    <row r="985" spans="1:14" x14ac:dyDescent="0.3">
      <c r="A985" s="1">
        <v>46178</v>
      </c>
      <c r="B985">
        <v>312.3699951171875</v>
      </c>
      <c r="C985">
        <v>315</v>
      </c>
      <c r="D985">
        <v>309.60000610351563</v>
      </c>
      <c r="E985">
        <v>314.29000854492188</v>
      </c>
      <c r="F985">
        <v>9118800</v>
      </c>
      <c r="G985" s="2" t="s">
        <v>13</v>
      </c>
      <c r="H985">
        <v>0.47604631831730249</v>
      </c>
      <c r="I985">
        <v>156.13123929726044</v>
      </c>
      <c r="J985">
        <v>303.86396484375001</v>
      </c>
      <c r="K985">
        <v>1.4040479225179825</v>
      </c>
      <c r="L985">
        <v>0</v>
      </c>
      <c r="M985" t="str">
        <f>VLOOKUP(fact_daily_prices[[#This Row],[Ticker]], dim_company[], 2, FALSE)</f>
        <v>JPMorgan Chase &amp; Co.</v>
      </c>
      <c r="N985" t="str">
        <f>VLOOKUP(fact_daily_prices[[#This Row],[Ticker]], dim_company[], 3, FALSE)</f>
        <v>Financials</v>
      </c>
    </row>
    <row r="986" spans="1:14" x14ac:dyDescent="0.3">
      <c r="A986" s="1">
        <v>46181</v>
      </c>
      <c r="B986">
        <v>311.1099853515625</v>
      </c>
      <c r="C986">
        <v>316.29998779296875</v>
      </c>
      <c r="D986">
        <v>310.77999877929688</v>
      </c>
      <c r="E986">
        <v>313.25</v>
      </c>
      <c r="F986">
        <v>6827000</v>
      </c>
      <c r="G986" s="2" t="s">
        <v>13</v>
      </c>
      <c r="H986">
        <v>-0.40337093361105802</v>
      </c>
      <c r="I986">
        <v>155.50145125964855</v>
      </c>
      <c r="J986">
        <v>304.28266540527346</v>
      </c>
      <c r="K986">
        <v>1.3908057311288236</v>
      </c>
      <c r="L986">
        <v>0</v>
      </c>
      <c r="M986" t="str">
        <f>VLOOKUP(fact_daily_prices[[#This Row],[Ticker]], dim_company[], 2, FALSE)</f>
        <v>JPMorgan Chase &amp; Co.</v>
      </c>
      <c r="N986" t="str">
        <f>VLOOKUP(fact_daily_prices[[#This Row],[Ticker]], dim_company[], 3, FALSE)</f>
        <v>Financials</v>
      </c>
    </row>
    <row r="987" spans="1:14" x14ac:dyDescent="0.3">
      <c r="A987" s="1">
        <v>46182</v>
      </c>
      <c r="B987">
        <v>312.70001220703125</v>
      </c>
      <c r="C987">
        <v>316.42001342773438</v>
      </c>
      <c r="D987">
        <v>309.010009765625</v>
      </c>
      <c r="E987">
        <v>313.510009765625</v>
      </c>
      <c r="F987">
        <v>11594600</v>
      </c>
      <c r="G987" s="2" t="s">
        <v>13</v>
      </c>
      <c r="H987">
        <v>0.5110819100428321</v>
      </c>
      <c r="I987">
        <v>156.2961910468907</v>
      </c>
      <c r="J987">
        <v>304.90866821289063</v>
      </c>
      <c r="K987">
        <v>1.3797925062581138</v>
      </c>
      <c r="L987">
        <v>0</v>
      </c>
      <c r="M987" t="str">
        <f>VLOOKUP(fact_daily_prices[[#This Row],[Ticker]], dim_company[], 2, FALSE)</f>
        <v>JPMorgan Chase &amp; Co.</v>
      </c>
      <c r="N987" t="str">
        <f>VLOOKUP(fact_daily_prices[[#This Row],[Ticker]], dim_company[], 3, FALSE)</f>
        <v>Financials</v>
      </c>
    </row>
    <row r="988" spans="1:14" x14ac:dyDescent="0.3">
      <c r="A988" s="1">
        <v>46183</v>
      </c>
      <c r="B988">
        <v>309.1400146484375</v>
      </c>
      <c r="C988">
        <v>314.75</v>
      </c>
      <c r="D988">
        <v>309.02999877929688</v>
      </c>
      <c r="E988">
        <v>312.55999755859369</v>
      </c>
      <c r="F988">
        <v>7446200</v>
      </c>
      <c r="G988" s="2" t="s">
        <v>13</v>
      </c>
      <c r="H988">
        <v>-1.1384705531244932</v>
      </c>
      <c r="I988">
        <v>154.51680493616664</v>
      </c>
      <c r="J988">
        <v>305.44496582031252</v>
      </c>
      <c r="K988">
        <v>1.3959226722331626</v>
      </c>
      <c r="L988">
        <v>0</v>
      </c>
      <c r="M988" t="str">
        <f>VLOOKUP(fact_daily_prices[[#This Row],[Ticker]], dim_company[], 2, FALSE)</f>
        <v>JPMorgan Chase &amp; Co.</v>
      </c>
      <c r="N988" t="str">
        <f>VLOOKUP(fact_daily_prices[[#This Row],[Ticker]], dim_company[], 3, FALSE)</f>
        <v>Financials</v>
      </c>
    </row>
    <row r="989" spans="1:14" x14ac:dyDescent="0.3">
      <c r="A989" s="1">
        <v>46184</v>
      </c>
      <c r="B989">
        <v>313.489990234375</v>
      </c>
      <c r="C989">
        <v>314.72000122070313</v>
      </c>
      <c r="D989">
        <v>308.8800048828125</v>
      </c>
      <c r="E989">
        <v>309.55999755859369</v>
      </c>
      <c r="F989">
        <v>9116600</v>
      </c>
      <c r="G989" s="2" t="s">
        <v>13</v>
      </c>
      <c r="H989">
        <v>1.4071214918212505</v>
      </c>
      <c r="I989">
        <v>156.69104410689894</v>
      </c>
      <c r="J989">
        <v>305.86152099609376</v>
      </c>
      <c r="K989">
        <v>1.4130750770134368</v>
      </c>
      <c r="L989">
        <v>0</v>
      </c>
      <c r="M989" t="str">
        <f>VLOOKUP(fact_daily_prices[[#This Row],[Ticker]], dim_company[], 2, FALSE)</f>
        <v>JPMorgan Chase &amp; Co.</v>
      </c>
      <c r="N989" t="str">
        <f>VLOOKUP(fact_daily_prices[[#This Row],[Ticker]], dim_company[], 3, FALSE)</f>
        <v>Financials</v>
      </c>
    </row>
    <row r="990" spans="1:14" x14ac:dyDescent="0.3">
      <c r="A990" s="1">
        <v>46185</v>
      </c>
      <c r="B990">
        <v>320.72000122070313</v>
      </c>
      <c r="C990">
        <v>321.29998779296875</v>
      </c>
      <c r="D990">
        <v>315.54998779296875</v>
      </c>
      <c r="E990">
        <v>315.97000122070313</v>
      </c>
      <c r="F990">
        <v>7426200</v>
      </c>
      <c r="G990" s="2" t="s">
        <v>13</v>
      </c>
      <c r="H990">
        <v>2.3062972380466507</v>
      </c>
      <c r="I990">
        <v>160.30480532940283</v>
      </c>
      <c r="J990">
        <v>306.39840026855467</v>
      </c>
      <c r="K990">
        <v>1.4553406700847902</v>
      </c>
      <c r="L990">
        <v>0</v>
      </c>
      <c r="M990" t="str">
        <f>VLOOKUP(fact_daily_prices[[#This Row],[Ticker]], dim_company[], 2, FALSE)</f>
        <v>JPMorgan Chase &amp; Co.</v>
      </c>
      <c r="N990" t="str">
        <f>VLOOKUP(fact_daily_prices[[#This Row],[Ticker]], dim_company[], 3, FALSE)</f>
        <v>Financials</v>
      </c>
    </row>
    <row r="991" spans="1:14" x14ac:dyDescent="0.3">
      <c r="A991" s="1">
        <v>46188</v>
      </c>
      <c r="B991">
        <v>319.39999389648438</v>
      </c>
      <c r="C991">
        <v>325.92001342773438</v>
      </c>
      <c r="D991">
        <v>318.83999633789063</v>
      </c>
      <c r="E991">
        <v>323.92001342773438</v>
      </c>
      <c r="F991">
        <v>7988900</v>
      </c>
      <c r="G991" s="2" t="s">
        <v>13</v>
      </c>
      <c r="H991">
        <v>-0.41157624070673471</v>
      </c>
      <c r="I991">
        <v>159.64502883795581</v>
      </c>
      <c r="J991">
        <v>306.92440002441407</v>
      </c>
      <c r="K991">
        <v>1.4569941525596981</v>
      </c>
      <c r="L991">
        <v>0</v>
      </c>
      <c r="M991" t="str">
        <f>VLOOKUP(fact_daily_prices[[#This Row],[Ticker]], dim_company[], 2, FALSE)</f>
        <v>JPMorgan Chase &amp; Co.</v>
      </c>
      <c r="N991" t="str">
        <f>VLOOKUP(fact_daily_prices[[#This Row],[Ticker]], dim_company[], 3, FALSE)</f>
        <v>Financials</v>
      </c>
    </row>
    <row r="992" spans="1:14" x14ac:dyDescent="0.3">
      <c r="A992" s="1">
        <v>46189</v>
      </c>
      <c r="B992">
        <v>331.1400146484375</v>
      </c>
      <c r="C992">
        <v>331.75</v>
      </c>
      <c r="D992">
        <v>324.01998901367188</v>
      </c>
      <c r="E992">
        <v>324.29998779296875</v>
      </c>
      <c r="F992">
        <v>11094900</v>
      </c>
      <c r="G992" s="2" t="s">
        <v>13</v>
      </c>
      <c r="H992">
        <v>3.6756483958349628</v>
      </c>
      <c r="I992">
        <v>165.51301877946841</v>
      </c>
      <c r="J992">
        <v>307.63820007324216</v>
      </c>
      <c r="K992">
        <v>1.5637612157311742</v>
      </c>
      <c r="L992">
        <v>0</v>
      </c>
      <c r="M992" t="str">
        <f>VLOOKUP(fact_daily_prices[[#This Row],[Ticker]], dim_company[], 2, FALSE)</f>
        <v>JPMorgan Chase &amp; Co.</v>
      </c>
      <c r="N992" t="str">
        <f>VLOOKUP(fact_daily_prices[[#This Row],[Ticker]], dim_company[], 3, FALSE)</f>
        <v>Financials</v>
      </c>
    </row>
    <row r="993" spans="1:14" x14ac:dyDescent="0.3">
      <c r="A993" s="1">
        <v>46190</v>
      </c>
      <c r="B993">
        <v>333.45999145507813</v>
      </c>
      <c r="C993">
        <v>337.76998901367188</v>
      </c>
      <c r="D993">
        <v>331.5</v>
      </c>
      <c r="E993">
        <v>332.17999267578125</v>
      </c>
      <c r="F993">
        <v>12246400</v>
      </c>
      <c r="G993" s="2" t="s">
        <v>13</v>
      </c>
      <c r="H993">
        <v>0.70060297880449873</v>
      </c>
      <c r="I993">
        <v>166.67260791934663</v>
      </c>
      <c r="J993">
        <v>308.35940002441413</v>
      </c>
      <c r="K993">
        <v>1.5648510601472063</v>
      </c>
      <c r="L993">
        <v>0</v>
      </c>
      <c r="M993" t="str">
        <f>VLOOKUP(fact_daily_prices[[#This Row],[Ticker]], dim_company[], 2, FALSE)</f>
        <v>JPMorgan Chase &amp; Co.</v>
      </c>
      <c r="N993" t="str">
        <f>VLOOKUP(fact_daily_prices[[#This Row],[Ticker]], dim_company[], 3, FALSE)</f>
        <v>Financials</v>
      </c>
    </row>
    <row r="994" spans="1:14" x14ac:dyDescent="0.3">
      <c r="A994" s="1">
        <v>46191</v>
      </c>
      <c r="B994">
        <v>325.22000122070313</v>
      </c>
      <c r="C994">
        <v>338.08999633789063</v>
      </c>
      <c r="D994">
        <v>324.16000366210938</v>
      </c>
      <c r="E994">
        <v>336.95001220703125</v>
      </c>
      <c r="F994">
        <v>20111000</v>
      </c>
      <c r="G994" s="2" t="s">
        <v>13</v>
      </c>
      <c r="H994">
        <v>-2.4710581315675051</v>
      </c>
      <c r="I994">
        <v>162.55403088826</v>
      </c>
      <c r="J994">
        <v>308.91580017089842</v>
      </c>
      <c r="K994">
        <v>1.6144005400766646</v>
      </c>
      <c r="L994">
        <v>1</v>
      </c>
      <c r="M994" t="str">
        <f>VLOOKUP(fact_daily_prices[[#This Row],[Ticker]], dim_company[], 2, FALSE)</f>
        <v>JPMorgan Chase &amp; Co.</v>
      </c>
      <c r="N994" t="str">
        <f>VLOOKUP(fact_daily_prices[[#This Row],[Ticker]], dim_company[], 3, FALSE)</f>
        <v>Financials</v>
      </c>
    </row>
    <row r="995" spans="1:14" x14ac:dyDescent="0.3">
      <c r="A995" s="1">
        <v>46195</v>
      </c>
      <c r="B995">
        <v>331.48001098632813</v>
      </c>
      <c r="C995">
        <v>332.76998901367188</v>
      </c>
      <c r="D995">
        <v>326.75</v>
      </c>
      <c r="E995">
        <v>329.70001220703125</v>
      </c>
      <c r="F995">
        <v>10182500</v>
      </c>
      <c r="G995" s="2" t="s">
        <v>13</v>
      </c>
      <c r="H995">
        <v>1.9248538657303582</v>
      </c>
      <c r="I995">
        <v>165.6829584357132</v>
      </c>
      <c r="J995">
        <v>309.3388006591797</v>
      </c>
      <c r="K995">
        <v>1.5528689986109749</v>
      </c>
      <c r="L995">
        <v>0</v>
      </c>
      <c r="M995" t="str">
        <f>VLOOKUP(fact_daily_prices[[#This Row],[Ticker]], dim_company[], 2, FALSE)</f>
        <v>JPMorgan Chase &amp; Co.</v>
      </c>
      <c r="N995" t="str">
        <f>VLOOKUP(fact_daily_prices[[#This Row],[Ticker]], dim_company[], 3, FALSE)</f>
        <v>Financials</v>
      </c>
    </row>
    <row r="996" spans="1:14" x14ac:dyDescent="0.3">
      <c r="A996" s="1">
        <v>46196</v>
      </c>
      <c r="B996">
        <v>334.1400146484375</v>
      </c>
      <c r="C996">
        <v>335.3699951171875</v>
      </c>
      <c r="D996">
        <v>327.20999145507813</v>
      </c>
      <c r="E996">
        <v>329.47000122070313</v>
      </c>
      <c r="F996">
        <v>7582200</v>
      </c>
      <c r="G996" s="2" t="s">
        <v>13</v>
      </c>
      <c r="H996">
        <v>0.80246276515874015</v>
      </c>
      <c r="I996">
        <v>167.01250248537323</v>
      </c>
      <c r="J996">
        <v>309.82420104980469</v>
      </c>
      <c r="K996">
        <v>1.5241942728302995</v>
      </c>
      <c r="L996">
        <v>0</v>
      </c>
      <c r="M996" t="str">
        <f>VLOOKUP(fact_daily_prices[[#This Row],[Ticker]], dim_company[], 2, FALSE)</f>
        <v>JPMorgan Chase &amp; Co.</v>
      </c>
      <c r="N996" t="str">
        <f>VLOOKUP(fact_daily_prices[[#This Row],[Ticker]], dim_company[], 3, FALSE)</f>
        <v>Financials</v>
      </c>
    </row>
    <row r="997" spans="1:14" x14ac:dyDescent="0.3">
      <c r="A997" s="1">
        <v>46197</v>
      </c>
      <c r="B997">
        <v>333.45001220703125</v>
      </c>
      <c r="C997">
        <v>334.52999877929688</v>
      </c>
      <c r="D997">
        <v>329.76998901367188</v>
      </c>
      <c r="E997">
        <v>333.07000732421875</v>
      </c>
      <c r="F997">
        <v>7907400</v>
      </c>
      <c r="G997" s="2" t="s">
        <v>13</v>
      </c>
      <c r="H997">
        <v>-0.20650099094903229</v>
      </c>
      <c r="I997">
        <v>166.66762001273213</v>
      </c>
      <c r="J997">
        <v>310.2196014404297</v>
      </c>
      <c r="K997">
        <v>1.5152501339819722</v>
      </c>
      <c r="L997">
        <v>0</v>
      </c>
      <c r="M997" t="str">
        <f>VLOOKUP(fact_daily_prices[[#This Row],[Ticker]], dim_company[], 2, FALSE)</f>
        <v>JPMorgan Chase &amp; Co.</v>
      </c>
      <c r="N997" t="str">
        <f>VLOOKUP(fact_daily_prices[[#This Row],[Ticker]], dim_company[], 3, FALSE)</f>
        <v>Financials</v>
      </c>
    </row>
    <row r="998" spans="1:14" x14ac:dyDescent="0.3">
      <c r="A998" s="1">
        <v>46198</v>
      </c>
      <c r="B998">
        <v>335.1199951171875</v>
      </c>
      <c r="C998">
        <v>343.45001220703125</v>
      </c>
      <c r="D998">
        <v>334.760009765625</v>
      </c>
      <c r="E998">
        <v>334.95999145507813</v>
      </c>
      <c r="F998">
        <v>10043100</v>
      </c>
      <c r="G998" s="2" t="s">
        <v>13</v>
      </c>
      <c r="H998">
        <v>0.50081956785756887</v>
      </c>
      <c r="I998">
        <v>167.50232406703839</v>
      </c>
      <c r="J998">
        <v>310.64840148925782</v>
      </c>
      <c r="K998">
        <v>1.4967288165240693</v>
      </c>
      <c r="L998">
        <v>0</v>
      </c>
      <c r="M998" t="str">
        <f>VLOOKUP(fact_daily_prices[[#This Row],[Ticker]], dim_company[], 2, FALSE)</f>
        <v>JPMorgan Chase &amp; Co.</v>
      </c>
      <c r="N998" t="str">
        <f>VLOOKUP(fact_daily_prices[[#This Row],[Ticker]], dim_company[], 3, FALSE)</f>
        <v>Financials</v>
      </c>
    </row>
    <row r="999" spans="1:14" x14ac:dyDescent="0.3">
      <c r="A999" s="1">
        <v>46199</v>
      </c>
      <c r="B999">
        <v>329.04998779296875</v>
      </c>
      <c r="C999">
        <v>336.39999389648438</v>
      </c>
      <c r="D999">
        <v>327.5</v>
      </c>
      <c r="E999">
        <v>336</v>
      </c>
      <c r="F999">
        <v>17640900</v>
      </c>
      <c r="G999" s="2" t="s">
        <v>13</v>
      </c>
      <c r="H999">
        <v>-1.8112936896218734</v>
      </c>
      <c r="I999">
        <v>164.46836504124215</v>
      </c>
      <c r="J999">
        <v>311.11080139160157</v>
      </c>
      <c r="K999">
        <v>1.5100641149526091</v>
      </c>
      <c r="L999">
        <v>0</v>
      </c>
      <c r="M999" t="str">
        <f>VLOOKUP(fact_daily_prices[[#This Row],[Ticker]], dim_company[], 2, FALSE)</f>
        <v>JPMorgan Chase &amp; Co.</v>
      </c>
      <c r="N999" t="str">
        <f>VLOOKUP(fact_daily_prices[[#This Row],[Ticker]], dim_company[], 3, FALSE)</f>
        <v>Financials</v>
      </c>
    </row>
    <row r="1000" spans="1:14" x14ac:dyDescent="0.3">
      <c r="A1000" s="1">
        <v>46202</v>
      </c>
      <c r="B1000">
        <v>329.3900146484375</v>
      </c>
      <c r="C1000">
        <v>332.3900146484375</v>
      </c>
      <c r="D1000">
        <v>327.20001220703125</v>
      </c>
      <c r="E1000">
        <v>328.27999877929688</v>
      </c>
      <c r="F1000">
        <v>7981800</v>
      </c>
      <c r="G1000" s="2" t="s">
        <v>13</v>
      </c>
      <c r="H1000">
        <v>0.10333592708797745</v>
      </c>
      <c r="I1000">
        <v>164.63831995102396</v>
      </c>
      <c r="J1000">
        <v>311.49960144042973</v>
      </c>
      <c r="K1000">
        <v>1.508454430288602</v>
      </c>
      <c r="L1000">
        <v>0</v>
      </c>
      <c r="M1000" t="str">
        <f>VLOOKUP(fact_daily_prices[[#This Row],[Ticker]], dim_company[], 2, FALSE)</f>
        <v>JPMorgan Chase &amp; Co.</v>
      </c>
      <c r="N1000" t="str">
        <f>VLOOKUP(fact_daily_prices[[#This Row],[Ticker]], dim_company[], 3, FALSE)</f>
        <v>Financials</v>
      </c>
    </row>
    <row r="1001" spans="1:14" x14ac:dyDescent="0.3">
      <c r="A1001" s="1">
        <v>46203</v>
      </c>
      <c r="B1001">
        <v>327.32998657226563</v>
      </c>
      <c r="C1001">
        <v>330.44000244140625</v>
      </c>
      <c r="D1001">
        <v>326.67999267578125</v>
      </c>
      <c r="E1001">
        <v>328.8900146484375</v>
      </c>
      <c r="F1001">
        <v>8080100</v>
      </c>
      <c r="G1001" s="2" t="s">
        <v>13</v>
      </c>
      <c r="H1001">
        <v>-0.6254069597011247</v>
      </c>
      <c r="I1001">
        <v>163.60866043971527</v>
      </c>
      <c r="J1001">
        <v>311.84040100097656</v>
      </c>
      <c r="K1001">
        <v>1.5067639412023839</v>
      </c>
      <c r="L1001">
        <v>0</v>
      </c>
      <c r="M1001" t="str">
        <f>VLOOKUP(fact_daily_prices[[#This Row],[Ticker]], dim_company[], 2, FALSE)</f>
        <v>JPMorgan Chase &amp; Co.</v>
      </c>
      <c r="N1001" t="str">
        <f>VLOOKUP(fact_daily_prices[[#This Row],[Ticker]], dim_company[], 3, FALSE)</f>
        <v>Financials</v>
      </c>
    </row>
    <row r="1002" spans="1:14" x14ac:dyDescent="0.3">
      <c r="A1002" s="1">
        <v>46204</v>
      </c>
      <c r="B1002">
        <v>334.07000732421875</v>
      </c>
      <c r="C1002">
        <v>335.6400146484375</v>
      </c>
      <c r="D1002">
        <v>325.010009765625</v>
      </c>
      <c r="E1002">
        <v>328.3699951171875</v>
      </c>
      <c r="F1002">
        <v>15210200</v>
      </c>
      <c r="G1002" s="2" t="s">
        <v>13</v>
      </c>
      <c r="H1002">
        <v>2.0590905289592509</v>
      </c>
      <c r="I1002">
        <v>166.97751087138656</v>
      </c>
      <c r="J1002">
        <v>312.18200134277345</v>
      </c>
      <c r="K1002">
        <v>1.5355023100703995</v>
      </c>
      <c r="L1002">
        <v>0</v>
      </c>
      <c r="M1002" t="str">
        <f>VLOOKUP(fact_daily_prices[[#This Row],[Ticker]], dim_company[], 2, FALSE)</f>
        <v>JPMorgan Chase &amp; Co.</v>
      </c>
      <c r="N1002" t="str">
        <f>VLOOKUP(fact_daily_prices[[#This Row],[Ticker]], dim_company[], 3, FALSE)</f>
        <v>Financials</v>
      </c>
    </row>
    <row r="1003" spans="1:14" x14ac:dyDescent="0.3">
      <c r="A1003" s="1">
        <v>46205</v>
      </c>
      <c r="B1003">
        <v>334.47000122070313</v>
      </c>
      <c r="C1003">
        <v>340</v>
      </c>
      <c r="D1003">
        <v>331.76998901367188</v>
      </c>
      <c r="E1003">
        <v>338.01998901367188</v>
      </c>
      <c r="F1003">
        <v>8413900</v>
      </c>
      <c r="G1003" s="2" t="s">
        <v>13</v>
      </c>
      <c r="H1003">
        <v>0.11973355515755291</v>
      </c>
      <c r="I1003">
        <v>167.17743898146645</v>
      </c>
      <c r="J1003">
        <v>312.61140136718751</v>
      </c>
      <c r="K1003">
        <v>1.4877174724781783</v>
      </c>
      <c r="L1003">
        <v>0</v>
      </c>
      <c r="M1003" t="str">
        <f>VLOOKUP(fact_daily_prices[[#This Row],[Ticker]], dim_company[], 2, FALSE)</f>
        <v>JPMorgan Chase &amp; Co.</v>
      </c>
      <c r="N1003" t="str">
        <f>VLOOKUP(fact_daily_prices[[#This Row],[Ticker]], dim_company[], 3, FALSE)</f>
        <v>Financials</v>
      </c>
    </row>
    <row r="1004" spans="1:14" x14ac:dyDescent="0.3">
      <c r="A1004" s="1">
        <v>45476</v>
      </c>
      <c r="B1004">
        <v>453.64065551757813</v>
      </c>
      <c r="C1004">
        <v>453.88678735468437</v>
      </c>
      <c r="D1004">
        <v>450.79538710423202</v>
      </c>
      <c r="E1004">
        <v>451.10058817861261</v>
      </c>
      <c r="F1004">
        <v>9932800</v>
      </c>
      <c r="G1004" s="2" t="s">
        <v>14</v>
      </c>
      <c r="I1004">
        <v>100</v>
      </c>
      <c r="L1004">
        <v>0</v>
      </c>
      <c r="M1004" t="str">
        <f>VLOOKUP(fact_daily_prices[[#This Row],[Ticker]], dim_company[], 2, FALSE)</f>
        <v>Microsoft Corp.</v>
      </c>
      <c r="N1004" t="str">
        <f>VLOOKUP(fact_daily_prices[[#This Row],[Ticker]], dim_company[], 3, FALSE)</f>
        <v>Technology</v>
      </c>
    </row>
    <row r="1005" spans="1:14" x14ac:dyDescent="0.3">
      <c r="A1005" s="1">
        <v>45478</v>
      </c>
      <c r="B1005">
        <v>460.32562255859375</v>
      </c>
      <c r="C1005">
        <v>461.10340760685847</v>
      </c>
      <c r="D1005">
        <v>451.86853591161213</v>
      </c>
      <c r="E1005">
        <v>452.49861781554688</v>
      </c>
      <c r="F1005">
        <v>16000300</v>
      </c>
      <c r="G1005" s="2" t="s">
        <v>14</v>
      </c>
      <c r="H1005">
        <v>1.4736260870156004</v>
      </c>
      <c r="I1005">
        <v>101.4736260870156</v>
      </c>
      <c r="L1005">
        <v>0</v>
      </c>
      <c r="M1005" t="str">
        <f>VLOOKUP(fact_daily_prices[[#This Row],[Ticker]], dim_company[], 2, FALSE)</f>
        <v>Microsoft Corp.</v>
      </c>
      <c r="N1005" t="str">
        <f>VLOOKUP(fact_daily_prices[[#This Row],[Ticker]], dim_company[], 3, FALSE)</f>
        <v>Technology</v>
      </c>
    </row>
    <row r="1006" spans="1:14" x14ac:dyDescent="0.3">
      <c r="A1006" s="1">
        <v>45481</v>
      </c>
      <c r="B1006">
        <v>459.02606201171881</v>
      </c>
      <c r="C1006">
        <v>460.46349370054082</v>
      </c>
      <c r="D1006">
        <v>457.27360437796762</v>
      </c>
      <c r="E1006">
        <v>459.331263113158</v>
      </c>
      <c r="F1006">
        <v>12962300</v>
      </c>
      <c r="G1006" s="2" t="s">
        <v>14</v>
      </c>
      <c r="H1006">
        <v>-0.28231331978690877</v>
      </c>
      <c r="I1006">
        <v>101.18715252450119</v>
      </c>
      <c r="L1006">
        <v>0</v>
      </c>
      <c r="M1006" t="str">
        <f>VLOOKUP(fact_daily_prices[[#This Row],[Ticker]], dim_company[], 2, FALSE)</f>
        <v>Microsoft Corp.</v>
      </c>
      <c r="N1006" t="str">
        <f>VLOOKUP(fact_daily_prices[[#This Row],[Ticker]], dim_company[], 3, FALSE)</f>
        <v>Technology</v>
      </c>
    </row>
    <row r="1007" spans="1:14" x14ac:dyDescent="0.3">
      <c r="A1007" s="1">
        <v>45482</v>
      </c>
      <c r="B1007">
        <v>452.42971801757813</v>
      </c>
      <c r="C1007">
        <v>460.09916463101649</v>
      </c>
      <c r="D1007">
        <v>450.9135374483829</v>
      </c>
      <c r="E1007">
        <v>459.77428381745591</v>
      </c>
      <c r="F1007">
        <v>17207200</v>
      </c>
      <c r="G1007" s="2" t="s">
        <v>14</v>
      </c>
      <c r="H1007">
        <v>-1.4370303867348388</v>
      </c>
      <c r="I1007">
        <v>99.733062395252375</v>
      </c>
      <c r="L1007">
        <v>0</v>
      </c>
      <c r="M1007" t="str">
        <f>VLOOKUP(fact_daily_prices[[#This Row],[Ticker]], dim_company[], 2, FALSE)</f>
        <v>Microsoft Corp.</v>
      </c>
      <c r="N1007" t="str">
        <f>VLOOKUP(fact_daily_prices[[#This Row],[Ticker]], dim_company[], 3, FALSE)</f>
        <v>Technology</v>
      </c>
    </row>
    <row r="1008" spans="1:14" x14ac:dyDescent="0.3">
      <c r="A1008" s="1">
        <v>45483</v>
      </c>
      <c r="B1008">
        <v>459.03591918945313</v>
      </c>
      <c r="C1008">
        <v>459.24266153927351</v>
      </c>
      <c r="D1008">
        <v>451.76024698147671</v>
      </c>
      <c r="E1008">
        <v>454.08374736494619</v>
      </c>
      <c r="F1008">
        <v>18196100</v>
      </c>
      <c r="G1008" s="2" t="s">
        <v>14</v>
      </c>
      <c r="H1008">
        <v>1.4601607517785498</v>
      </c>
      <c r="I1008">
        <v>101.18932542889468</v>
      </c>
      <c r="L1008">
        <v>0</v>
      </c>
      <c r="M1008" t="str">
        <f>VLOOKUP(fact_daily_prices[[#This Row],[Ticker]], dim_company[], 2, FALSE)</f>
        <v>Microsoft Corp.</v>
      </c>
      <c r="N1008" t="str">
        <f>VLOOKUP(fact_daily_prices[[#This Row],[Ticker]], dim_company[], 3, FALSE)</f>
        <v>Technology</v>
      </c>
    </row>
    <row r="1009" spans="1:14" x14ac:dyDescent="0.3">
      <c r="A1009" s="1">
        <v>45484</v>
      </c>
      <c r="B1009">
        <v>447.66458129882813</v>
      </c>
      <c r="C1009">
        <v>457.58860339521749</v>
      </c>
      <c r="D1009">
        <v>444.56329622615408</v>
      </c>
      <c r="E1009">
        <v>455.81646624973735</v>
      </c>
      <c r="F1009">
        <v>23111200</v>
      </c>
      <c r="G1009" s="2" t="s">
        <v>14</v>
      </c>
      <c r="H1009">
        <v>-2.4772218066734353</v>
      </c>
      <c r="I1009">
        <v>98.682641393344326</v>
      </c>
      <c r="L1009">
        <v>0</v>
      </c>
      <c r="M1009" t="str">
        <f>VLOOKUP(fact_daily_prices[[#This Row],[Ticker]], dim_company[], 2, FALSE)</f>
        <v>Microsoft Corp.</v>
      </c>
      <c r="N1009" t="str">
        <f>VLOOKUP(fact_daily_prices[[#This Row],[Ticker]], dim_company[], 3, FALSE)</f>
        <v>Technology</v>
      </c>
    </row>
    <row r="1010" spans="1:14" x14ac:dyDescent="0.3">
      <c r="A1010" s="1">
        <v>45485</v>
      </c>
      <c r="B1010">
        <v>446.53237915039063</v>
      </c>
      <c r="C1010">
        <v>449.29889867197954</v>
      </c>
      <c r="D1010">
        <v>443.67725577045161</v>
      </c>
      <c r="E1010">
        <v>447.30030930148308</v>
      </c>
      <c r="F1010">
        <v>16324300</v>
      </c>
      <c r="G1010" s="2" t="s">
        <v>14</v>
      </c>
      <c r="H1010">
        <v>-0.25291305047019375</v>
      </c>
      <c r="I1010">
        <v>98.43306011471185</v>
      </c>
      <c r="L1010">
        <v>0</v>
      </c>
      <c r="M1010" t="str">
        <f>VLOOKUP(fact_daily_prices[[#This Row],[Ticker]], dim_company[], 2, FALSE)</f>
        <v>Microsoft Corp.</v>
      </c>
      <c r="N1010" t="str">
        <f>VLOOKUP(fact_daily_prices[[#This Row],[Ticker]], dim_company[], 3, FALSE)</f>
        <v>Technology</v>
      </c>
    </row>
    <row r="1011" spans="1:14" x14ac:dyDescent="0.3">
      <c r="A1011" s="1">
        <v>45488</v>
      </c>
      <c r="B1011">
        <v>446.93609619140631</v>
      </c>
      <c r="C1011">
        <v>450.18505497376174</v>
      </c>
      <c r="D1011">
        <v>444.4452428142979</v>
      </c>
      <c r="E1011">
        <v>446.28630443493518</v>
      </c>
      <c r="F1011">
        <v>14429400</v>
      </c>
      <c r="G1011" s="2" t="s">
        <v>14</v>
      </c>
      <c r="H1011">
        <v>9.0411593843175986E-2</v>
      </c>
      <c r="I1011">
        <v>98.522055013230172</v>
      </c>
      <c r="L1011">
        <v>0</v>
      </c>
      <c r="M1011" t="str">
        <f>VLOOKUP(fact_daily_prices[[#This Row],[Ticker]], dim_company[], 2, FALSE)</f>
        <v>Microsoft Corp.</v>
      </c>
      <c r="N1011" t="str">
        <f>VLOOKUP(fact_daily_prices[[#This Row],[Ticker]], dim_company[], 3, FALSE)</f>
        <v>Technology</v>
      </c>
    </row>
    <row r="1012" spans="1:14" x14ac:dyDescent="0.3">
      <c r="A1012" s="1">
        <v>45489</v>
      </c>
      <c r="B1012">
        <v>442.56472778320313</v>
      </c>
      <c r="C1012">
        <v>447.27076735934128</v>
      </c>
      <c r="D1012">
        <v>439.74899395709349</v>
      </c>
      <c r="E1012">
        <v>447.19201839056086</v>
      </c>
      <c r="F1012">
        <v>17175700</v>
      </c>
      <c r="G1012" s="2" t="s">
        <v>14</v>
      </c>
      <c r="H1012">
        <v>-0.97807459398648877</v>
      </c>
      <c r="I1012">
        <v>97.558435823672369</v>
      </c>
      <c r="L1012">
        <v>0</v>
      </c>
      <c r="M1012" t="str">
        <f>VLOOKUP(fact_daily_prices[[#This Row],[Ticker]], dim_company[], 2, FALSE)</f>
        <v>Microsoft Corp.</v>
      </c>
      <c r="N1012" t="str">
        <f>VLOOKUP(fact_daily_prices[[#This Row],[Ticker]], dim_company[], 3, FALSE)</f>
        <v>Technology</v>
      </c>
    </row>
    <row r="1013" spans="1:14" x14ac:dyDescent="0.3">
      <c r="A1013" s="1">
        <v>45490</v>
      </c>
      <c r="B1013">
        <v>436.6575927734375</v>
      </c>
      <c r="C1013">
        <v>437.96703107426862</v>
      </c>
      <c r="D1013">
        <v>432.38474735385842</v>
      </c>
      <c r="E1013">
        <v>435.74198947896895</v>
      </c>
      <c r="F1013">
        <v>21778000</v>
      </c>
      <c r="G1013" s="2" t="s">
        <v>14</v>
      </c>
      <c r="H1013">
        <v>-1.3347505209812649</v>
      </c>
      <c r="I1013">
        <v>96.256274093254731</v>
      </c>
      <c r="L1013">
        <v>0</v>
      </c>
      <c r="M1013" t="str">
        <f>VLOOKUP(fact_daily_prices[[#This Row],[Ticker]], dim_company[], 2, FALSE)</f>
        <v>Microsoft Corp.</v>
      </c>
      <c r="N1013" t="str">
        <f>VLOOKUP(fact_daily_prices[[#This Row],[Ticker]], dim_company[], 3, FALSE)</f>
        <v>Technology</v>
      </c>
    </row>
    <row r="1014" spans="1:14" x14ac:dyDescent="0.3">
      <c r="A1014" s="1">
        <v>45491</v>
      </c>
      <c r="B1014">
        <v>433.55633544921881</v>
      </c>
      <c r="C1014">
        <v>437.77011160802653</v>
      </c>
      <c r="D1014">
        <v>427.67870554578582</v>
      </c>
      <c r="E1014">
        <v>437.46491051123888</v>
      </c>
      <c r="F1014">
        <v>20794800</v>
      </c>
      <c r="G1014" s="2" t="s">
        <v>14</v>
      </c>
      <c r="H1014">
        <v>-0.71022635940463097</v>
      </c>
      <c r="I1014">
        <v>95.572636662063672</v>
      </c>
      <c r="L1014">
        <v>0</v>
      </c>
      <c r="M1014" t="str">
        <f>VLOOKUP(fact_daily_prices[[#This Row],[Ticker]], dim_company[], 2, FALSE)</f>
        <v>Microsoft Corp.</v>
      </c>
      <c r="N1014" t="str">
        <f>VLOOKUP(fact_daily_prices[[#This Row],[Ticker]], dim_company[], 3, FALSE)</f>
        <v>Technology</v>
      </c>
    </row>
    <row r="1015" spans="1:14" x14ac:dyDescent="0.3">
      <c r="A1015" s="1">
        <v>45492</v>
      </c>
      <c r="B1015">
        <v>430.34671020507813</v>
      </c>
      <c r="C1015">
        <v>434.31438403560242</v>
      </c>
      <c r="D1015">
        <v>425.31579016450212</v>
      </c>
      <c r="E1015">
        <v>426.39877619483201</v>
      </c>
      <c r="F1015">
        <v>20940400</v>
      </c>
      <c r="G1015" s="2" t="s">
        <v>14</v>
      </c>
      <c r="H1015">
        <v>-0.74030177435076006</v>
      </c>
      <c r="I1015">
        <v>94.865110737060604</v>
      </c>
      <c r="L1015">
        <v>0</v>
      </c>
      <c r="M1015" t="str">
        <f>VLOOKUP(fact_daily_prices[[#This Row],[Ticker]], dim_company[], 2, FALSE)</f>
        <v>Microsoft Corp.</v>
      </c>
      <c r="N1015" t="str">
        <f>VLOOKUP(fact_daily_prices[[#This Row],[Ticker]], dim_company[], 3, FALSE)</f>
        <v>Technology</v>
      </c>
    </row>
    <row r="1016" spans="1:14" x14ac:dyDescent="0.3">
      <c r="A1016" s="1">
        <v>45495</v>
      </c>
      <c r="B1016">
        <v>436.08657836914063</v>
      </c>
      <c r="C1016">
        <v>437.72089749385162</v>
      </c>
      <c r="D1016">
        <v>432.11893406334582</v>
      </c>
      <c r="E1016">
        <v>434.95437784378936</v>
      </c>
      <c r="F1016">
        <v>15808800</v>
      </c>
      <c r="G1016" s="2" t="s">
        <v>14</v>
      </c>
      <c r="H1016">
        <v>1.3337776327666528</v>
      </c>
      <c r="I1016">
        <v>96.130400365370846</v>
      </c>
      <c r="L1016">
        <v>0</v>
      </c>
      <c r="M1016" t="str">
        <f>VLOOKUP(fact_daily_prices[[#This Row],[Ticker]], dim_company[], 2, FALSE)</f>
        <v>Microsoft Corp.</v>
      </c>
      <c r="N1016" t="str">
        <f>VLOOKUP(fact_daily_prices[[#This Row],[Ticker]], dim_company[], 3, FALSE)</f>
        <v>Technology</v>
      </c>
    </row>
    <row r="1017" spans="1:14" x14ac:dyDescent="0.3">
      <c r="A1017" s="1">
        <v>45496</v>
      </c>
      <c r="B1017">
        <v>437.967041015625</v>
      </c>
      <c r="C1017">
        <v>441.45227659237509</v>
      </c>
      <c r="D1017">
        <v>436.24411798255443</v>
      </c>
      <c r="E1017">
        <v>437.03172792237223</v>
      </c>
      <c r="F1017">
        <v>13107100</v>
      </c>
      <c r="G1017" s="2" t="s">
        <v>14</v>
      </c>
      <c r="H1017">
        <v>0.43121314430654145</v>
      </c>
      <c r="I1017">
        <v>96.544927287420819</v>
      </c>
      <c r="L1017">
        <v>0</v>
      </c>
      <c r="M1017" t="str">
        <f>VLOOKUP(fact_daily_prices[[#This Row],[Ticker]], dim_company[], 2, FALSE)</f>
        <v>Microsoft Corp.</v>
      </c>
      <c r="N1017" t="str">
        <f>VLOOKUP(fact_daily_prices[[#This Row],[Ticker]], dim_company[], 3, FALSE)</f>
        <v>Technology</v>
      </c>
    </row>
    <row r="1018" spans="1:14" x14ac:dyDescent="0.3">
      <c r="A1018" s="1">
        <v>45497</v>
      </c>
      <c r="B1018">
        <v>422.2637939453125</v>
      </c>
      <c r="C1018">
        <v>434.64916540683873</v>
      </c>
      <c r="D1018">
        <v>420.97406546076422</v>
      </c>
      <c r="E1018">
        <v>433.6351033912307</v>
      </c>
      <c r="F1018">
        <v>26805800</v>
      </c>
      <c r="G1018" s="2" t="s">
        <v>14</v>
      </c>
      <c r="H1018">
        <v>-3.5854860297015567</v>
      </c>
      <c r="I1018">
        <v>93.083322407144834</v>
      </c>
      <c r="L1018">
        <v>0</v>
      </c>
      <c r="M1018" t="str">
        <f>VLOOKUP(fact_daily_prices[[#This Row],[Ticker]], dim_company[], 2, FALSE)</f>
        <v>Microsoft Corp.</v>
      </c>
      <c r="N1018" t="str">
        <f>VLOOKUP(fact_daily_prices[[#This Row],[Ticker]], dim_company[], 3, FALSE)</f>
        <v>Technology</v>
      </c>
    </row>
    <row r="1019" spans="1:14" x14ac:dyDescent="0.3">
      <c r="A1019" s="1">
        <v>45498</v>
      </c>
      <c r="B1019">
        <v>411.92626953125</v>
      </c>
      <c r="C1019">
        <v>423.14987619224735</v>
      </c>
      <c r="D1019">
        <v>411.05005574464656</v>
      </c>
      <c r="E1019">
        <v>422.16534876504772</v>
      </c>
      <c r="F1019">
        <v>29943800</v>
      </c>
      <c r="G1019" s="2" t="s">
        <v>14</v>
      </c>
      <c r="H1019">
        <v>-2.4481200051457153</v>
      </c>
      <c r="I1019">
        <v>90.804530969841238</v>
      </c>
      <c r="L1019">
        <v>0</v>
      </c>
      <c r="M1019" t="str">
        <f>VLOOKUP(fact_daily_prices[[#This Row],[Ticker]], dim_company[], 2, FALSE)</f>
        <v>Microsoft Corp.</v>
      </c>
      <c r="N1019" t="str">
        <f>VLOOKUP(fact_daily_prices[[#This Row],[Ticker]], dim_company[], 3, FALSE)</f>
        <v>Technology</v>
      </c>
    </row>
    <row r="1020" spans="1:14" x14ac:dyDescent="0.3">
      <c r="A1020" s="1">
        <v>45499</v>
      </c>
      <c r="B1020">
        <v>418.68994140625</v>
      </c>
      <c r="C1020">
        <v>422.28349032231534</v>
      </c>
      <c r="D1020">
        <v>410.81372249172341</v>
      </c>
      <c r="E1020">
        <v>411.72935577503409</v>
      </c>
      <c r="F1020">
        <v>23583800</v>
      </c>
      <c r="G1020" s="2" t="s">
        <v>14</v>
      </c>
      <c r="H1020">
        <v>1.6419617721143975</v>
      </c>
      <c r="I1020">
        <v>92.295506655713794</v>
      </c>
      <c r="L1020">
        <v>0</v>
      </c>
      <c r="M1020" t="str">
        <f>VLOOKUP(fact_daily_prices[[#This Row],[Ticker]], dim_company[], 2, FALSE)</f>
        <v>Microsoft Corp.</v>
      </c>
      <c r="N1020" t="str">
        <f>VLOOKUP(fact_daily_prices[[#This Row],[Ticker]], dim_company[], 3, FALSE)</f>
        <v>Technology</v>
      </c>
    </row>
    <row r="1021" spans="1:14" x14ac:dyDescent="0.3">
      <c r="A1021" s="1">
        <v>45502</v>
      </c>
      <c r="B1021">
        <v>420.12741088867188</v>
      </c>
      <c r="C1021">
        <v>425.46353285919287</v>
      </c>
      <c r="D1021">
        <v>418.12882136064246</v>
      </c>
      <c r="E1021">
        <v>424.90234500001679</v>
      </c>
      <c r="F1021">
        <v>15125800</v>
      </c>
      <c r="G1021" s="2" t="s">
        <v>14</v>
      </c>
      <c r="H1021">
        <v>0.34332553526217335</v>
      </c>
      <c r="I1021">
        <v>92.612380697962465</v>
      </c>
      <c r="L1021">
        <v>0</v>
      </c>
      <c r="M1021" t="str">
        <f>VLOOKUP(fact_daily_prices[[#This Row],[Ticker]], dim_company[], 2, FALSE)</f>
        <v>Microsoft Corp.</v>
      </c>
      <c r="N1021" t="str">
        <f>VLOOKUP(fact_daily_prices[[#This Row],[Ticker]], dim_company[], 3, FALSE)</f>
        <v>Technology</v>
      </c>
    </row>
    <row r="1022" spans="1:14" x14ac:dyDescent="0.3">
      <c r="A1022" s="1">
        <v>45503</v>
      </c>
      <c r="B1022">
        <v>416.37631225585938</v>
      </c>
      <c r="C1022">
        <v>422.41143955979663</v>
      </c>
      <c r="D1022">
        <v>410.90231265098828</v>
      </c>
      <c r="E1022">
        <v>421.10203142887968</v>
      </c>
      <c r="F1022">
        <v>32687600</v>
      </c>
      <c r="G1022" s="2" t="s">
        <v>14</v>
      </c>
      <c r="H1022">
        <v>-0.89284786843067954</v>
      </c>
      <c r="I1022">
        <v>91.785493030997785</v>
      </c>
      <c r="L1022">
        <v>0</v>
      </c>
      <c r="M1022" t="str">
        <f>VLOOKUP(fact_daily_prices[[#This Row],[Ticker]], dim_company[], 2, FALSE)</f>
        <v>Microsoft Corp.</v>
      </c>
      <c r="N1022" t="str">
        <f>VLOOKUP(fact_daily_prices[[#This Row],[Ticker]], dim_company[], 3, FALSE)</f>
        <v>Technology</v>
      </c>
    </row>
    <row r="1023" spans="1:14" x14ac:dyDescent="0.3">
      <c r="A1023" s="1">
        <v>45504</v>
      </c>
      <c r="B1023">
        <v>411.87704467773438</v>
      </c>
      <c r="C1023">
        <v>415.25396645604428</v>
      </c>
      <c r="D1023">
        <v>405.83203200705049</v>
      </c>
      <c r="E1023">
        <v>413.99377258317162</v>
      </c>
      <c r="F1023">
        <v>42891400</v>
      </c>
      <c r="G1023" s="2" t="s">
        <v>14</v>
      </c>
      <c r="H1023">
        <v>-1.0805772196186392</v>
      </c>
      <c r="I1023">
        <v>90.793679902390181</v>
      </c>
      <c r="L1023">
        <v>0</v>
      </c>
      <c r="M1023" t="str">
        <f>VLOOKUP(fact_daily_prices[[#This Row],[Ticker]], dim_company[], 2, FALSE)</f>
        <v>Microsoft Corp.</v>
      </c>
      <c r="N1023" t="str">
        <f>VLOOKUP(fact_daily_prices[[#This Row],[Ticker]], dim_company[], 3, FALSE)</f>
        <v>Technology</v>
      </c>
    </row>
    <row r="1024" spans="1:14" x14ac:dyDescent="0.3">
      <c r="A1024" s="1">
        <v>45505</v>
      </c>
      <c r="B1024">
        <v>410.65618896484375</v>
      </c>
      <c r="C1024">
        <v>420.84605305704525</v>
      </c>
      <c r="D1024">
        <v>406.69839983005807</v>
      </c>
      <c r="E1024">
        <v>414.27927245111761</v>
      </c>
      <c r="F1024">
        <v>30296400</v>
      </c>
      <c r="G1024" s="2" t="s">
        <v>14</v>
      </c>
      <c r="H1024">
        <v>-0.29641266214431861</v>
      </c>
      <c r="I1024">
        <v>90.524555938732703</v>
      </c>
      <c r="L1024">
        <v>0</v>
      </c>
      <c r="M1024" t="str">
        <f>VLOOKUP(fact_daily_prices[[#This Row],[Ticker]], dim_company[], 2, FALSE)</f>
        <v>Microsoft Corp.</v>
      </c>
      <c r="N1024" t="str">
        <f>VLOOKUP(fact_daily_prices[[#This Row],[Ticker]], dim_company[], 3, FALSE)</f>
        <v>Technology</v>
      </c>
    </row>
    <row r="1025" spans="1:14" x14ac:dyDescent="0.3">
      <c r="A1025" s="1">
        <v>45506</v>
      </c>
      <c r="B1025">
        <v>402.1695556640625</v>
      </c>
      <c r="C1025">
        <v>408.57883813707474</v>
      </c>
      <c r="D1025">
        <v>398.08377329176966</v>
      </c>
      <c r="E1025">
        <v>406.10766494731138</v>
      </c>
      <c r="F1025">
        <v>29437900</v>
      </c>
      <c r="G1025" s="2" t="s">
        <v>14</v>
      </c>
      <c r="H1025">
        <v>-2.0666030438196592</v>
      </c>
      <c r="I1025">
        <v>88.653772710298625</v>
      </c>
      <c r="L1025">
        <v>0</v>
      </c>
      <c r="M1025" t="str">
        <f>VLOOKUP(fact_daily_prices[[#This Row],[Ticker]], dim_company[], 2, FALSE)</f>
        <v>Microsoft Corp.</v>
      </c>
      <c r="N1025" t="str">
        <f>VLOOKUP(fact_daily_prices[[#This Row],[Ticker]], dim_company[], 3, FALSE)</f>
        <v>Technology</v>
      </c>
    </row>
    <row r="1026" spans="1:14" x14ac:dyDescent="0.3">
      <c r="A1026" s="1">
        <v>45509</v>
      </c>
      <c r="B1026">
        <v>389.03604125976563</v>
      </c>
      <c r="C1026">
        <v>394.83492274068107</v>
      </c>
      <c r="D1026">
        <v>379.6141057371845</v>
      </c>
      <c r="E1026">
        <v>383.14858595340758</v>
      </c>
      <c r="F1026">
        <v>40709200</v>
      </c>
      <c r="G1026" s="2" t="s">
        <v>14</v>
      </c>
      <c r="H1026">
        <v>-3.2656659907065344</v>
      </c>
      <c r="I1026">
        <v>85.758636605420136</v>
      </c>
      <c r="L1026">
        <v>0</v>
      </c>
      <c r="M1026" t="str">
        <f>VLOOKUP(fact_daily_prices[[#This Row],[Ticker]], dim_company[], 2, FALSE)</f>
        <v>Microsoft Corp.</v>
      </c>
      <c r="N1026" t="str">
        <f>VLOOKUP(fact_daily_prices[[#This Row],[Ticker]], dim_company[], 3, FALSE)</f>
        <v>Technology</v>
      </c>
    </row>
    <row r="1027" spans="1:14" x14ac:dyDescent="0.3">
      <c r="A1027" s="1">
        <v>45510</v>
      </c>
      <c r="B1027">
        <v>393.42697143554688</v>
      </c>
      <c r="C1027">
        <v>399.39323499306317</v>
      </c>
      <c r="D1027">
        <v>392.33416046682481</v>
      </c>
      <c r="E1027">
        <v>393.81095153508136</v>
      </c>
      <c r="F1027">
        <v>24946500</v>
      </c>
      <c r="G1027" s="2" t="s">
        <v>14</v>
      </c>
      <c r="H1027">
        <v>1.1286692517131991</v>
      </c>
      <c r="I1027">
        <v>86.726567967473983</v>
      </c>
      <c r="L1027">
        <v>0</v>
      </c>
      <c r="M1027" t="str">
        <f>VLOOKUP(fact_daily_prices[[#This Row],[Ticker]], dim_company[], 2, FALSE)</f>
        <v>Microsoft Corp.</v>
      </c>
      <c r="N1027" t="str">
        <f>VLOOKUP(fact_daily_prices[[#This Row],[Ticker]], dim_company[], 3, FALSE)</f>
        <v>Technology</v>
      </c>
    </row>
    <row r="1028" spans="1:14" x14ac:dyDescent="0.3">
      <c r="A1028" s="1">
        <v>45511</v>
      </c>
      <c r="B1028">
        <v>392.26522827148438</v>
      </c>
      <c r="C1028">
        <v>403.73496598996121</v>
      </c>
      <c r="D1028">
        <v>391.32009041994888</v>
      </c>
      <c r="E1028">
        <v>402.3172742353533</v>
      </c>
      <c r="F1028">
        <v>20650900</v>
      </c>
      <c r="G1028" s="2" t="s">
        <v>14</v>
      </c>
      <c r="H1028">
        <v>-0.29528813437053048</v>
      </c>
      <c r="I1028">
        <v>86.470474702919233</v>
      </c>
      <c r="L1028">
        <v>0</v>
      </c>
      <c r="M1028" t="str">
        <f>VLOOKUP(fact_daily_prices[[#This Row],[Ticker]], dim_company[], 2, FALSE)</f>
        <v>Microsoft Corp.</v>
      </c>
      <c r="N1028" t="str">
        <f>VLOOKUP(fact_daily_prices[[#This Row],[Ticker]], dim_company[], 3, FALSE)</f>
        <v>Technology</v>
      </c>
    </row>
    <row r="1029" spans="1:14" x14ac:dyDescent="0.3">
      <c r="A1029" s="1">
        <v>45512</v>
      </c>
      <c r="B1029">
        <v>396.4593505859375</v>
      </c>
      <c r="C1029">
        <v>399.58028569311568</v>
      </c>
      <c r="D1029">
        <v>393.7519001712231</v>
      </c>
      <c r="E1029">
        <v>396.21321873005439</v>
      </c>
      <c r="F1029">
        <v>20203000</v>
      </c>
      <c r="G1029" s="2" t="s">
        <v>14</v>
      </c>
      <c r="H1029">
        <v>1.0692057343278938</v>
      </c>
      <c r="I1029">
        <v>87.395021976943397</v>
      </c>
      <c r="L1029">
        <v>0</v>
      </c>
      <c r="M1029" t="str">
        <f>VLOOKUP(fact_daily_prices[[#This Row],[Ticker]], dim_company[], 2, FALSE)</f>
        <v>Microsoft Corp.</v>
      </c>
      <c r="N1029" t="str">
        <f>VLOOKUP(fact_daily_prices[[#This Row],[Ticker]], dim_company[], 3, FALSE)</f>
        <v>Technology</v>
      </c>
    </row>
    <row r="1030" spans="1:14" x14ac:dyDescent="0.3">
      <c r="A1030" s="1">
        <v>45513</v>
      </c>
      <c r="B1030">
        <v>399.73782348632813</v>
      </c>
      <c r="C1030">
        <v>401.73641300328097</v>
      </c>
      <c r="D1030">
        <v>396.0360207139592</v>
      </c>
      <c r="E1030">
        <v>397.77862347999218</v>
      </c>
      <c r="F1030">
        <v>19276700</v>
      </c>
      <c r="G1030" s="2" t="s">
        <v>14</v>
      </c>
      <c r="H1030">
        <v>0.82693796868336111</v>
      </c>
      <c r="I1030">
        <v>88.117724596409914</v>
      </c>
      <c r="L1030">
        <v>0</v>
      </c>
      <c r="M1030" t="str">
        <f>VLOOKUP(fact_daily_prices[[#This Row],[Ticker]], dim_company[], 2, FALSE)</f>
        <v>Microsoft Corp.</v>
      </c>
      <c r="N1030" t="str">
        <f>VLOOKUP(fact_daily_prices[[#This Row],[Ticker]], dim_company[], 3, FALSE)</f>
        <v>Technology</v>
      </c>
    </row>
    <row r="1031" spans="1:14" x14ac:dyDescent="0.3">
      <c r="A1031" s="1">
        <v>45516</v>
      </c>
      <c r="B1031">
        <v>400.51559448242188</v>
      </c>
      <c r="C1031">
        <v>402.43543495594565</v>
      </c>
      <c r="D1031">
        <v>397.98535182009545</v>
      </c>
      <c r="E1031">
        <v>400.7617263356741</v>
      </c>
      <c r="F1031">
        <v>16762900</v>
      </c>
      <c r="G1031" s="2" t="s">
        <v>14</v>
      </c>
      <c r="H1031">
        <v>0.1945702784165837</v>
      </c>
      <c r="I1031">
        <v>88.289175498491517</v>
      </c>
      <c r="L1031">
        <v>0</v>
      </c>
      <c r="M1031" t="str">
        <f>VLOOKUP(fact_daily_prices[[#This Row],[Ticker]], dim_company[], 2, FALSE)</f>
        <v>Microsoft Corp.</v>
      </c>
      <c r="N1031" t="str">
        <f>VLOOKUP(fact_daily_prices[[#This Row],[Ticker]], dim_company[], 3, FALSE)</f>
        <v>Technology</v>
      </c>
    </row>
    <row r="1032" spans="1:14" x14ac:dyDescent="0.3">
      <c r="A1032" s="1">
        <v>45517</v>
      </c>
      <c r="B1032">
        <v>407.60421752929688</v>
      </c>
      <c r="C1032">
        <v>408.52967573216</v>
      </c>
      <c r="D1032">
        <v>403.23291326546496</v>
      </c>
      <c r="E1032">
        <v>403.25259299804321</v>
      </c>
      <c r="F1032">
        <v>19414300</v>
      </c>
      <c r="G1032" s="2" t="s">
        <v>14</v>
      </c>
      <c r="H1032">
        <v>1.7698744180074888</v>
      </c>
      <c r="I1032">
        <v>89.85178302950905</v>
      </c>
      <c r="L1032">
        <v>0</v>
      </c>
      <c r="M1032" t="str">
        <f>VLOOKUP(fact_daily_prices[[#This Row],[Ticker]], dim_company[], 2, FALSE)</f>
        <v>Microsoft Corp.</v>
      </c>
      <c r="N1032" t="str">
        <f>VLOOKUP(fact_daily_prices[[#This Row],[Ticker]], dim_company[], 3, FALSE)</f>
        <v>Technology</v>
      </c>
    </row>
    <row r="1033" spans="1:14" x14ac:dyDescent="0.3">
      <c r="A1033" s="1">
        <v>45518</v>
      </c>
      <c r="B1033">
        <v>410.41006469726563</v>
      </c>
      <c r="C1033">
        <v>411.25677385836917</v>
      </c>
      <c r="D1033">
        <v>406.06832543909752</v>
      </c>
      <c r="E1033">
        <v>408.38194072037288</v>
      </c>
      <c r="F1033">
        <v>18267000</v>
      </c>
      <c r="G1033" s="2" t="s">
        <v>14</v>
      </c>
      <c r="H1033">
        <v>0.68837540125969987</v>
      </c>
      <c r="I1033">
        <v>90.470300601477433</v>
      </c>
      <c r="L1033">
        <v>0</v>
      </c>
      <c r="M1033" t="str">
        <f>VLOOKUP(fact_daily_prices[[#This Row],[Ticker]], dim_company[], 2, FALSE)</f>
        <v>Microsoft Corp.</v>
      </c>
      <c r="N1033" t="str">
        <f>VLOOKUP(fact_daily_prices[[#This Row],[Ticker]], dim_company[], 3, FALSE)</f>
        <v>Technology</v>
      </c>
    </row>
    <row r="1034" spans="1:14" x14ac:dyDescent="0.3">
      <c r="A1034" s="1">
        <v>45519</v>
      </c>
      <c r="B1034">
        <v>415.26272583007813</v>
      </c>
      <c r="C1034">
        <v>415.34161674551206</v>
      </c>
      <c r="D1034">
        <v>411.9388929382302</v>
      </c>
      <c r="E1034">
        <v>414.04956354600228</v>
      </c>
      <c r="F1034">
        <v>20752100</v>
      </c>
      <c r="G1034" s="2" t="s">
        <v>14</v>
      </c>
      <c r="H1034">
        <v>1.1823933061661185</v>
      </c>
      <c r="I1034">
        <v>91.540015379857664</v>
      </c>
      <c r="K1034">
        <v>1.472512200785425</v>
      </c>
      <c r="L1034">
        <v>0</v>
      </c>
      <c r="M1034" t="str">
        <f>VLOOKUP(fact_daily_prices[[#This Row],[Ticker]], dim_company[], 2, FALSE)</f>
        <v>Microsoft Corp.</v>
      </c>
      <c r="N1034" t="str">
        <f>VLOOKUP(fact_daily_prices[[#This Row],[Ticker]], dim_company[], 3, FALSE)</f>
        <v>Technology</v>
      </c>
    </row>
    <row r="1035" spans="1:14" x14ac:dyDescent="0.3">
      <c r="A1035" s="1">
        <v>45520</v>
      </c>
      <c r="B1035">
        <v>412.73779296875</v>
      </c>
      <c r="C1035">
        <v>415.56847485047058</v>
      </c>
      <c r="D1035">
        <v>411.58380640221424</v>
      </c>
      <c r="E1035">
        <v>414.83862101324593</v>
      </c>
      <c r="F1035">
        <v>22775600</v>
      </c>
      <c r="G1035" s="2" t="s">
        <v>14</v>
      </c>
      <c r="H1035">
        <v>-0.60803262712322281</v>
      </c>
      <c r="I1035">
        <v>90.983422219474505</v>
      </c>
      <c r="K1035">
        <v>1.4354292675144973</v>
      </c>
      <c r="L1035">
        <v>0</v>
      </c>
      <c r="M1035" t="str">
        <f>VLOOKUP(fact_daily_prices[[#This Row],[Ticker]], dim_company[], 2, FALSE)</f>
        <v>Microsoft Corp.</v>
      </c>
      <c r="N1035" t="str">
        <f>VLOOKUP(fact_daily_prices[[#This Row],[Ticker]], dim_company[], 3, FALSE)</f>
        <v>Technology</v>
      </c>
    </row>
    <row r="1036" spans="1:14" x14ac:dyDescent="0.3">
      <c r="A1036" s="1">
        <v>45523</v>
      </c>
      <c r="B1036">
        <v>415.755859375</v>
      </c>
      <c r="C1036">
        <v>415.97284700777072</v>
      </c>
      <c r="D1036">
        <v>410.75530126947416</v>
      </c>
      <c r="E1036">
        <v>413.22105614207504</v>
      </c>
      <c r="F1036">
        <v>15234000</v>
      </c>
      <c r="G1036" s="2" t="s">
        <v>14</v>
      </c>
      <c r="H1036">
        <v>0.73123093103288905</v>
      </c>
      <c r="I1036">
        <v>91.648721144855557</v>
      </c>
      <c r="K1036">
        <v>1.4490144425340605</v>
      </c>
      <c r="L1036">
        <v>0</v>
      </c>
      <c r="M1036" t="str">
        <f>VLOOKUP(fact_daily_prices[[#This Row],[Ticker]], dim_company[], 2, FALSE)</f>
        <v>Microsoft Corp.</v>
      </c>
      <c r="N1036" t="str">
        <f>VLOOKUP(fact_daily_prices[[#This Row],[Ticker]], dim_company[], 3, FALSE)</f>
        <v>Technology</v>
      </c>
    </row>
    <row r="1037" spans="1:14" x14ac:dyDescent="0.3">
      <c r="A1037" s="1">
        <v>45524</v>
      </c>
      <c r="B1037">
        <v>418.98104858398438</v>
      </c>
      <c r="C1037">
        <v>420.02652622371659</v>
      </c>
      <c r="D1037">
        <v>415.86436096713305</v>
      </c>
      <c r="E1037">
        <v>415.92353667507672</v>
      </c>
      <c r="F1037">
        <v>16387600</v>
      </c>
      <c r="G1037" s="2" t="s">
        <v>14</v>
      </c>
      <c r="H1037">
        <v>0.7757411317865115</v>
      </c>
      <c r="I1037">
        <v>92.359677971532534</v>
      </c>
      <c r="K1037">
        <v>1.4464700818864427</v>
      </c>
      <c r="L1037">
        <v>0</v>
      </c>
      <c r="M1037" t="str">
        <f>VLOOKUP(fact_daily_prices[[#This Row],[Ticker]], dim_company[], 2, FALSE)</f>
        <v>Microsoft Corp.</v>
      </c>
      <c r="N1037" t="str">
        <f>VLOOKUP(fact_daily_prices[[#This Row],[Ticker]], dim_company[], 3, FALSE)</f>
        <v>Technology</v>
      </c>
    </row>
    <row r="1038" spans="1:14" x14ac:dyDescent="0.3">
      <c r="A1038" s="1">
        <v>45525</v>
      </c>
      <c r="B1038">
        <v>418.33013916015625</v>
      </c>
      <c r="C1038">
        <v>420.55916118279697</v>
      </c>
      <c r="D1038">
        <v>415.94327510812218</v>
      </c>
      <c r="E1038">
        <v>418.27093334935978</v>
      </c>
      <c r="F1038">
        <v>16067300</v>
      </c>
      <c r="G1038" s="2" t="s">
        <v>14</v>
      </c>
      <c r="H1038">
        <v>-0.15535533791516398</v>
      </c>
      <c r="I1038">
        <v>92.216192281722513</v>
      </c>
      <c r="K1038">
        <v>1.4104032380607132</v>
      </c>
      <c r="L1038">
        <v>0</v>
      </c>
      <c r="M1038" t="str">
        <f>VLOOKUP(fact_daily_prices[[#This Row],[Ticker]], dim_company[], 2, FALSE)</f>
        <v>Microsoft Corp.</v>
      </c>
      <c r="N1038" t="str">
        <f>VLOOKUP(fact_daily_prices[[#This Row],[Ticker]], dim_company[], 3, FALSE)</f>
        <v>Technology</v>
      </c>
    </row>
    <row r="1039" spans="1:14" x14ac:dyDescent="0.3">
      <c r="A1039" s="1">
        <v>45526</v>
      </c>
      <c r="B1039">
        <v>409.85775756835938</v>
      </c>
      <c r="C1039">
        <v>420.94381179948721</v>
      </c>
      <c r="D1039">
        <v>408.93063134032178</v>
      </c>
      <c r="E1039">
        <v>418.54707521874735</v>
      </c>
      <c r="F1039">
        <v>19361900</v>
      </c>
      <c r="G1039" s="2" t="s">
        <v>14</v>
      </c>
      <c r="H1039">
        <v>-2.0252859640488952</v>
      </c>
      <c r="I1039">
        <v>90.348550682860434</v>
      </c>
      <c r="K1039">
        <v>1.3885839139599312</v>
      </c>
      <c r="L1039">
        <v>0</v>
      </c>
      <c r="M1039" t="str">
        <f>VLOOKUP(fact_daily_prices[[#This Row],[Ticker]], dim_company[], 2, FALSE)</f>
        <v>Microsoft Corp.</v>
      </c>
      <c r="N1039" t="str">
        <f>VLOOKUP(fact_daily_prices[[#This Row],[Ticker]], dim_company[], 3, FALSE)</f>
        <v>Technology</v>
      </c>
    </row>
    <row r="1040" spans="1:14" x14ac:dyDescent="0.3">
      <c r="A1040" s="1">
        <v>45527</v>
      </c>
      <c r="B1040">
        <v>411.080810546875</v>
      </c>
      <c r="C1040">
        <v>413.51697764071497</v>
      </c>
      <c r="D1040">
        <v>406.44517920246773</v>
      </c>
      <c r="E1040">
        <v>411.26821033098167</v>
      </c>
      <c r="F1040">
        <v>18493800</v>
      </c>
      <c r="G1040" s="2" t="s">
        <v>14</v>
      </c>
      <c r="H1040">
        <v>0.29840913241996336</v>
      </c>
      <c r="I1040">
        <v>90.61815900910716</v>
      </c>
      <c r="K1040">
        <v>1.3926555972634693</v>
      </c>
      <c r="L1040">
        <v>0</v>
      </c>
      <c r="M1040" t="str">
        <f>VLOOKUP(fact_daily_prices[[#This Row],[Ticker]], dim_company[], 2, FALSE)</f>
        <v>Microsoft Corp.</v>
      </c>
      <c r="N1040" t="str">
        <f>VLOOKUP(fact_daily_prices[[#This Row],[Ticker]], dim_company[], 3, FALSE)</f>
        <v>Technology</v>
      </c>
    </row>
    <row r="1041" spans="1:14" x14ac:dyDescent="0.3">
      <c r="A1041" s="1">
        <v>45530</v>
      </c>
      <c r="B1041">
        <v>407.82598876953131</v>
      </c>
      <c r="C1041">
        <v>411.56408163461282</v>
      </c>
      <c r="D1041">
        <v>405.70544557044389</v>
      </c>
      <c r="E1041">
        <v>410.66654323695218</v>
      </c>
      <c r="F1041">
        <v>13152800</v>
      </c>
      <c r="G1041" s="2" t="s">
        <v>14</v>
      </c>
      <c r="H1041">
        <v>-0.79177176210528666</v>
      </c>
      <c r="I1041">
        <v>89.900670014733379</v>
      </c>
      <c r="K1041">
        <v>1.3941855168304866</v>
      </c>
      <c r="L1041">
        <v>0</v>
      </c>
      <c r="M1041" t="str">
        <f>VLOOKUP(fact_daily_prices[[#This Row],[Ticker]], dim_company[], 2, FALSE)</f>
        <v>Microsoft Corp.</v>
      </c>
      <c r="N1041" t="str">
        <f>VLOOKUP(fact_daily_prices[[#This Row],[Ticker]], dim_company[], 3, FALSE)</f>
        <v>Technology</v>
      </c>
    </row>
    <row r="1042" spans="1:14" x14ac:dyDescent="0.3">
      <c r="A1042" s="1">
        <v>45531</v>
      </c>
      <c r="B1042">
        <v>408.17123413085938</v>
      </c>
      <c r="C1042">
        <v>408.68410035771785</v>
      </c>
      <c r="D1042">
        <v>404.63041340611318</v>
      </c>
      <c r="E1042">
        <v>407.20464729224761</v>
      </c>
      <c r="F1042">
        <v>13492900</v>
      </c>
      <c r="G1042" s="2" t="s">
        <v>14</v>
      </c>
      <c r="H1042">
        <v>8.4655066335947993E-2</v>
      </c>
      <c r="I1042">
        <v>89.976775486570816</v>
      </c>
      <c r="K1042">
        <v>1.3897331761796101</v>
      </c>
      <c r="L1042">
        <v>0</v>
      </c>
      <c r="M1042" t="str">
        <f>VLOOKUP(fact_daily_prices[[#This Row],[Ticker]], dim_company[], 2, FALSE)</f>
        <v>Microsoft Corp.</v>
      </c>
      <c r="N1042" t="str">
        <f>VLOOKUP(fact_daily_prices[[#This Row],[Ticker]], dim_company[], 3, FALSE)</f>
        <v>Technology</v>
      </c>
    </row>
    <row r="1043" spans="1:14" x14ac:dyDescent="0.3">
      <c r="A1043" s="1">
        <v>45532</v>
      </c>
      <c r="B1043">
        <v>404.97555541992188</v>
      </c>
      <c r="C1043">
        <v>409.31527764492301</v>
      </c>
      <c r="D1043">
        <v>401.73061382710529</v>
      </c>
      <c r="E1043">
        <v>409.19692623598894</v>
      </c>
      <c r="F1043">
        <v>14882700</v>
      </c>
      <c r="G1043" s="2" t="s">
        <v>14</v>
      </c>
      <c r="H1043">
        <v>-0.7829259986295245</v>
      </c>
      <c r="I1043">
        <v>89.27232391855793</v>
      </c>
      <c r="K1043">
        <v>1.378623380066315</v>
      </c>
      <c r="L1043">
        <v>0</v>
      </c>
      <c r="M1043" t="str">
        <f>VLOOKUP(fact_daily_prices[[#This Row],[Ticker]], dim_company[], 2, FALSE)</f>
        <v>Microsoft Corp.</v>
      </c>
      <c r="N1043" t="str">
        <f>VLOOKUP(fact_daily_prices[[#This Row],[Ticker]], dim_company[], 3, FALSE)</f>
        <v>Technology</v>
      </c>
    </row>
    <row r="1044" spans="1:14" x14ac:dyDescent="0.3">
      <c r="A1044" s="1">
        <v>45533</v>
      </c>
      <c r="B1044">
        <v>407.4610595703125</v>
      </c>
      <c r="C1044">
        <v>416.26872882049446</v>
      </c>
      <c r="D1044">
        <v>404.97558947505598</v>
      </c>
      <c r="E1044">
        <v>409.25613635554907</v>
      </c>
      <c r="F1044">
        <v>17045200</v>
      </c>
      <c r="G1044" s="2" t="s">
        <v>14</v>
      </c>
      <c r="H1044">
        <v>0.61374177209618797</v>
      </c>
      <c r="I1044">
        <v>89.820225461367144</v>
      </c>
      <c r="K1044">
        <v>1.384280416033874</v>
      </c>
      <c r="L1044">
        <v>0</v>
      </c>
      <c r="M1044" t="str">
        <f>VLOOKUP(fact_daily_prices[[#This Row],[Ticker]], dim_company[], 2, FALSE)</f>
        <v>Microsoft Corp.</v>
      </c>
      <c r="N1044" t="str">
        <f>VLOOKUP(fact_daily_prices[[#This Row],[Ticker]], dim_company[], 3, FALSE)</f>
        <v>Technology</v>
      </c>
    </row>
    <row r="1045" spans="1:14" x14ac:dyDescent="0.3">
      <c r="A1045" s="1">
        <v>45534</v>
      </c>
      <c r="B1045">
        <v>411.42596435546881</v>
      </c>
      <c r="C1045">
        <v>411.77114592014448</v>
      </c>
      <c r="D1045">
        <v>406.48458250076999</v>
      </c>
      <c r="E1045">
        <v>409.9070510926303</v>
      </c>
      <c r="F1045">
        <v>24308300</v>
      </c>
      <c r="G1045" s="2" t="s">
        <v>14</v>
      </c>
      <c r="H1045">
        <v>0.97307575583724937</v>
      </c>
      <c r="I1045">
        <v>90.694244299170066</v>
      </c>
      <c r="K1045">
        <v>1.3963991962113853</v>
      </c>
      <c r="L1045">
        <v>0</v>
      </c>
      <c r="M1045" t="str">
        <f>VLOOKUP(fact_daily_prices[[#This Row],[Ticker]], dim_company[], 2, FALSE)</f>
        <v>Microsoft Corp.</v>
      </c>
      <c r="N1045" t="str">
        <f>VLOOKUP(fact_daily_prices[[#This Row],[Ticker]], dim_company[], 3, FALSE)</f>
        <v>Technology</v>
      </c>
    </row>
    <row r="1046" spans="1:14" x14ac:dyDescent="0.3">
      <c r="A1046" s="1">
        <v>45538</v>
      </c>
      <c r="B1046">
        <v>403.83145141601563</v>
      </c>
      <c r="C1046">
        <v>414.12844563631819</v>
      </c>
      <c r="D1046">
        <v>401.45446023053216</v>
      </c>
      <c r="E1046">
        <v>412.18542969380121</v>
      </c>
      <c r="F1046">
        <v>20313600</v>
      </c>
      <c r="G1046" s="2" t="s">
        <v>14</v>
      </c>
      <c r="H1046">
        <v>-1.8459002584707007</v>
      </c>
      <c r="I1046">
        <v>89.020119009233639</v>
      </c>
      <c r="K1046">
        <v>1.4013235726732534</v>
      </c>
      <c r="L1046">
        <v>0</v>
      </c>
      <c r="M1046" t="str">
        <f>VLOOKUP(fact_daily_prices[[#This Row],[Ticker]], dim_company[], 2, FALSE)</f>
        <v>Microsoft Corp.</v>
      </c>
      <c r="N1046" t="str">
        <f>VLOOKUP(fact_daily_prices[[#This Row],[Ticker]], dim_company[], 3, FALSE)</f>
        <v>Technology</v>
      </c>
    </row>
    <row r="1047" spans="1:14" x14ac:dyDescent="0.3">
      <c r="A1047" s="1">
        <v>45539</v>
      </c>
      <c r="B1047">
        <v>403.29885864257813</v>
      </c>
      <c r="C1047">
        <v>405.60680157822418</v>
      </c>
      <c r="D1047">
        <v>398.830912042889</v>
      </c>
      <c r="E1047">
        <v>400.34982546362153</v>
      </c>
      <c r="F1047">
        <v>15135800</v>
      </c>
      <c r="G1047" s="2" t="s">
        <v>14</v>
      </c>
      <c r="H1047">
        <v>-0.13188491673196134</v>
      </c>
      <c r="I1047">
        <v>88.902714899403605</v>
      </c>
      <c r="K1047">
        <v>1.3956966059952707</v>
      </c>
      <c r="L1047">
        <v>0</v>
      </c>
      <c r="M1047" t="str">
        <f>VLOOKUP(fact_daily_prices[[#This Row],[Ticker]], dim_company[], 2, FALSE)</f>
        <v>Microsoft Corp.</v>
      </c>
      <c r="N1047" t="str">
        <f>VLOOKUP(fact_daily_prices[[#This Row],[Ticker]], dim_company[], 3, FALSE)</f>
        <v>Technology</v>
      </c>
    </row>
    <row r="1048" spans="1:14" x14ac:dyDescent="0.3">
      <c r="A1048" s="1">
        <v>45540</v>
      </c>
      <c r="B1048">
        <v>402.79586791992188</v>
      </c>
      <c r="C1048">
        <v>407.44134167783631</v>
      </c>
      <c r="D1048">
        <v>400.5668158804491</v>
      </c>
      <c r="E1048">
        <v>402.0363961545014</v>
      </c>
      <c r="F1048">
        <v>14195500</v>
      </c>
      <c r="G1048" s="2" t="s">
        <v>14</v>
      </c>
      <c r="H1048">
        <v>-0.12471910392933827</v>
      </c>
      <c r="I1048">
        <v>88.791836230012223</v>
      </c>
      <c r="K1048">
        <v>1.2468708452805999</v>
      </c>
      <c r="L1048">
        <v>0</v>
      </c>
      <c r="M1048" t="str">
        <f>VLOOKUP(fact_daily_prices[[#This Row],[Ticker]], dim_company[], 2, FALSE)</f>
        <v>Microsoft Corp.</v>
      </c>
      <c r="N1048" t="str">
        <f>VLOOKUP(fact_daily_prices[[#This Row],[Ticker]], dim_company[], 3, FALSE)</f>
        <v>Technology</v>
      </c>
    </row>
    <row r="1049" spans="1:14" x14ac:dyDescent="0.3">
      <c r="A1049" s="1">
        <v>45541</v>
      </c>
      <c r="B1049">
        <v>396.197509765625</v>
      </c>
      <c r="C1049">
        <v>405.02489425667079</v>
      </c>
      <c r="D1049">
        <v>395.30981392110488</v>
      </c>
      <c r="E1049">
        <v>403.45667775065772</v>
      </c>
      <c r="F1049">
        <v>19609500</v>
      </c>
      <c r="G1049" s="2" t="s">
        <v>14</v>
      </c>
      <c r="H1049">
        <v>-1.6381394844915964</v>
      </c>
      <c r="I1049">
        <v>87.337302101723282</v>
      </c>
      <c r="K1049">
        <v>1.2033956688480929</v>
      </c>
      <c r="L1049">
        <v>0</v>
      </c>
      <c r="M1049" t="str">
        <f>VLOOKUP(fact_daily_prices[[#This Row],[Ticker]], dim_company[], 2, FALSE)</f>
        <v>Microsoft Corp.</v>
      </c>
      <c r="N1049" t="str">
        <f>VLOOKUP(fact_daily_prices[[#This Row],[Ticker]], dim_company[], 3, FALSE)</f>
        <v>Technology</v>
      </c>
    </row>
    <row r="1050" spans="1:14" x14ac:dyDescent="0.3">
      <c r="A1050" s="1">
        <v>45544</v>
      </c>
      <c r="B1050">
        <v>400.16241455078131</v>
      </c>
      <c r="C1050">
        <v>403.05227194067839</v>
      </c>
      <c r="D1050">
        <v>396.64130948688222</v>
      </c>
      <c r="E1050">
        <v>401.66158262721711</v>
      </c>
      <c r="F1050">
        <v>15295100</v>
      </c>
      <c r="G1050" s="2" t="s">
        <v>14</v>
      </c>
      <c r="H1050">
        <v>1.0007394512655532</v>
      </c>
      <c r="I1050">
        <v>88.211320939526189</v>
      </c>
      <c r="K1050">
        <v>1.1763638826181775</v>
      </c>
      <c r="L1050">
        <v>0</v>
      </c>
      <c r="M1050" t="str">
        <f>VLOOKUP(fact_daily_prices[[#This Row],[Ticker]], dim_company[], 2, FALSE)</f>
        <v>Microsoft Corp.</v>
      </c>
      <c r="N1050" t="str">
        <f>VLOOKUP(fact_daily_prices[[#This Row],[Ticker]], dim_company[], 3, FALSE)</f>
        <v>Technology</v>
      </c>
    </row>
    <row r="1051" spans="1:14" x14ac:dyDescent="0.3">
      <c r="A1051" s="1">
        <v>45545</v>
      </c>
      <c r="B1051">
        <v>408.52627563476563</v>
      </c>
      <c r="C1051">
        <v>410.62707348358799</v>
      </c>
      <c r="D1051">
        <v>402.11531302402886</v>
      </c>
      <c r="E1051">
        <v>402.60846399408553</v>
      </c>
      <c r="F1051">
        <v>19594300</v>
      </c>
      <c r="G1051" s="2" t="s">
        <v>14</v>
      </c>
      <c r="H1051">
        <v>2.0901166076213062</v>
      </c>
      <c r="I1051">
        <v>90.055040408285365</v>
      </c>
      <c r="K1051">
        <v>1.2426787425891488</v>
      </c>
      <c r="L1051">
        <v>0</v>
      </c>
      <c r="M1051" t="str">
        <f>VLOOKUP(fact_daily_prices[[#This Row],[Ticker]], dim_company[], 2, FALSE)</f>
        <v>Microsoft Corp.</v>
      </c>
      <c r="N1051" t="str">
        <f>VLOOKUP(fact_daily_prices[[#This Row],[Ticker]], dim_company[], 3, FALSE)</f>
        <v>Technology</v>
      </c>
    </row>
    <row r="1052" spans="1:14" x14ac:dyDescent="0.3">
      <c r="A1052" s="1">
        <v>45546</v>
      </c>
      <c r="B1052">
        <v>417.24517822265625</v>
      </c>
      <c r="C1052">
        <v>418.18214699940978</v>
      </c>
      <c r="D1052">
        <v>403.96953253094279</v>
      </c>
      <c r="E1052">
        <v>409.80845321892127</v>
      </c>
      <c r="F1052">
        <v>19266900</v>
      </c>
      <c r="G1052" s="2" t="s">
        <v>14</v>
      </c>
      <c r="H1052">
        <v>2.1342329999076037</v>
      </c>
      <c r="I1052">
        <v>91.977024798759118</v>
      </c>
      <c r="K1052">
        <v>1.2966133226449599</v>
      </c>
      <c r="L1052">
        <v>0</v>
      </c>
      <c r="M1052" t="str">
        <f>VLOOKUP(fact_daily_prices[[#This Row],[Ticker]], dim_company[], 2, FALSE)</f>
        <v>Microsoft Corp.</v>
      </c>
      <c r="N1052" t="str">
        <f>VLOOKUP(fact_daily_prices[[#This Row],[Ticker]], dim_company[], 3, FALSE)</f>
        <v>Technology</v>
      </c>
    </row>
    <row r="1053" spans="1:14" x14ac:dyDescent="0.3">
      <c r="A1053" s="1">
        <v>45547</v>
      </c>
      <c r="B1053">
        <v>421.15097045898438</v>
      </c>
      <c r="C1053">
        <v>421.51589739731833</v>
      </c>
      <c r="D1053">
        <v>414.00028067952849</v>
      </c>
      <c r="E1053">
        <v>417.51151352878702</v>
      </c>
      <c r="F1053">
        <v>17395700</v>
      </c>
      <c r="G1053" s="2" t="s">
        <v>14</v>
      </c>
      <c r="H1053">
        <v>0.93609044278610831</v>
      </c>
      <c r="I1053">
        <v>92.838012937459297</v>
      </c>
      <c r="J1053">
        <v>418.82772583007812</v>
      </c>
      <c r="K1053">
        <v>1.29010922210462</v>
      </c>
      <c r="L1053">
        <v>0</v>
      </c>
      <c r="M1053" t="str">
        <f>VLOOKUP(fact_daily_prices[[#This Row],[Ticker]], dim_company[], 2, FALSE)</f>
        <v>Microsoft Corp.</v>
      </c>
      <c r="N1053" t="str">
        <f>VLOOKUP(fact_daily_prices[[#This Row],[Ticker]], dim_company[], 3, FALSE)</f>
        <v>Technology</v>
      </c>
    </row>
    <row r="1054" spans="1:14" x14ac:dyDescent="0.3">
      <c r="A1054" s="1">
        <v>45548</v>
      </c>
      <c r="B1054">
        <v>424.69171142578131</v>
      </c>
      <c r="C1054">
        <v>425.91471609209202</v>
      </c>
      <c r="D1054">
        <v>419.63197810212398</v>
      </c>
      <c r="E1054">
        <v>419.99690497193978</v>
      </c>
      <c r="F1054">
        <v>15874600</v>
      </c>
      <c r="G1054" s="2" t="s">
        <v>14</v>
      </c>
      <c r="H1054">
        <v>0.8407296231415895</v>
      </c>
      <c r="I1054">
        <v>93.618529613760543</v>
      </c>
      <c r="J1054">
        <v>418.24874694824223</v>
      </c>
      <c r="K1054">
        <v>1.2952922719528364</v>
      </c>
      <c r="L1054">
        <v>0</v>
      </c>
      <c r="M1054" t="str">
        <f>VLOOKUP(fact_daily_prices[[#This Row],[Ticker]], dim_company[], 2, FALSE)</f>
        <v>Microsoft Corp.</v>
      </c>
      <c r="N1054" t="str">
        <f>VLOOKUP(fact_daily_prices[[#This Row],[Ticker]], dim_company[], 3, FALSE)</f>
        <v>Technology</v>
      </c>
    </row>
    <row r="1055" spans="1:14" x14ac:dyDescent="0.3">
      <c r="A1055" s="1">
        <v>45551</v>
      </c>
      <c r="B1055">
        <v>425.43148803710938</v>
      </c>
      <c r="C1055">
        <v>427.59149175891241</v>
      </c>
      <c r="D1055">
        <v>422.35423070729331</v>
      </c>
      <c r="E1055">
        <v>424.7016342113202</v>
      </c>
      <c r="F1055">
        <v>13834700</v>
      </c>
      <c r="G1055" s="2" t="s">
        <v>14</v>
      </c>
      <c r="H1055">
        <v>0.17419144085588645</v>
      </c>
      <c r="I1055">
        <v>93.781605079402837</v>
      </c>
      <c r="J1055">
        <v>417.55086425781252</v>
      </c>
      <c r="K1055">
        <v>1.2276826193046637</v>
      </c>
      <c r="L1055">
        <v>0</v>
      </c>
      <c r="M1055" t="str">
        <f>VLOOKUP(fact_daily_prices[[#This Row],[Ticker]], dim_company[], 2, FALSE)</f>
        <v>Microsoft Corp.</v>
      </c>
      <c r="N1055" t="str">
        <f>VLOOKUP(fact_daily_prices[[#This Row],[Ticker]], dim_company[], 3, FALSE)</f>
        <v>Technology</v>
      </c>
    </row>
    <row r="1056" spans="1:14" x14ac:dyDescent="0.3">
      <c r="A1056" s="1">
        <v>45552</v>
      </c>
      <c r="B1056">
        <v>429.18930053710938</v>
      </c>
      <c r="C1056">
        <v>435.79753584231287</v>
      </c>
      <c r="D1056">
        <v>426.34874601904642</v>
      </c>
      <c r="E1056">
        <v>434.19973145078939</v>
      </c>
      <c r="F1056">
        <v>18874200</v>
      </c>
      <c r="G1056" s="2" t="s">
        <v>14</v>
      </c>
      <c r="H1056">
        <v>0.88329439772738549</v>
      </c>
      <c r="I1056">
        <v>94.609972743168015</v>
      </c>
      <c r="J1056">
        <v>416.95412902832032</v>
      </c>
      <c r="K1056">
        <v>1.0444141774636577</v>
      </c>
      <c r="L1056">
        <v>0</v>
      </c>
      <c r="M1056" t="str">
        <f>VLOOKUP(fact_daily_prices[[#This Row],[Ticker]], dim_company[], 2, FALSE)</f>
        <v>Microsoft Corp.</v>
      </c>
      <c r="N1056" t="str">
        <f>VLOOKUP(fact_daily_prices[[#This Row],[Ticker]], dim_company[], 3, FALSE)</f>
        <v>Technology</v>
      </c>
    </row>
    <row r="1057" spans="1:14" x14ac:dyDescent="0.3">
      <c r="A1057" s="1">
        <v>45553</v>
      </c>
      <c r="B1057">
        <v>424.90872192382813</v>
      </c>
      <c r="C1057">
        <v>430.05721907964937</v>
      </c>
      <c r="D1057">
        <v>424.51420718114417</v>
      </c>
      <c r="E1057">
        <v>429.04132931995406</v>
      </c>
      <c r="F1057">
        <v>18898000</v>
      </c>
      <c r="G1057" s="2" t="s">
        <v>14</v>
      </c>
      <c r="H1057">
        <v>-0.99736377582673175</v>
      </c>
      <c r="I1057">
        <v>93.666367146708112</v>
      </c>
      <c r="J1057">
        <v>416.40370910644532</v>
      </c>
      <c r="K1057">
        <v>1.0605842138373245</v>
      </c>
      <c r="L1057">
        <v>0</v>
      </c>
      <c r="M1057" t="str">
        <f>VLOOKUP(fact_daily_prices[[#This Row],[Ticker]], dim_company[], 2, FALSE)</f>
        <v>Microsoft Corp.</v>
      </c>
      <c r="N1057" t="str">
        <f>VLOOKUP(fact_daily_prices[[#This Row],[Ticker]], dim_company[], 3, FALSE)</f>
        <v>Technology</v>
      </c>
    </row>
    <row r="1058" spans="1:14" x14ac:dyDescent="0.3">
      <c r="A1058" s="1">
        <v>45554</v>
      </c>
      <c r="B1058">
        <v>432.68075561523438</v>
      </c>
      <c r="C1058">
        <v>435.45226137137865</v>
      </c>
      <c r="D1058">
        <v>430.91526689777038</v>
      </c>
      <c r="E1058">
        <v>435.18597071101885</v>
      </c>
      <c r="F1058">
        <v>21706600</v>
      </c>
      <c r="G1058" s="2" t="s">
        <v>14</v>
      </c>
      <c r="H1058">
        <v>1.8291066505336406</v>
      </c>
      <c r="I1058">
        <v>95.379624897501813</v>
      </c>
      <c r="J1058">
        <v>415.87660583496091</v>
      </c>
      <c r="K1058">
        <v>1.0925073387011106</v>
      </c>
      <c r="L1058">
        <v>0</v>
      </c>
      <c r="M1058" t="str">
        <f>VLOOKUP(fact_daily_prices[[#This Row],[Ticker]], dim_company[], 2, FALSE)</f>
        <v>Microsoft Corp.</v>
      </c>
      <c r="N1058" t="str">
        <f>VLOOKUP(fact_daily_prices[[#This Row],[Ticker]], dim_company[], 3, FALSE)</f>
        <v>Technology</v>
      </c>
    </row>
    <row r="1059" spans="1:14" x14ac:dyDescent="0.3">
      <c r="A1059" s="1">
        <v>45555</v>
      </c>
      <c r="B1059">
        <v>429.30758666992188</v>
      </c>
      <c r="C1059">
        <v>433.22320613865389</v>
      </c>
      <c r="D1059">
        <v>428.27198178833157</v>
      </c>
      <c r="E1059">
        <v>431.23088727806737</v>
      </c>
      <c r="F1059">
        <v>55167100</v>
      </c>
      <c r="G1059" s="2" t="s">
        <v>14</v>
      </c>
      <c r="H1059">
        <v>-0.77959763671858751</v>
      </c>
      <c r="I1059">
        <v>94.636047595889835</v>
      </c>
      <c r="J1059">
        <v>415.5094659423828</v>
      </c>
      <c r="K1059">
        <v>1.1016632008539511</v>
      </c>
      <c r="L1059">
        <v>1</v>
      </c>
      <c r="M1059" t="str">
        <f>VLOOKUP(fact_daily_prices[[#This Row],[Ticker]], dim_company[], 2, FALSE)</f>
        <v>Microsoft Corp.</v>
      </c>
      <c r="N1059" t="str">
        <f>VLOOKUP(fact_daily_prices[[#This Row],[Ticker]], dim_company[], 3, FALSE)</f>
        <v>Technology</v>
      </c>
    </row>
    <row r="1060" spans="1:14" x14ac:dyDescent="0.3">
      <c r="A1060" s="1">
        <v>45558</v>
      </c>
      <c r="B1060">
        <v>427.57177734375</v>
      </c>
      <c r="C1060">
        <v>430.48135010026579</v>
      </c>
      <c r="D1060">
        <v>424.49452000825983</v>
      </c>
      <c r="E1060">
        <v>428.33121902605126</v>
      </c>
      <c r="F1060">
        <v>15128900</v>
      </c>
      <c r="G1060" s="2" t="s">
        <v>14</v>
      </c>
      <c r="H1060">
        <v>-0.40432766158089439</v>
      </c>
      <c r="I1060">
        <v>94.253407877632782</v>
      </c>
      <c r="J1060">
        <v>415.13025390625</v>
      </c>
      <c r="K1060">
        <v>1.1031931064443266</v>
      </c>
      <c r="L1060">
        <v>0</v>
      </c>
      <c r="M1060" t="str">
        <f>VLOOKUP(fact_daily_prices[[#This Row],[Ticker]], dim_company[], 2, FALSE)</f>
        <v>Microsoft Corp.</v>
      </c>
      <c r="N1060" t="str">
        <f>VLOOKUP(fact_daily_prices[[#This Row],[Ticker]], dim_company[], 3, FALSE)</f>
        <v>Technology</v>
      </c>
    </row>
    <row r="1061" spans="1:14" x14ac:dyDescent="0.3">
      <c r="A1061" s="1">
        <v>45559</v>
      </c>
      <c r="B1061">
        <v>423.29119873046881</v>
      </c>
      <c r="C1061">
        <v>427.41393343945828</v>
      </c>
      <c r="D1061">
        <v>420.26324468027582</v>
      </c>
      <c r="E1061">
        <v>427.06872175531288</v>
      </c>
      <c r="F1061">
        <v>17015800</v>
      </c>
      <c r="G1061" s="2" t="s">
        <v>14</v>
      </c>
      <c r="H1061">
        <v>-1.0011368476829485</v>
      </c>
      <c r="I1061">
        <v>93.309802281172907</v>
      </c>
      <c r="J1061">
        <v>414.65735595703126</v>
      </c>
      <c r="K1061">
        <v>1.1259022150091809</v>
      </c>
      <c r="L1061">
        <v>0</v>
      </c>
      <c r="M1061" t="str">
        <f>VLOOKUP(fact_daily_prices[[#This Row],[Ticker]], dim_company[], 2, FALSE)</f>
        <v>Microsoft Corp.</v>
      </c>
      <c r="N1061" t="str">
        <f>VLOOKUP(fact_daily_prices[[#This Row],[Ticker]], dim_company[], 3, FALSE)</f>
        <v>Technology</v>
      </c>
    </row>
    <row r="1062" spans="1:14" x14ac:dyDescent="0.3">
      <c r="A1062" s="1">
        <v>45560</v>
      </c>
      <c r="B1062">
        <v>426.19091796875</v>
      </c>
      <c r="C1062">
        <v>427.18709256263008</v>
      </c>
      <c r="D1062">
        <v>422.69943076362239</v>
      </c>
      <c r="E1062">
        <v>423.94215074360574</v>
      </c>
      <c r="F1062">
        <v>13396400</v>
      </c>
      <c r="G1062" s="2" t="s">
        <v>14</v>
      </c>
      <c r="H1062">
        <v>0.68504123094881297</v>
      </c>
      <c r="I1062">
        <v>93.949012899315747</v>
      </c>
      <c r="J1062">
        <v>414.32987976074219</v>
      </c>
      <c r="K1062">
        <v>1.0902904773858153</v>
      </c>
      <c r="L1062">
        <v>0</v>
      </c>
      <c r="M1062" t="str">
        <f>VLOOKUP(fact_daily_prices[[#This Row],[Ticker]], dim_company[], 2, FALSE)</f>
        <v>Microsoft Corp.</v>
      </c>
      <c r="N1062" t="str">
        <f>VLOOKUP(fact_daily_prices[[#This Row],[Ticker]], dim_company[], 3, FALSE)</f>
        <v>Technology</v>
      </c>
    </row>
    <row r="1063" spans="1:14" x14ac:dyDescent="0.3">
      <c r="A1063" s="1">
        <v>45561</v>
      </c>
      <c r="B1063">
        <v>425.40188598632813</v>
      </c>
      <c r="C1063">
        <v>429.33722108261128</v>
      </c>
      <c r="D1063">
        <v>423.25175498782801</v>
      </c>
      <c r="E1063">
        <v>429.13010610374022</v>
      </c>
      <c r="F1063">
        <v>14492000</v>
      </c>
      <c r="G1063" s="2" t="s">
        <v>14</v>
      </c>
      <c r="H1063">
        <v>-0.1851358039684281</v>
      </c>
      <c r="I1063">
        <v>93.775079638964201</v>
      </c>
      <c r="J1063">
        <v>414.10476562500003</v>
      </c>
      <c r="K1063">
        <v>1.0872005465972647</v>
      </c>
      <c r="L1063">
        <v>0</v>
      </c>
      <c r="M1063" t="str">
        <f>VLOOKUP(fact_daily_prices[[#This Row],[Ticker]], dim_company[], 2, FALSE)</f>
        <v>Microsoft Corp.</v>
      </c>
      <c r="N1063" t="str">
        <f>VLOOKUP(fact_daily_prices[[#This Row],[Ticker]], dim_company[], 3, FALSE)</f>
        <v>Technology</v>
      </c>
    </row>
    <row r="1064" spans="1:14" x14ac:dyDescent="0.3">
      <c r="A1064" s="1">
        <v>45562</v>
      </c>
      <c r="B1064">
        <v>422.15695190429688</v>
      </c>
      <c r="C1064">
        <v>425.93450524734448</v>
      </c>
      <c r="D1064">
        <v>421.61449786891575</v>
      </c>
      <c r="E1064">
        <v>425.60900874647831</v>
      </c>
      <c r="F1064">
        <v>14896100</v>
      </c>
      <c r="G1064" s="2" t="s">
        <v>14</v>
      </c>
      <c r="H1064">
        <v>-0.76279259423300827</v>
      </c>
      <c r="I1064">
        <v>93.059770276242077</v>
      </c>
      <c r="J1064">
        <v>413.87677795410156</v>
      </c>
      <c r="K1064">
        <v>1.07996759265455</v>
      </c>
      <c r="L1064">
        <v>0</v>
      </c>
      <c r="M1064" t="str">
        <f>VLOOKUP(fact_daily_prices[[#This Row],[Ticker]], dim_company[], 2, FALSE)</f>
        <v>Microsoft Corp.</v>
      </c>
      <c r="N1064" t="str">
        <f>VLOOKUP(fact_daily_prices[[#This Row],[Ticker]], dim_company[], 3, FALSE)</f>
        <v>Technology</v>
      </c>
    </row>
    <row r="1065" spans="1:14" x14ac:dyDescent="0.3">
      <c r="A1065" s="1">
        <v>45565</v>
      </c>
      <c r="B1065">
        <v>424.40570068359375</v>
      </c>
      <c r="C1065">
        <v>424.52408219664926</v>
      </c>
      <c r="D1065">
        <v>419.5432394814415</v>
      </c>
      <c r="E1065">
        <v>422.34433329950872</v>
      </c>
      <c r="F1065">
        <v>16807300</v>
      </c>
      <c r="G1065" s="2" t="s">
        <v>14</v>
      </c>
      <c r="H1065">
        <v>0.53268074093131279</v>
      </c>
      <c r="I1065">
        <v>93.555481750058547</v>
      </c>
      <c r="J1065">
        <v>413.75795776367187</v>
      </c>
      <c r="K1065">
        <v>1.0756896182533255</v>
      </c>
      <c r="L1065">
        <v>0</v>
      </c>
      <c r="M1065" t="str">
        <f>VLOOKUP(fact_daily_prices[[#This Row],[Ticker]], dim_company[], 2, FALSE)</f>
        <v>Microsoft Corp.</v>
      </c>
      <c r="N1065" t="str">
        <f>VLOOKUP(fact_daily_prices[[#This Row],[Ticker]], dim_company[], 3, FALSE)</f>
        <v>Technology</v>
      </c>
    </row>
    <row r="1066" spans="1:14" x14ac:dyDescent="0.3">
      <c r="A1066" s="1">
        <v>45566</v>
      </c>
      <c r="B1066">
        <v>414.92733764648438</v>
      </c>
      <c r="C1066">
        <v>422.6106376703255</v>
      </c>
      <c r="D1066">
        <v>413.07308530803846</v>
      </c>
      <c r="E1066">
        <v>422.58104981809691</v>
      </c>
      <c r="F1066">
        <v>19092900</v>
      </c>
      <c r="G1066" s="2" t="s">
        <v>14</v>
      </c>
      <c r="H1066">
        <v>-2.2333260420023815</v>
      </c>
      <c r="I1066">
        <v>91.466082812413703</v>
      </c>
      <c r="J1066">
        <v>413.33477294921875</v>
      </c>
      <c r="K1066">
        <v>1.1492214968288228</v>
      </c>
      <c r="L1066">
        <v>0</v>
      </c>
      <c r="M1066" t="str">
        <f>VLOOKUP(fact_daily_prices[[#This Row],[Ticker]], dim_company[], 2, FALSE)</f>
        <v>Microsoft Corp.</v>
      </c>
      <c r="N1066" t="str">
        <f>VLOOKUP(fact_daily_prices[[#This Row],[Ticker]], dim_company[], 3, FALSE)</f>
        <v>Technology</v>
      </c>
    </row>
    <row r="1067" spans="1:14" x14ac:dyDescent="0.3">
      <c r="A1067" s="1">
        <v>45567</v>
      </c>
      <c r="B1067">
        <v>411.41616821289063</v>
      </c>
      <c r="C1067">
        <v>417.02822913913121</v>
      </c>
      <c r="D1067">
        <v>411.0019081188824</v>
      </c>
      <c r="E1067">
        <v>416.79149618560541</v>
      </c>
      <c r="F1067">
        <v>16582300</v>
      </c>
      <c r="G1067" s="2" t="s">
        <v>14</v>
      </c>
      <c r="H1067">
        <v>-0.84621308721414268</v>
      </c>
      <c r="I1067">
        <v>90.692084849292925</v>
      </c>
      <c r="J1067">
        <v>412.80375549316409</v>
      </c>
      <c r="K1067">
        <v>1.1496079885104518</v>
      </c>
      <c r="L1067">
        <v>0</v>
      </c>
      <c r="M1067" t="str">
        <f>VLOOKUP(fact_daily_prices[[#This Row],[Ticker]], dim_company[], 2, FALSE)</f>
        <v>Microsoft Corp.</v>
      </c>
      <c r="N1067" t="str">
        <f>VLOOKUP(fact_daily_prices[[#This Row],[Ticker]], dim_company[], 3, FALSE)</f>
        <v>Technology</v>
      </c>
    </row>
    <row r="1068" spans="1:14" x14ac:dyDescent="0.3">
      <c r="A1068" s="1">
        <v>45568</v>
      </c>
      <c r="B1068">
        <v>410.83419799804688</v>
      </c>
      <c r="C1068">
        <v>413.8029462214933</v>
      </c>
      <c r="D1068">
        <v>408.61501874387466</v>
      </c>
      <c r="E1068">
        <v>411.90926344701154</v>
      </c>
      <c r="F1068">
        <v>13686400</v>
      </c>
      <c r="G1068" s="2" t="s">
        <v>14</v>
      </c>
      <c r="H1068">
        <v>-0.14145535829855893</v>
      </c>
      <c r="I1068">
        <v>90.563796035720941</v>
      </c>
      <c r="J1068">
        <v>412.57516357421878</v>
      </c>
      <c r="K1068">
        <v>1.1495686663271416</v>
      </c>
      <c r="L1068">
        <v>0</v>
      </c>
      <c r="M1068" t="str">
        <f>VLOOKUP(fact_daily_prices[[#This Row],[Ticker]], dim_company[], 2, FALSE)</f>
        <v>Microsoft Corp.</v>
      </c>
      <c r="N1068" t="str">
        <f>VLOOKUP(fact_daily_prices[[#This Row],[Ticker]], dim_company[], 3, FALSE)</f>
        <v>Technology</v>
      </c>
    </row>
    <row r="1069" spans="1:14" x14ac:dyDescent="0.3">
      <c r="A1069" s="1">
        <v>45569</v>
      </c>
      <c r="B1069">
        <v>410.83419799804688</v>
      </c>
      <c r="C1069">
        <v>414.00023534021534</v>
      </c>
      <c r="D1069">
        <v>409.28571331626097</v>
      </c>
      <c r="E1069">
        <v>412.51090979325937</v>
      </c>
      <c r="F1069">
        <v>19169700</v>
      </c>
      <c r="G1069" s="2" t="s">
        <v>14</v>
      </c>
      <c r="H1069">
        <v>0</v>
      </c>
      <c r="I1069">
        <v>90.563796035720941</v>
      </c>
      <c r="J1069">
        <v>412.55332214355468</v>
      </c>
      <c r="K1069">
        <v>1.0876009581923118</v>
      </c>
      <c r="L1069">
        <v>0</v>
      </c>
      <c r="M1069" t="str">
        <f>VLOOKUP(fact_daily_prices[[#This Row],[Ticker]], dim_company[], 2, FALSE)</f>
        <v>Microsoft Corp.</v>
      </c>
      <c r="N1069" t="str">
        <f>VLOOKUP(fact_daily_prices[[#This Row],[Ticker]], dim_company[], 3, FALSE)</f>
        <v>Technology</v>
      </c>
    </row>
    <row r="1070" spans="1:14" x14ac:dyDescent="0.3">
      <c r="A1070" s="1">
        <v>45572</v>
      </c>
      <c r="B1070">
        <v>403.93011474609375</v>
      </c>
      <c r="C1070">
        <v>411.39639773757887</v>
      </c>
      <c r="D1070">
        <v>403.39750325768472</v>
      </c>
      <c r="E1070">
        <v>410.30161700537121</v>
      </c>
      <c r="F1070">
        <v>20919800</v>
      </c>
      <c r="G1070" s="2" t="s">
        <v>14</v>
      </c>
      <c r="H1070">
        <v>-1.680503542693379</v>
      </c>
      <c r="I1070">
        <v>89.041868234943038</v>
      </c>
      <c r="J1070">
        <v>412.25812561035156</v>
      </c>
      <c r="K1070">
        <v>1.1289592432910418</v>
      </c>
      <c r="L1070">
        <v>0</v>
      </c>
      <c r="M1070" t="str">
        <f>VLOOKUP(fact_daily_prices[[#This Row],[Ticker]], dim_company[], 2, FALSE)</f>
        <v>Microsoft Corp.</v>
      </c>
      <c r="N1070" t="str">
        <f>VLOOKUP(fact_daily_prices[[#This Row],[Ticker]], dim_company[], 3, FALSE)</f>
        <v>Technology</v>
      </c>
    </row>
    <row r="1071" spans="1:14" x14ac:dyDescent="0.3">
      <c r="A1071" s="1">
        <v>45573</v>
      </c>
      <c r="B1071">
        <v>409.02932739257813</v>
      </c>
      <c r="C1071">
        <v>409.96632640891073</v>
      </c>
      <c r="D1071">
        <v>402.57893345752768</v>
      </c>
      <c r="E1071">
        <v>405.27151887368746</v>
      </c>
      <c r="F1071">
        <v>19229300</v>
      </c>
      <c r="G1071" s="2" t="s">
        <v>14</v>
      </c>
      <c r="H1071">
        <v>1.26239972221176</v>
      </c>
      <c r="I1071">
        <v>90.165932532193125</v>
      </c>
      <c r="J1071">
        <v>412.03616394042967</v>
      </c>
      <c r="K1071">
        <v>1.144747393162606</v>
      </c>
      <c r="L1071">
        <v>0</v>
      </c>
      <c r="M1071" t="str">
        <f>VLOOKUP(fact_daily_prices[[#This Row],[Ticker]], dim_company[], 2, FALSE)</f>
        <v>Microsoft Corp.</v>
      </c>
      <c r="N1071" t="str">
        <f>VLOOKUP(fact_daily_prices[[#This Row],[Ticker]], dim_company[], 3, FALSE)</f>
        <v>Technology</v>
      </c>
    </row>
    <row r="1072" spans="1:14" x14ac:dyDescent="0.3">
      <c r="A1072" s="1">
        <v>45574</v>
      </c>
      <c r="B1072">
        <v>411.7415771484375</v>
      </c>
      <c r="C1072">
        <v>414.62159190108321</v>
      </c>
      <c r="D1072">
        <v>408.62485957486433</v>
      </c>
      <c r="E1072">
        <v>410.16348810998289</v>
      </c>
      <c r="F1072">
        <v>14974300</v>
      </c>
      <c r="G1072" s="2" t="s">
        <v>14</v>
      </c>
      <c r="H1072">
        <v>0.66309420235195482</v>
      </c>
      <c r="I1072">
        <v>90.76381760331067</v>
      </c>
      <c r="J1072">
        <v>411.94346923828124</v>
      </c>
      <c r="K1072">
        <v>1.1507963558178671</v>
      </c>
      <c r="L1072">
        <v>0</v>
      </c>
      <c r="M1072" t="str">
        <f>VLOOKUP(fact_daily_prices[[#This Row],[Ticker]], dim_company[], 2, FALSE)</f>
        <v>Microsoft Corp.</v>
      </c>
      <c r="N1072" t="str">
        <f>VLOOKUP(fact_daily_prices[[#This Row],[Ticker]], dim_company[], 3, FALSE)</f>
        <v>Technology</v>
      </c>
    </row>
    <row r="1073" spans="1:14" x14ac:dyDescent="0.3">
      <c r="A1073" s="1">
        <v>45575</v>
      </c>
      <c r="B1073">
        <v>410.14376831054688</v>
      </c>
      <c r="C1073">
        <v>411.63309377445904</v>
      </c>
      <c r="D1073">
        <v>407.49061385739407</v>
      </c>
      <c r="E1073">
        <v>409.54213861425188</v>
      </c>
      <c r="F1073">
        <v>13848400</v>
      </c>
      <c r="G1073" s="2" t="s">
        <v>14</v>
      </c>
      <c r="H1073">
        <v>-0.38806108650878413</v>
      </c>
      <c r="I1073">
        <v>90.411598546562416</v>
      </c>
      <c r="J1073">
        <v>411.90880371093749</v>
      </c>
      <c r="K1073">
        <v>1.1433476347452893</v>
      </c>
      <c r="L1073">
        <v>0</v>
      </c>
      <c r="M1073" t="str">
        <f>VLOOKUP(fact_daily_prices[[#This Row],[Ticker]], dim_company[], 2, FALSE)</f>
        <v>Microsoft Corp.</v>
      </c>
      <c r="N1073" t="str">
        <f>VLOOKUP(fact_daily_prices[[#This Row],[Ticker]], dim_company[], 3, FALSE)</f>
        <v>Technology</v>
      </c>
    </row>
    <row r="1074" spans="1:14" x14ac:dyDescent="0.3">
      <c r="A1074" s="1">
        <v>45576</v>
      </c>
      <c r="B1074">
        <v>410.61724853515625</v>
      </c>
      <c r="C1074">
        <v>411.41615073293349</v>
      </c>
      <c r="D1074">
        <v>407.58929422530792</v>
      </c>
      <c r="E1074">
        <v>410.43972140221638</v>
      </c>
      <c r="F1074">
        <v>14144900</v>
      </c>
      <c r="G1074" s="2" t="s">
        <v>14</v>
      </c>
      <c r="H1074">
        <v>0.11544250118920019</v>
      </c>
      <c r="I1074">
        <v>90.515971957289707</v>
      </c>
      <c r="J1074">
        <v>411.90802490234375</v>
      </c>
      <c r="K1074">
        <v>1.1384635112176167</v>
      </c>
      <c r="L1074">
        <v>0</v>
      </c>
      <c r="M1074" t="str">
        <f>VLOOKUP(fact_daily_prices[[#This Row],[Ticker]], dim_company[], 2, FALSE)</f>
        <v>Microsoft Corp.</v>
      </c>
      <c r="N1074" t="str">
        <f>VLOOKUP(fact_daily_prices[[#This Row],[Ticker]], dim_company[], 3, FALSE)</f>
        <v>Technology</v>
      </c>
    </row>
    <row r="1075" spans="1:14" x14ac:dyDescent="0.3">
      <c r="A1075" s="1">
        <v>45579</v>
      </c>
      <c r="B1075">
        <v>413.39859008789063</v>
      </c>
      <c r="C1075">
        <v>418.23146334611431</v>
      </c>
      <c r="D1075">
        <v>411.80075573680847</v>
      </c>
      <c r="E1075">
        <v>412.04733121018262</v>
      </c>
      <c r="F1075">
        <v>16653100</v>
      </c>
      <c r="G1075" s="2" t="s">
        <v>14</v>
      </c>
      <c r="H1075">
        <v>0.67735623933398159</v>
      </c>
      <c r="I1075">
        <v>91.129087540936212</v>
      </c>
      <c r="J1075">
        <v>412.13260559082033</v>
      </c>
      <c r="K1075">
        <v>1.1312918399083101</v>
      </c>
      <c r="L1075">
        <v>0</v>
      </c>
      <c r="M1075" t="str">
        <f>VLOOKUP(fact_daily_prices[[#This Row],[Ticker]], dim_company[], 2, FALSE)</f>
        <v>Microsoft Corp.</v>
      </c>
      <c r="N1075" t="str">
        <f>VLOOKUP(fact_daily_prices[[#This Row],[Ticker]], dim_company[], 3, FALSE)</f>
        <v>Technology</v>
      </c>
    </row>
    <row r="1076" spans="1:14" x14ac:dyDescent="0.3">
      <c r="A1076" s="1">
        <v>45580</v>
      </c>
      <c r="B1076">
        <v>413.0040283203125</v>
      </c>
      <c r="C1076">
        <v>416.692817718463</v>
      </c>
      <c r="D1076">
        <v>409.57171713535661</v>
      </c>
      <c r="E1076">
        <v>416.3969091028174</v>
      </c>
      <c r="F1076">
        <v>18900200</v>
      </c>
      <c r="G1076" s="2" t="s">
        <v>14</v>
      </c>
      <c r="H1076">
        <v>-9.5443423620344969E-2</v>
      </c>
      <c r="I1076">
        <v>91.042110819873159</v>
      </c>
      <c r="J1076">
        <v>412.61196533203128</v>
      </c>
      <c r="K1076">
        <v>1.0753821857740202</v>
      </c>
      <c r="L1076">
        <v>0</v>
      </c>
      <c r="M1076" t="str">
        <f>VLOOKUP(fact_daily_prices[[#This Row],[Ticker]], dim_company[], 2, FALSE)</f>
        <v>Microsoft Corp.</v>
      </c>
      <c r="N1076" t="str">
        <f>VLOOKUP(fact_daily_prices[[#This Row],[Ticker]], dim_company[], 3, FALSE)</f>
        <v>Technology</v>
      </c>
    </row>
    <row r="1077" spans="1:14" x14ac:dyDescent="0.3">
      <c r="A1077" s="1">
        <v>45581</v>
      </c>
      <c r="B1077">
        <v>410.41998291015625</v>
      </c>
      <c r="C1077">
        <v>410.65668575800441</v>
      </c>
      <c r="D1077">
        <v>404.8572552888869</v>
      </c>
      <c r="E1077">
        <v>409.48301407105851</v>
      </c>
      <c r="F1077">
        <v>15508900</v>
      </c>
      <c r="G1077" s="2" t="s">
        <v>14</v>
      </c>
      <c r="H1077">
        <v>-0.62567075209062351</v>
      </c>
      <c r="I1077">
        <v>90.472486960387272</v>
      </c>
      <c r="J1077">
        <v>412.95182556152344</v>
      </c>
      <c r="K1077">
        <v>1.0825000053669716</v>
      </c>
      <c r="L1077">
        <v>0</v>
      </c>
      <c r="M1077" t="str">
        <f>VLOOKUP(fact_daily_prices[[#This Row],[Ticker]], dim_company[], 2, FALSE)</f>
        <v>Microsoft Corp.</v>
      </c>
      <c r="N1077" t="str">
        <f>VLOOKUP(fact_daily_prices[[#This Row],[Ticker]], dim_company[], 3, FALSE)</f>
        <v>Technology</v>
      </c>
    </row>
    <row r="1078" spans="1:14" x14ac:dyDescent="0.3">
      <c r="A1078" s="1">
        <v>45582</v>
      </c>
      <c r="B1078">
        <v>411.01177978515625</v>
      </c>
      <c r="C1078">
        <v>416.71260426796442</v>
      </c>
      <c r="D1078">
        <v>409.89725368444073</v>
      </c>
      <c r="E1078">
        <v>416.57450753710987</v>
      </c>
      <c r="F1078">
        <v>14820000</v>
      </c>
      <c r="G1078" s="2" t="s">
        <v>14</v>
      </c>
      <c r="H1078">
        <v>0.14419299733015034</v>
      </c>
      <c r="I1078">
        <v>90.602941951094579</v>
      </c>
      <c r="J1078">
        <v>413.32675659179688</v>
      </c>
      <c r="K1078">
        <v>1.0819964919810727</v>
      </c>
      <c r="L1078">
        <v>0</v>
      </c>
      <c r="M1078" t="str">
        <f>VLOOKUP(fact_daily_prices[[#This Row],[Ticker]], dim_company[], 2, FALSE)</f>
        <v>Microsoft Corp.</v>
      </c>
      <c r="N1078" t="str">
        <f>VLOOKUP(fact_daily_prices[[#This Row],[Ticker]], dim_company[], 3, FALSE)</f>
        <v>Technology</v>
      </c>
    </row>
    <row r="1079" spans="1:14" x14ac:dyDescent="0.3">
      <c r="A1079" s="1">
        <v>45583</v>
      </c>
      <c r="B1079">
        <v>412.43197631835938</v>
      </c>
      <c r="C1079">
        <v>413.90155641132992</v>
      </c>
      <c r="D1079">
        <v>410.55800886365972</v>
      </c>
      <c r="E1079">
        <v>411.42595928887886</v>
      </c>
      <c r="F1079">
        <v>17145300</v>
      </c>
      <c r="G1079" s="2" t="s">
        <v>14</v>
      </c>
      <c r="H1079">
        <v>0.34553669822929844</v>
      </c>
      <c r="I1079">
        <v>90.916008365211013</v>
      </c>
      <c r="J1079">
        <v>413.64620910644533</v>
      </c>
      <c r="K1079">
        <v>1.033339891494633</v>
      </c>
      <c r="L1079">
        <v>0</v>
      </c>
      <c r="M1079" t="str">
        <f>VLOOKUP(fact_daily_prices[[#This Row],[Ticker]], dim_company[], 2, FALSE)</f>
        <v>Microsoft Corp.</v>
      </c>
      <c r="N1079" t="str">
        <f>VLOOKUP(fact_daily_prices[[#This Row],[Ticker]], dim_company[], 3, FALSE)</f>
        <v>Technology</v>
      </c>
    </row>
    <row r="1080" spans="1:14" x14ac:dyDescent="0.3">
      <c r="A1080" s="1">
        <v>45586</v>
      </c>
      <c r="B1080">
        <v>413.04351806640631</v>
      </c>
      <c r="C1080">
        <v>413.22104518863648</v>
      </c>
      <c r="D1080">
        <v>408.08242059822118</v>
      </c>
      <c r="E1080">
        <v>410.41995133955737</v>
      </c>
      <c r="F1080">
        <v>14206100</v>
      </c>
      <c r="G1080" s="2" t="s">
        <v>14</v>
      </c>
      <c r="H1080">
        <v>0.14827699673192196</v>
      </c>
      <c r="I1080">
        <v>91.050815891963481</v>
      </c>
      <c r="J1080">
        <v>413.91232299804688</v>
      </c>
      <c r="K1080">
        <v>1.0204697974228356</v>
      </c>
      <c r="L1080">
        <v>0</v>
      </c>
      <c r="M1080" t="str">
        <f>VLOOKUP(fact_daily_prices[[#This Row],[Ticker]], dim_company[], 2, FALSE)</f>
        <v>Microsoft Corp.</v>
      </c>
      <c r="N1080" t="str">
        <f>VLOOKUP(fact_daily_prices[[#This Row],[Ticker]], dim_company[], 3, FALSE)</f>
        <v>Technology</v>
      </c>
    </row>
    <row r="1081" spans="1:14" x14ac:dyDescent="0.3">
      <c r="A1081" s="1">
        <v>45587</v>
      </c>
      <c r="B1081">
        <v>421.6539306640625</v>
      </c>
      <c r="C1081">
        <v>424.68185459098345</v>
      </c>
      <c r="D1081">
        <v>412.31365056093216</v>
      </c>
      <c r="E1081">
        <v>412.75746835174544</v>
      </c>
      <c r="F1081">
        <v>25482200</v>
      </c>
      <c r="G1081" s="2" t="s">
        <v>14</v>
      </c>
      <c r="H1081">
        <v>2.0846260069554923</v>
      </c>
      <c r="I1081">
        <v>92.948884879592512</v>
      </c>
      <c r="J1081">
        <v>414.33508972167971</v>
      </c>
      <c r="K1081">
        <v>1.0201029747931694</v>
      </c>
      <c r="L1081">
        <v>0</v>
      </c>
      <c r="M1081" t="str">
        <f>VLOOKUP(fact_daily_prices[[#This Row],[Ticker]], dim_company[], 2, FALSE)</f>
        <v>Microsoft Corp.</v>
      </c>
      <c r="N1081" t="str">
        <f>VLOOKUP(fact_daily_prices[[#This Row],[Ticker]], dim_company[], 3, FALSE)</f>
        <v>Technology</v>
      </c>
    </row>
    <row r="1082" spans="1:14" x14ac:dyDescent="0.3">
      <c r="A1082" s="1">
        <v>45588</v>
      </c>
      <c r="B1082">
        <v>418.78378295898438</v>
      </c>
      <c r="C1082">
        <v>425.17499985769979</v>
      </c>
      <c r="D1082">
        <v>416.74213084987491</v>
      </c>
      <c r="E1082">
        <v>424.95801224079617</v>
      </c>
      <c r="F1082">
        <v>19654400</v>
      </c>
      <c r="G1082" s="2" t="s">
        <v>14</v>
      </c>
      <c r="H1082">
        <v>-0.68068799941173319</v>
      </c>
      <c r="I1082">
        <v>92.316192974630098</v>
      </c>
      <c r="J1082">
        <v>414.55868103027342</v>
      </c>
      <c r="K1082">
        <v>0.95491648428112352</v>
      </c>
      <c r="L1082">
        <v>0</v>
      </c>
      <c r="M1082" t="str">
        <f>VLOOKUP(fact_daily_prices[[#This Row],[Ticker]], dim_company[], 2, FALSE)</f>
        <v>Microsoft Corp.</v>
      </c>
      <c r="N1082" t="str">
        <f>VLOOKUP(fact_daily_prices[[#This Row],[Ticker]], dim_company[], 3, FALSE)</f>
        <v>Technology</v>
      </c>
    </row>
    <row r="1083" spans="1:14" x14ac:dyDescent="0.3">
      <c r="A1083" s="1">
        <v>45589</v>
      </c>
      <c r="B1083">
        <v>418.9119873046875</v>
      </c>
      <c r="C1083">
        <v>420.14486459281432</v>
      </c>
      <c r="D1083">
        <v>416.61388718387519</v>
      </c>
      <c r="E1083">
        <v>419.50374432335383</v>
      </c>
      <c r="F1083">
        <v>13581600</v>
      </c>
      <c r="G1083" s="2" t="s">
        <v>14</v>
      </c>
      <c r="H1083">
        <v>3.0613493387265933E-2</v>
      </c>
      <c r="I1083">
        <v>92.344454186261771</v>
      </c>
      <c r="J1083">
        <v>414.72871948242187</v>
      </c>
      <c r="K1083">
        <v>0.93903187243643382</v>
      </c>
      <c r="L1083">
        <v>0</v>
      </c>
      <c r="M1083" t="str">
        <f>VLOOKUP(fact_daily_prices[[#This Row],[Ticker]], dim_company[], 2, FALSE)</f>
        <v>Microsoft Corp.</v>
      </c>
      <c r="N1083" t="str">
        <f>VLOOKUP(fact_daily_prices[[#This Row],[Ticker]], dim_company[], 3, FALSE)</f>
        <v>Technology</v>
      </c>
    </row>
    <row r="1084" spans="1:14" x14ac:dyDescent="0.3">
      <c r="A1084" s="1">
        <v>45590</v>
      </c>
      <c r="B1084">
        <v>422.28515625</v>
      </c>
      <c r="C1084">
        <v>426.5952907757042</v>
      </c>
      <c r="D1084">
        <v>420.72681247783271</v>
      </c>
      <c r="E1084">
        <v>420.91421224847591</v>
      </c>
      <c r="F1084">
        <v>16899100</v>
      </c>
      <c r="G1084" s="2" t="s">
        <v>14</v>
      </c>
      <c r="H1084">
        <v>0.80522139435916795</v>
      </c>
      <c r="I1084">
        <v>93.088031487873749</v>
      </c>
      <c r="J1084">
        <v>414.86916809082032</v>
      </c>
      <c r="K1084">
        <v>0.93793976346459818</v>
      </c>
      <c r="L1084">
        <v>0</v>
      </c>
      <c r="M1084" t="str">
        <f>VLOOKUP(fact_daily_prices[[#This Row],[Ticker]], dim_company[], 2, FALSE)</f>
        <v>Microsoft Corp.</v>
      </c>
      <c r="N1084" t="str">
        <f>VLOOKUP(fact_daily_prices[[#This Row],[Ticker]], dim_company[], 3, FALSE)</f>
        <v>Technology</v>
      </c>
    </row>
    <row r="1085" spans="1:14" x14ac:dyDescent="0.3">
      <c r="A1085" s="1">
        <v>45593</v>
      </c>
      <c r="B1085">
        <v>420.74655151367188</v>
      </c>
      <c r="C1085">
        <v>426.02327304477961</v>
      </c>
      <c r="D1085">
        <v>420.46051551603273</v>
      </c>
      <c r="E1085">
        <v>425.74710969864265</v>
      </c>
      <c r="F1085">
        <v>14882400</v>
      </c>
      <c r="G1085" s="2" t="s">
        <v>14</v>
      </c>
      <c r="H1085">
        <v>-0.36435207668470415</v>
      </c>
      <c r="I1085">
        <v>92.748863312002769</v>
      </c>
      <c r="J1085">
        <v>415.02934326171874</v>
      </c>
      <c r="K1085">
        <v>0.9393526907413442</v>
      </c>
      <c r="L1085">
        <v>0</v>
      </c>
      <c r="M1085" t="str">
        <f>VLOOKUP(fact_daily_prices[[#This Row],[Ticker]], dim_company[], 2, FALSE)</f>
        <v>Microsoft Corp.</v>
      </c>
      <c r="N1085" t="str">
        <f>VLOOKUP(fact_daily_prices[[#This Row],[Ticker]], dim_company[], 3, FALSE)</f>
        <v>Technology</v>
      </c>
    </row>
    <row r="1086" spans="1:14" x14ac:dyDescent="0.3">
      <c r="A1086" s="1">
        <v>45594</v>
      </c>
      <c r="B1086">
        <v>426.03314208984375</v>
      </c>
      <c r="C1086">
        <v>427.23643168058578</v>
      </c>
      <c r="D1086">
        <v>419.96736097858758</v>
      </c>
      <c r="E1086">
        <v>422.13723732239998</v>
      </c>
      <c r="F1086">
        <v>17644100</v>
      </c>
      <c r="G1086" s="2" t="s">
        <v>14</v>
      </c>
      <c r="H1086">
        <v>1.2564786466229938</v>
      </c>
      <c r="I1086">
        <v>93.914232974503619</v>
      </c>
      <c r="J1086">
        <v>415.23488891601562</v>
      </c>
      <c r="K1086">
        <v>0.95425308055642588</v>
      </c>
      <c r="L1086">
        <v>0</v>
      </c>
      <c r="M1086" t="str">
        <f>VLOOKUP(fact_daily_prices[[#This Row],[Ticker]], dim_company[], 2, FALSE)</f>
        <v>Microsoft Corp.</v>
      </c>
      <c r="N1086" t="str">
        <f>VLOOKUP(fact_daily_prices[[#This Row],[Ticker]], dim_company[], 3, FALSE)</f>
        <v>Technology</v>
      </c>
    </row>
    <row r="1087" spans="1:14" x14ac:dyDescent="0.3">
      <c r="A1087" s="1">
        <v>45595</v>
      </c>
      <c r="B1087">
        <v>426.60519409179688</v>
      </c>
      <c r="C1087">
        <v>432.49341811481048</v>
      </c>
      <c r="D1087">
        <v>426.18109146440128</v>
      </c>
      <c r="E1087">
        <v>431.44794042425281</v>
      </c>
      <c r="F1087">
        <v>29749100</v>
      </c>
      <c r="G1087" s="2" t="s">
        <v>14</v>
      </c>
      <c r="H1087">
        <v>0.13427406120261054</v>
      </c>
      <c r="I1087">
        <v>94.040335429165765</v>
      </c>
      <c r="J1087">
        <v>415.38737182617189</v>
      </c>
      <c r="K1087">
        <v>0.93649558991073012</v>
      </c>
      <c r="L1087">
        <v>0</v>
      </c>
      <c r="M1087" t="str">
        <f>VLOOKUP(fact_daily_prices[[#This Row],[Ticker]], dim_company[], 2, FALSE)</f>
        <v>Microsoft Corp.</v>
      </c>
      <c r="N1087" t="str">
        <f>VLOOKUP(fact_daily_prices[[#This Row],[Ticker]], dim_company[], 3, FALSE)</f>
        <v>Technology</v>
      </c>
    </row>
    <row r="1088" spans="1:14" x14ac:dyDescent="0.3">
      <c r="A1088" s="1">
        <v>45596</v>
      </c>
      <c r="B1088">
        <v>400.7838134765625</v>
      </c>
      <c r="C1088">
        <v>410.45943344130637</v>
      </c>
      <c r="D1088">
        <v>400.73448031809443</v>
      </c>
      <c r="E1088">
        <v>409.6703738017444</v>
      </c>
      <c r="F1088">
        <v>53971000</v>
      </c>
      <c r="G1088" s="2" t="s">
        <v>14</v>
      </c>
      <c r="H1088">
        <v>-6.0527581409799076</v>
      </c>
      <c r="I1088">
        <v>88.348301370672132</v>
      </c>
      <c r="J1088">
        <v>415.03644531250001</v>
      </c>
      <c r="K1088">
        <v>1.4010999734396776</v>
      </c>
      <c r="L1088">
        <v>1</v>
      </c>
      <c r="M1088" t="str">
        <f>VLOOKUP(fact_daily_prices[[#This Row],[Ticker]], dim_company[], 2, FALSE)</f>
        <v>Microsoft Corp.</v>
      </c>
      <c r="N1088" t="str">
        <f>VLOOKUP(fact_daily_prices[[#This Row],[Ticker]], dim_company[], 3, FALSE)</f>
        <v>Technology</v>
      </c>
    </row>
    <row r="1089" spans="1:14" x14ac:dyDescent="0.3">
      <c r="A1089" s="1">
        <v>45597</v>
      </c>
      <c r="B1089">
        <v>404.74868774414063</v>
      </c>
      <c r="C1089">
        <v>409.8084210802644</v>
      </c>
      <c r="D1089">
        <v>401.91800623395358</v>
      </c>
      <c r="E1089">
        <v>403.40733166804887</v>
      </c>
      <c r="F1089">
        <v>24230400</v>
      </c>
      <c r="G1089" s="2" t="s">
        <v>14</v>
      </c>
      <c r="H1089">
        <v>0.98928003932723385</v>
      </c>
      <c r="I1089">
        <v>89.222313481216858</v>
      </c>
      <c r="J1089">
        <v>414.93426391601565</v>
      </c>
      <c r="K1089">
        <v>1.4149868068180449</v>
      </c>
      <c r="L1089">
        <v>0</v>
      </c>
      <c r="M1089" t="str">
        <f>VLOOKUP(fact_daily_prices[[#This Row],[Ticker]], dim_company[], 2, FALSE)</f>
        <v>Microsoft Corp.</v>
      </c>
      <c r="N1089" t="str">
        <f>VLOOKUP(fact_daily_prices[[#This Row],[Ticker]], dim_company[], 3, FALSE)</f>
        <v>Technology</v>
      </c>
    </row>
    <row r="1090" spans="1:14" x14ac:dyDescent="0.3">
      <c r="A1090" s="1">
        <v>45600</v>
      </c>
      <c r="B1090">
        <v>402.8648681640625</v>
      </c>
      <c r="C1090">
        <v>404.79804157181758</v>
      </c>
      <c r="D1090">
        <v>400.01447130701087</v>
      </c>
      <c r="E1090">
        <v>404.18650910637751</v>
      </c>
      <c r="F1090">
        <v>19672300</v>
      </c>
      <c r="G1090" s="2" t="s">
        <v>14</v>
      </c>
      <c r="H1090">
        <v>-0.46542944723985125</v>
      </c>
      <c r="I1090">
        <v>88.807046560766608</v>
      </c>
      <c r="J1090">
        <v>414.76994506835939</v>
      </c>
      <c r="K1090">
        <v>1.4153554653252227</v>
      </c>
      <c r="L1090">
        <v>0</v>
      </c>
      <c r="M1090" t="str">
        <f>VLOOKUP(fact_daily_prices[[#This Row],[Ticker]], dim_company[], 2, FALSE)</f>
        <v>Microsoft Corp.</v>
      </c>
      <c r="N1090" t="str">
        <f>VLOOKUP(fact_daily_prices[[#This Row],[Ticker]], dim_company[], 3, FALSE)</f>
        <v>Technology</v>
      </c>
    </row>
    <row r="1091" spans="1:14" x14ac:dyDescent="0.3">
      <c r="A1091" s="1">
        <v>45601</v>
      </c>
      <c r="B1091">
        <v>405.82379150390631</v>
      </c>
      <c r="C1091">
        <v>409.21667261639857</v>
      </c>
      <c r="D1091">
        <v>402.4900861003897</v>
      </c>
      <c r="E1091">
        <v>402.77612209347012</v>
      </c>
      <c r="F1091">
        <v>17626000</v>
      </c>
      <c r="G1091" s="2" t="s">
        <v>14</v>
      </c>
      <c r="H1091">
        <v>0.73447043256171796</v>
      </c>
      <c r="I1091">
        <v>89.459308059786764</v>
      </c>
      <c r="J1091">
        <v>414.72990112304689</v>
      </c>
      <c r="K1091">
        <v>1.41645537010727</v>
      </c>
      <c r="L1091">
        <v>0</v>
      </c>
      <c r="M1091" t="str">
        <f>VLOOKUP(fact_daily_prices[[#This Row],[Ticker]], dim_company[], 2, FALSE)</f>
        <v>Microsoft Corp.</v>
      </c>
      <c r="N1091" t="str">
        <f>VLOOKUP(fact_daily_prices[[#This Row],[Ticker]], dim_company[], 3, FALSE)</f>
        <v>Technology</v>
      </c>
    </row>
    <row r="1092" spans="1:14" x14ac:dyDescent="0.3">
      <c r="A1092" s="1">
        <v>45602</v>
      </c>
      <c r="B1092">
        <v>414.42434692382813</v>
      </c>
      <c r="C1092">
        <v>414.6906677145501</v>
      </c>
      <c r="D1092">
        <v>404.89666645656581</v>
      </c>
      <c r="E1092">
        <v>406.77066424480603</v>
      </c>
      <c r="F1092">
        <v>26681800</v>
      </c>
      <c r="G1092" s="2" t="s">
        <v>14</v>
      </c>
      <c r="H1092">
        <v>2.1192831962980163</v>
      </c>
      <c r="I1092">
        <v>91.35520414302232</v>
      </c>
      <c r="J1092">
        <v>414.85496337890623</v>
      </c>
      <c r="K1092">
        <v>1.4681876124330819</v>
      </c>
      <c r="L1092">
        <v>0</v>
      </c>
      <c r="M1092" t="str">
        <f>VLOOKUP(fact_daily_prices[[#This Row],[Ticker]], dim_company[], 2, FALSE)</f>
        <v>Microsoft Corp.</v>
      </c>
      <c r="N1092" t="str">
        <f>VLOOKUP(fact_daily_prices[[#This Row],[Ticker]], dim_company[], 3, FALSE)</f>
        <v>Technology</v>
      </c>
    </row>
    <row r="1093" spans="1:14" x14ac:dyDescent="0.3">
      <c r="A1093" s="1">
        <v>45603</v>
      </c>
      <c r="B1093">
        <v>419.60244750976563</v>
      </c>
      <c r="C1093">
        <v>421.00300957645607</v>
      </c>
      <c r="D1093">
        <v>414.12848351646119</v>
      </c>
      <c r="E1093">
        <v>415.5093002796819</v>
      </c>
      <c r="F1093">
        <v>19901800</v>
      </c>
      <c r="G1093" s="2" t="s">
        <v>14</v>
      </c>
      <c r="H1093">
        <v>1.2494682381412492</v>
      </c>
      <c r="I1093">
        <v>92.496658402678463</v>
      </c>
      <c r="J1093">
        <v>415.14750122070313</v>
      </c>
      <c r="K1093">
        <v>1.4879634069151051</v>
      </c>
      <c r="L1093">
        <v>0</v>
      </c>
      <c r="M1093" t="str">
        <f>VLOOKUP(fact_daily_prices[[#This Row],[Ticker]], dim_company[], 2, FALSE)</f>
        <v>Microsoft Corp.</v>
      </c>
      <c r="N1093" t="str">
        <f>VLOOKUP(fact_daily_prices[[#This Row],[Ticker]], dim_company[], 3, FALSE)</f>
        <v>Technology</v>
      </c>
    </row>
    <row r="1094" spans="1:14" x14ac:dyDescent="0.3">
      <c r="A1094" s="1">
        <v>45604</v>
      </c>
      <c r="B1094">
        <v>416.75204467773438</v>
      </c>
      <c r="C1094">
        <v>420.65779206836208</v>
      </c>
      <c r="D1094">
        <v>416.00244554535874</v>
      </c>
      <c r="E1094">
        <v>419.49396296249819</v>
      </c>
      <c r="F1094">
        <v>16891400</v>
      </c>
      <c r="G1094" s="2" t="s">
        <v>14</v>
      </c>
      <c r="H1094">
        <v>-0.67931034457678896</v>
      </c>
      <c r="I1094">
        <v>91.86831903376121</v>
      </c>
      <c r="J1094">
        <v>415.33332092285156</v>
      </c>
      <c r="K1094">
        <v>1.4866324587546607</v>
      </c>
      <c r="L1094">
        <v>0</v>
      </c>
      <c r="M1094" t="str">
        <f>VLOOKUP(fact_daily_prices[[#This Row],[Ticker]], dim_company[], 2, FALSE)</f>
        <v>Microsoft Corp.</v>
      </c>
      <c r="N1094" t="str">
        <f>VLOOKUP(fact_daily_prices[[#This Row],[Ticker]], dim_company[], 3, FALSE)</f>
        <v>Technology</v>
      </c>
    </row>
    <row r="1095" spans="1:14" x14ac:dyDescent="0.3">
      <c r="A1095" s="1">
        <v>45607</v>
      </c>
      <c r="B1095">
        <v>412.28402709960938</v>
      </c>
      <c r="C1095">
        <v>418.99086733313692</v>
      </c>
      <c r="D1095">
        <v>410.30155083989962</v>
      </c>
      <c r="E1095">
        <v>416.7322277720358</v>
      </c>
      <c r="F1095">
        <v>24503300</v>
      </c>
      <c r="G1095" s="2" t="s">
        <v>14</v>
      </c>
      <c r="H1095">
        <v>-1.0721045367827808</v>
      </c>
      <c r="I1095">
        <v>90.883394617534179</v>
      </c>
      <c r="J1095">
        <v>415.35048217773436</v>
      </c>
      <c r="K1095">
        <v>1.4944640299241572</v>
      </c>
      <c r="L1095">
        <v>0</v>
      </c>
      <c r="M1095" t="str">
        <f>VLOOKUP(fact_daily_prices[[#This Row],[Ticker]], dim_company[], 2, FALSE)</f>
        <v>Microsoft Corp.</v>
      </c>
      <c r="N1095" t="str">
        <f>VLOOKUP(fact_daily_prices[[#This Row],[Ticker]], dim_company[], 3, FALSE)</f>
        <v>Technology</v>
      </c>
    </row>
    <row r="1096" spans="1:14" x14ac:dyDescent="0.3">
      <c r="A1096" s="1">
        <v>45608</v>
      </c>
      <c r="B1096">
        <v>417.23526000976563</v>
      </c>
      <c r="C1096">
        <v>418.62594919557409</v>
      </c>
      <c r="D1096">
        <v>411.4851336112788</v>
      </c>
      <c r="E1096">
        <v>412.52073848816826</v>
      </c>
      <c r="F1096">
        <v>19401200</v>
      </c>
      <c r="G1096" s="2" t="s">
        <v>14</v>
      </c>
      <c r="H1096">
        <v>1.2009276578061501</v>
      </c>
      <c r="I1096">
        <v>91.974838439849265</v>
      </c>
      <c r="J1096">
        <v>415.61855834960937</v>
      </c>
      <c r="K1096">
        <v>1.4552868074855692</v>
      </c>
      <c r="L1096">
        <v>0</v>
      </c>
      <c r="M1096" t="str">
        <f>VLOOKUP(fact_daily_prices[[#This Row],[Ticker]], dim_company[], 2, FALSE)</f>
        <v>Microsoft Corp.</v>
      </c>
      <c r="N1096" t="str">
        <f>VLOOKUP(fact_daily_prices[[#This Row],[Ticker]], dim_company[], 3, FALSE)</f>
        <v>Technology</v>
      </c>
    </row>
    <row r="1097" spans="1:14" x14ac:dyDescent="0.3">
      <c r="A1097" s="1">
        <v>45609</v>
      </c>
      <c r="B1097">
        <v>419.3756103515625</v>
      </c>
      <c r="C1097">
        <v>423.44901221052851</v>
      </c>
      <c r="D1097">
        <v>412.48133910259298</v>
      </c>
      <c r="E1097">
        <v>415.86437774073562</v>
      </c>
      <c r="F1097">
        <v>21502200</v>
      </c>
      <c r="G1097" s="2" t="s">
        <v>14</v>
      </c>
      <c r="H1097">
        <v>0.51298405167070626</v>
      </c>
      <c r="I1097">
        <v>92.446654692595587</v>
      </c>
      <c r="J1097">
        <v>415.94009338378908</v>
      </c>
      <c r="K1097">
        <v>1.4482413594089707</v>
      </c>
      <c r="L1097">
        <v>0</v>
      </c>
      <c r="M1097" t="str">
        <f>VLOOKUP(fact_daily_prices[[#This Row],[Ticker]], dim_company[], 2, FALSE)</f>
        <v>Microsoft Corp.</v>
      </c>
      <c r="N1097" t="str">
        <f>VLOOKUP(fact_daily_prices[[#This Row],[Ticker]], dim_company[], 3, FALSE)</f>
        <v>Technology</v>
      </c>
    </row>
    <row r="1098" spans="1:14" x14ac:dyDescent="0.3">
      <c r="A1098" s="1">
        <v>45610</v>
      </c>
      <c r="B1098">
        <v>421.04241943359375</v>
      </c>
      <c r="C1098">
        <v>422.30488462231699</v>
      </c>
      <c r="D1098">
        <v>414.24678510633009</v>
      </c>
      <c r="E1098">
        <v>419.17829445283394</v>
      </c>
      <c r="F1098">
        <v>30246900</v>
      </c>
      <c r="G1098" s="2" t="s">
        <v>14</v>
      </c>
      <c r="H1098">
        <v>0.3974501713711831</v>
      </c>
      <c r="I1098">
        <v>92.81408408009824</v>
      </c>
      <c r="J1098">
        <v>416.30502441406247</v>
      </c>
      <c r="K1098">
        <v>1.4488153731687132</v>
      </c>
      <c r="L1098">
        <v>0</v>
      </c>
      <c r="M1098" t="str">
        <f>VLOOKUP(fact_daily_prices[[#This Row],[Ticker]], dim_company[], 2, FALSE)</f>
        <v>Microsoft Corp.</v>
      </c>
      <c r="N1098" t="str">
        <f>VLOOKUP(fact_daily_prices[[#This Row],[Ticker]], dim_company[], 3, FALSE)</f>
        <v>Technology</v>
      </c>
    </row>
    <row r="1099" spans="1:14" x14ac:dyDescent="0.3">
      <c r="A1099" s="1">
        <v>45611</v>
      </c>
      <c r="B1099">
        <v>409.3153076171875</v>
      </c>
      <c r="C1099">
        <v>417.00845075667979</v>
      </c>
      <c r="D1099">
        <v>407.97395141832078</v>
      </c>
      <c r="E1099">
        <v>414.06929022111439</v>
      </c>
      <c r="F1099">
        <v>28247600</v>
      </c>
      <c r="G1099" s="2" t="s">
        <v>14</v>
      </c>
      <c r="H1099">
        <v>-2.7852566095791786</v>
      </c>
      <c r="I1099">
        <v>90.228973668636925</v>
      </c>
      <c r="J1099">
        <v>416.56738037109375</v>
      </c>
      <c r="K1099">
        <v>1.541224063137314</v>
      </c>
      <c r="L1099">
        <v>0</v>
      </c>
      <c r="M1099" t="str">
        <f>VLOOKUP(fact_daily_prices[[#This Row],[Ticker]], dim_company[], 2, FALSE)</f>
        <v>Microsoft Corp.</v>
      </c>
      <c r="N1099" t="str">
        <f>VLOOKUP(fact_daily_prices[[#This Row],[Ticker]], dim_company[], 3, FALSE)</f>
        <v>Technology</v>
      </c>
    </row>
    <row r="1100" spans="1:14" x14ac:dyDescent="0.3">
      <c r="A1100" s="1">
        <v>45614</v>
      </c>
      <c r="B1100">
        <v>410.06488037109375</v>
      </c>
      <c r="C1100">
        <v>412.66870168958161</v>
      </c>
      <c r="D1100">
        <v>406.45501186857297</v>
      </c>
      <c r="E1100">
        <v>409.1870572477352</v>
      </c>
      <c r="F1100">
        <v>21697800</v>
      </c>
      <c r="G1100" s="2" t="s">
        <v>14</v>
      </c>
      <c r="H1100">
        <v>0.18312844400318884</v>
      </c>
      <c r="I1100">
        <v>90.39420858415636</v>
      </c>
      <c r="J1100">
        <v>416.76542968749999</v>
      </c>
      <c r="K1100">
        <v>1.508387026074598</v>
      </c>
      <c r="L1100">
        <v>0</v>
      </c>
      <c r="M1100" t="str">
        <f>VLOOKUP(fact_daily_prices[[#This Row],[Ticker]], dim_company[], 2, FALSE)</f>
        <v>Microsoft Corp.</v>
      </c>
      <c r="N1100" t="str">
        <f>VLOOKUP(fact_daily_prices[[#This Row],[Ticker]], dim_company[], 3, FALSE)</f>
        <v>Technology</v>
      </c>
    </row>
    <row r="1101" spans="1:14" x14ac:dyDescent="0.3">
      <c r="A1101" s="1">
        <v>45615</v>
      </c>
      <c r="B1101">
        <v>412.067138671875</v>
      </c>
      <c r="C1101">
        <v>412.21507795830701</v>
      </c>
      <c r="D1101">
        <v>405.9125934603565</v>
      </c>
      <c r="E1101">
        <v>407.45122223834869</v>
      </c>
      <c r="F1101">
        <v>18133500</v>
      </c>
      <c r="G1101" s="2" t="s">
        <v>14</v>
      </c>
      <c r="H1101">
        <v>0.4882784155934683</v>
      </c>
      <c r="I1101">
        <v>90.835583993619323</v>
      </c>
      <c r="J1101">
        <v>416.83624694824221</v>
      </c>
      <c r="K1101">
        <v>1.4936848400120526</v>
      </c>
      <c r="L1101">
        <v>0</v>
      </c>
      <c r="M1101" t="str">
        <f>VLOOKUP(fact_daily_prices[[#This Row],[Ticker]], dim_company[], 2, FALSE)</f>
        <v>Microsoft Corp.</v>
      </c>
      <c r="N1101" t="str">
        <f>VLOOKUP(fact_daily_prices[[#This Row],[Ticker]], dim_company[], 3, FALSE)</f>
        <v>Technology</v>
      </c>
    </row>
    <row r="1102" spans="1:14" x14ac:dyDescent="0.3">
      <c r="A1102" s="1">
        <v>45616</v>
      </c>
      <c r="B1102">
        <v>409.79855346679688</v>
      </c>
      <c r="C1102">
        <v>411.5739148887647</v>
      </c>
      <c r="D1102">
        <v>404.95580768340488</v>
      </c>
      <c r="E1102">
        <v>411.15965486044217</v>
      </c>
      <c r="F1102">
        <v>19191700</v>
      </c>
      <c r="G1102" s="2" t="s">
        <v>14</v>
      </c>
      <c r="H1102">
        <v>-0.55053776246025699</v>
      </c>
      <c r="I1102">
        <v>90.335499801983161</v>
      </c>
      <c r="J1102">
        <v>416.687314453125</v>
      </c>
      <c r="K1102">
        <v>1.4925414238256693</v>
      </c>
      <c r="L1102">
        <v>0</v>
      </c>
      <c r="M1102" t="str">
        <f>VLOOKUP(fact_daily_prices[[#This Row],[Ticker]], dim_company[], 2, FALSE)</f>
        <v>Microsoft Corp.</v>
      </c>
      <c r="N1102" t="str">
        <f>VLOOKUP(fact_daily_prices[[#This Row],[Ticker]], dim_company[], 3, FALSE)</f>
        <v>Technology</v>
      </c>
    </row>
    <row r="1103" spans="1:14" x14ac:dyDescent="0.3">
      <c r="A1103" s="1">
        <v>45617</v>
      </c>
      <c r="B1103">
        <v>408.029541015625</v>
      </c>
      <c r="C1103">
        <v>414.85853235917489</v>
      </c>
      <c r="D1103">
        <v>405.47980199521203</v>
      </c>
      <c r="E1103">
        <v>414.5818162626976</v>
      </c>
      <c r="F1103">
        <v>20780200</v>
      </c>
      <c r="G1103" s="2" t="s">
        <v>14</v>
      </c>
      <c r="H1103">
        <v>-0.43167854942542938</v>
      </c>
      <c r="I1103">
        <v>89.945540826821741</v>
      </c>
      <c r="J1103">
        <v>416.42488586425782</v>
      </c>
      <c r="K1103">
        <v>1.4929488853128441</v>
      </c>
      <c r="L1103">
        <v>0</v>
      </c>
      <c r="M1103" t="str">
        <f>VLOOKUP(fact_daily_prices[[#This Row],[Ticker]], dim_company[], 2, FALSE)</f>
        <v>Microsoft Corp.</v>
      </c>
      <c r="N1103" t="str">
        <f>VLOOKUP(fact_daily_prices[[#This Row],[Ticker]], dim_company[], 3, FALSE)</f>
        <v>Technology</v>
      </c>
    </row>
    <row r="1104" spans="1:14" x14ac:dyDescent="0.3">
      <c r="A1104" s="1">
        <v>45618</v>
      </c>
      <c r="B1104">
        <v>412.11114501953131</v>
      </c>
      <c r="C1104">
        <v>412.50644943843054</v>
      </c>
      <c r="D1104">
        <v>406.24078241150551</v>
      </c>
      <c r="E1104">
        <v>406.54714559813698</v>
      </c>
      <c r="F1104">
        <v>24814600</v>
      </c>
      <c r="G1104" s="2" t="s">
        <v>14</v>
      </c>
      <c r="H1104">
        <v>1.0003207105413914</v>
      </c>
      <c r="I1104">
        <v>90.84528469992091</v>
      </c>
      <c r="J1104">
        <v>416.17327453613279</v>
      </c>
      <c r="K1104">
        <v>1.5041342800076172</v>
      </c>
      <c r="L1104">
        <v>0</v>
      </c>
      <c r="M1104" t="str">
        <f>VLOOKUP(fact_daily_prices[[#This Row],[Ticker]], dim_company[], 2, FALSE)</f>
        <v>Microsoft Corp.</v>
      </c>
      <c r="N1104" t="str">
        <f>VLOOKUP(fact_daily_prices[[#This Row],[Ticker]], dim_company[], 3, FALSE)</f>
        <v>Technology</v>
      </c>
    </row>
    <row r="1105" spans="1:14" x14ac:dyDescent="0.3">
      <c r="A1105" s="1">
        <v>45621</v>
      </c>
      <c r="B1105">
        <v>413.88015747070313</v>
      </c>
      <c r="C1105">
        <v>416.14328803070498</v>
      </c>
      <c r="D1105">
        <v>409.98634721350533</v>
      </c>
      <c r="E1105">
        <v>413.4749606494442</v>
      </c>
      <c r="F1105">
        <v>27691100</v>
      </c>
      <c r="G1105" s="2" t="s">
        <v>14</v>
      </c>
      <c r="H1105">
        <v>0.42925615396496308</v>
      </c>
      <c r="I1105">
        <v>91.235243675082316</v>
      </c>
      <c r="J1105">
        <v>415.94224792480469</v>
      </c>
      <c r="K1105">
        <v>1.5010931196444925</v>
      </c>
      <c r="L1105">
        <v>0</v>
      </c>
      <c r="M1105" t="str">
        <f>VLOOKUP(fact_daily_prices[[#This Row],[Ticker]], dim_company[], 2, FALSE)</f>
        <v>Microsoft Corp.</v>
      </c>
      <c r="N1105" t="str">
        <f>VLOOKUP(fact_daily_prices[[#This Row],[Ticker]], dim_company[], 3, FALSE)</f>
        <v>Technology</v>
      </c>
    </row>
    <row r="1106" spans="1:14" x14ac:dyDescent="0.3">
      <c r="A1106" s="1">
        <v>45622</v>
      </c>
      <c r="B1106">
        <v>422.9722900390625</v>
      </c>
      <c r="C1106">
        <v>424.00999806852309</v>
      </c>
      <c r="D1106">
        <v>413.93946191933657</v>
      </c>
      <c r="E1106">
        <v>414.67077660234759</v>
      </c>
      <c r="F1106">
        <v>23458900</v>
      </c>
      <c r="G1106" s="2" t="s">
        <v>14</v>
      </c>
      <c r="H1106">
        <v>2.1968032060109</v>
      </c>
      <c r="I1106">
        <v>93.239502433148374</v>
      </c>
      <c r="J1106">
        <v>415.81790771484373</v>
      </c>
      <c r="K1106">
        <v>1.5527276219303081</v>
      </c>
      <c r="L1106">
        <v>0</v>
      </c>
      <c r="M1106" t="str">
        <f>VLOOKUP(fact_daily_prices[[#This Row],[Ticker]], dim_company[], 2, FALSE)</f>
        <v>Microsoft Corp.</v>
      </c>
      <c r="N1106" t="str">
        <f>VLOOKUP(fact_daily_prices[[#This Row],[Ticker]], dim_company[], 3, FALSE)</f>
        <v>Technology</v>
      </c>
    </row>
    <row r="1107" spans="1:14" x14ac:dyDescent="0.3">
      <c r="A1107" s="1">
        <v>45623</v>
      </c>
      <c r="B1107">
        <v>418.03094482421881</v>
      </c>
      <c r="C1107">
        <v>422.22125646736464</v>
      </c>
      <c r="D1107">
        <v>417.07231569319248</v>
      </c>
      <c r="E1107">
        <v>420.1260855658935</v>
      </c>
      <c r="F1107">
        <v>18332400</v>
      </c>
      <c r="G1107" s="2" t="s">
        <v>14</v>
      </c>
      <c r="H1107">
        <v>-1.1682432469482418</v>
      </c>
      <c r="I1107">
        <v>92.150238242484974</v>
      </c>
      <c r="J1107">
        <v>415.68035217285154</v>
      </c>
      <c r="K1107">
        <v>1.5644836762410101</v>
      </c>
      <c r="L1107">
        <v>0</v>
      </c>
      <c r="M1107" t="str">
        <f>VLOOKUP(fact_daily_prices[[#This Row],[Ticker]], dim_company[], 2, FALSE)</f>
        <v>Microsoft Corp.</v>
      </c>
      <c r="N1107" t="str">
        <f>VLOOKUP(fact_daily_prices[[#This Row],[Ticker]], dim_company[], 3, FALSE)</f>
        <v>Technology</v>
      </c>
    </row>
    <row r="1108" spans="1:14" x14ac:dyDescent="0.3">
      <c r="A1108" s="1">
        <v>45625</v>
      </c>
      <c r="B1108">
        <v>418.49542236328131</v>
      </c>
      <c r="C1108">
        <v>419.89878780793453</v>
      </c>
      <c r="D1108">
        <v>412.90177557031512</v>
      </c>
      <c r="E1108">
        <v>415.16493646523111</v>
      </c>
      <c r="F1108">
        <v>16271900</v>
      </c>
      <c r="G1108" s="2" t="s">
        <v>14</v>
      </c>
      <c r="H1108">
        <v>0.11111080287555808</v>
      </c>
      <c r="I1108">
        <v>92.252627112047946</v>
      </c>
      <c r="J1108">
        <v>415.39664550781248</v>
      </c>
      <c r="K1108">
        <v>1.5644436789935805</v>
      </c>
      <c r="L1108">
        <v>0</v>
      </c>
      <c r="M1108" t="str">
        <f>VLOOKUP(fact_daily_prices[[#This Row],[Ticker]], dim_company[], 2, FALSE)</f>
        <v>Microsoft Corp.</v>
      </c>
      <c r="N1108" t="str">
        <f>VLOOKUP(fact_daily_prices[[#This Row],[Ticker]], dim_company[], 3, FALSE)</f>
        <v>Technology</v>
      </c>
    </row>
    <row r="1109" spans="1:14" x14ac:dyDescent="0.3">
      <c r="A1109" s="1">
        <v>45628</v>
      </c>
      <c r="B1109">
        <v>425.92730712890631</v>
      </c>
      <c r="C1109">
        <v>427.92361428722251</v>
      </c>
      <c r="D1109">
        <v>416.37066256492921</v>
      </c>
      <c r="E1109">
        <v>416.6276240398858</v>
      </c>
      <c r="F1109">
        <v>20207200</v>
      </c>
      <c r="G1109" s="2" t="s">
        <v>14</v>
      </c>
      <c r="H1109">
        <v>1.775858078364756</v>
      </c>
      <c r="I1109">
        <v>93.890902843120955</v>
      </c>
      <c r="J1109">
        <v>415.3290399169922</v>
      </c>
      <c r="K1109">
        <v>1.5945645203015255</v>
      </c>
      <c r="L1109">
        <v>0</v>
      </c>
      <c r="M1109" t="str">
        <f>VLOOKUP(fact_daily_prices[[#This Row],[Ticker]], dim_company[], 2, FALSE)</f>
        <v>Microsoft Corp.</v>
      </c>
      <c r="N1109" t="str">
        <f>VLOOKUP(fact_daily_prices[[#This Row],[Ticker]], dim_company[], 3, FALSE)</f>
        <v>Technology</v>
      </c>
    </row>
    <row r="1110" spans="1:14" x14ac:dyDescent="0.3">
      <c r="A1110" s="1">
        <v>45629</v>
      </c>
      <c r="B1110">
        <v>426.14468383789063</v>
      </c>
      <c r="C1110">
        <v>427.39978367877131</v>
      </c>
      <c r="D1110">
        <v>422.72522667678601</v>
      </c>
      <c r="E1110">
        <v>424.80061260374799</v>
      </c>
      <c r="F1110">
        <v>18302000</v>
      </c>
      <c r="G1110" s="2" t="s">
        <v>14</v>
      </c>
      <c r="H1110">
        <v>5.103610530388103E-2</v>
      </c>
      <c r="I1110">
        <v>93.938821103166745</v>
      </c>
      <c r="J1110">
        <v>415.30049804687502</v>
      </c>
      <c r="K1110">
        <v>1.5946037334301153</v>
      </c>
      <c r="L1110">
        <v>0</v>
      </c>
      <c r="M1110" t="str">
        <f>VLOOKUP(fact_daily_prices[[#This Row],[Ticker]], dim_company[], 2, FALSE)</f>
        <v>Microsoft Corp.</v>
      </c>
      <c r="N1110" t="str">
        <f>VLOOKUP(fact_daily_prices[[#This Row],[Ticker]], dim_company[], 3, FALSE)</f>
        <v>Technology</v>
      </c>
    </row>
    <row r="1111" spans="1:14" x14ac:dyDescent="0.3">
      <c r="A1111" s="1">
        <v>45630</v>
      </c>
      <c r="B1111">
        <v>432.29177856445313</v>
      </c>
      <c r="C1111">
        <v>434.51539996245009</v>
      </c>
      <c r="D1111">
        <v>427.55792723241922</v>
      </c>
      <c r="E1111">
        <v>427.95323167121512</v>
      </c>
      <c r="F1111">
        <v>26009400</v>
      </c>
      <c r="G1111" s="2" t="s">
        <v>14</v>
      </c>
      <c r="H1111">
        <v>1.442490064923807</v>
      </c>
      <c r="I1111">
        <v>95.293879264686467</v>
      </c>
      <c r="J1111">
        <v>415.48050964355468</v>
      </c>
      <c r="K1111">
        <v>1.5714181152022328</v>
      </c>
      <c r="L1111">
        <v>0</v>
      </c>
      <c r="M1111" t="str">
        <f>VLOOKUP(fact_daily_prices[[#This Row],[Ticker]], dim_company[], 2, FALSE)</f>
        <v>Microsoft Corp.</v>
      </c>
      <c r="N1111" t="str">
        <f>VLOOKUP(fact_daily_prices[[#This Row],[Ticker]], dim_company[], 3, FALSE)</f>
        <v>Technology</v>
      </c>
    </row>
    <row r="1112" spans="1:14" x14ac:dyDescent="0.3">
      <c r="A1112" s="1">
        <v>45631</v>
      </c>
      <c r="B1112">
        <v>437.4307861328125</v>
      </c>
      <c r="C1112">
        <v>439.44687793021671</v>
      </c>
      <c r="D1112">
        <v>431.05642304012679</v>
      </c>
      <c r="E1112">
        <v>432.7859063083414</v>
      </c>
      <c r="F1112">
        <v>21697800</v>
      </c>
      <c r="G1112" s="2" t="s">
        <v>14</v>
      </c>
      <c r="H1112">
        <v>1.1887821659308129</v>
      </c>
      <c r="I1112">
        <v>96.426715906608706</v>
      </c>
      <c r="J1112">
        <v>415.70530700683594</v>
      </c>
      <c r="K1112">
        <v>1.5766443896494009</v>
      </c>
      <c r="L1112">
        <v>0</v>
      </c>
      <c r="M1112" t="str">
        <f>VLOOKUP(fact_daily_prices[[#This Row],[Ticker]], dim_company[], 2, FALSE)</f>
        <v>Microsoft Corp.</v>
      </c>
      <c r="N1112" t="str">
        <f>VLOOKUP(fact_daily_prices[[#This Row],[Ticker]], dim_company[], 3, FALSE)</f>
        <v>Technology</v>
      </c>
    </row>
    <row r="1113" spans="1:14" x14ac:dyDescent="0.3">
      <c r="A1113" s="1">
        <v>45632</v>
      </c>
      <c r="B1113">
        <v>438.36968994140631</v>
      </c>
      <c r="C1113">
        <v>440.87002757046025</v>
      </c>
      <c r="D1113">
        <v>436.59077465034932</v>
      </c>
      <c r="E1113">
        <v>437.11455984031568</v>
      </c>
      <c r="F1113">
        <v>18821000</v>
      </c>
      <c r="G1113" s="2" t="s">
        <v>14</v>
      </c>
      <c r="H1113">
        <v>0.21464054162587676</v>
      </c>
      <c r="I1113">
        <v>96.633686731902685</v>
      </c>
      <c r="J1113">
        <v>415.9646630859375</v>
      </c>
      <c r="K1113">
        <v>1.5764912972651313</v>
      </c>
      <c r="L1113">
        <v>0</v>
      </c>
      <c r="M1113" t="str">
        <f>VLOOKUP(fact_daily_prices[[#This Row],[Ticker]], dim_company[], 2, FALSE)</f>
        <v>Microsoft Corp.</v>
      </c>
      <c r="N1113" t="str">
        <f>VLOOKUP(fact_daily_prices[[#This Row],[Ticker]], dim_company[], 3, FALSE)</f>
        <v>Technology</v>
      </c>
    </row>
    <row r="1114" spans="1:14" x14ac:dyDescent="0.3">
      <c r="A1114" s="1">
        <v>45635</v>
      </c>
      <c r="B1114">
        <v>440.7908935546875</v>
      </c>
      <c r="C1114">
        <v>443.07380892404888</v>
      </c>
      <c r="D1114">
        <v>435.33562036137351</v>
      </c>
      <c r="E1114">
        <v>437.41100619528191</v>
      </c>
      <c r="F1114">
        <v>19144400</v>
      </c>
      <c r="G1114" s="2" t="s">
        <v>14</v>
      </c>
      <c r="H1114">
        <v>0.55232003234639837</v>
      </c>
      <c r="I1114">
        <v>97.167413941717868</v>
      </c>
      <c r="J1114">
        <v>416.3373419189453</v>
      </c>
      <c r="K1114">
        <v>1.57361628390423</v>
      </c>
      <c r="L1114">
        <v>0</v>
      </c>
      <c r="M1114" t="str">
        <f>VLOOKUP(fact_daily_prices[[#This Row],[Ticker]], dim_company[], 2, FALSE)</f>
        <v>Microsoft Corp.</v>
      </c>
      <c r="N1114" t="str">
        <f>VLOOKUP(fact_daily_prices[[#This Row],[Ticker]], dim_company[], 3, FALSE)</f>
        <v>Technology</v>
      </c>
    </row>
    <row r="1115" spans="1:14" x14ac:dyDescent="0.3">
      <c r="A1115" s="1">
        <v>45636</v>
      </c>
      <c r="B1115">
        <v>438.1324462890625</v>
      </c>
      <c r="C1115">
        <v>444.34871163189086</v>
      </c>
      <c r="D1115">
        <v>436.42274787532313</v>
      </c>
      <c r="E1115">
        <v>439.18004674067907</v>
      </c>
      <c r="F1115">
        <v>18469500</v>
      </c>
      <c r="G1115" s="2" t="s">
        <v>14</v>
      </c>
      <c r="H1115">
        <v>-0.60310848170804787</v>
      </c>
      <c r="I1115">
        <v>96.581389026778993</v>
      </c>
      <c r="J1115">
        <v>416.6118768310547</v>
      </c>
      <c r="K1115">
        <v>1.5769352924521729</v>
      </c>
      <c r="L1115">
        <v>0</v>
      </c>
      <c r="M1115" t="str">
        <f>VLOOKUP(fact_daily_prices[[#This Row],[Ticker]], dim_company[], 2, FALSE)</f>
        <v>Microsoft Corp.</v>
      </c>
      <c r="N1115" t="str">
        <f>VLOOKUP(fact_daily_prices[[#This Row],[Ticker]], dim_company[], 3, FALSE)</f>
        <v>Technology</v>
      </c>
    </row>
    <row r="1116" spans="1:14" x14ac:dyDescent="0.3">
      <c r="A1116" s="1">
        <v>45637</v>
      </c>
      <c r="B1116">
        <v>443.72610473632813</v>
      </c>
      <c r="C1116">
        <v>445.07017600098669</v>
      </c>
      <c r="D1116">
        <v>438.84401807874161</v>
      </c>
      <c r="E1116">
        <v>438.84401807874161</v>
      </c>
      <c r="F1116">
        <v>19200200</v>
      </c>
      <c r="G1116" s="2" t="s">
        <v>14</v>
      </c>
      <c r="H1116">
        <v>1.2767049084456916</v>
      </c>
      <c r="I1116">
        <v>97.814448361128896</v>
      </c>
      <c r="J1116">
        <v>417.18785217285154</v>
      </c>
      <c r="K1116">
        <v>1.5774300955506675</v>
      </c>
      <c r="L1116">
        <v>0</v>
      </c>
      <c r="M1116" t="str">
        <f>VLOOKUP(fact_daily_prices[[#This Row],[Ticker]], dim_company[], 2, FALSE)</f>
        <v>Microsoft Corp.</v>
      </c>
      <c r="N1116" t="str">
        <f>VLOOKUP(fact_daily_prices[[#This Row],[Ticker]], dim_company[], 3, FALSE)</f>
        <v>Technology</v>
      </c>
    </row>
    <row r="1117" spans="1:14" x14ac:dyDescent="0.3">
      <c r="A1117" s="1">
        <v>45638</v>
      </c>
      <c r="B1117">
        <v>444.28939819335938</v>
      </c>
      <c r="C1117">
        <v>450.81202644259832</v>
      </c>
      <c r="D1117">
        <v>443.8446618873549</v>
      </c>
      <c r="E1117">
        <v>443.8446618873549</v>
      </c>
      <c r="F1117">
        <v>20834800</v>
      </c>
      <c r="G1117" s="2" t="s">
        <v>14</v>
      </c>
      <c r="H1117">
        <v>0.12694620645903321</v>
      </c>
      <c r="I1117">
        <v>97.93862009269219</v>
      </c>
      <c r="J1117">
        <v>417.84531677246093</v>
      </c>
      <c r="K1117">
        <v>1.5774328639756001</v>
      </c>
      <c r="L1117">
        <v>0</v>
      </c>
      <c r="M1117" t="str">
        <f>VLOOKUP(fact_daily_prices[[#This Row],[Ticker]], dim_company[], 2, FALSE)</f>
        <v>Microsoft Corp.</v>
      </c>
      <c r="N1117" t="str">
        <f>VLOOKUP(fact_daily_prices[[#This Row],[Ticker]], dim_company[], 3, FALSE)</f>
        <v>Technology</v>
      </c>
    </row>
    <row r="1118" spans="1:14" x14ac:dyDescent="0.3">
      <c r="A1118" s="1">
        <v>45639</v>
      </c>
      <c r="B1118">
        <v>442.0262451171875</v>
      </c>
      <c r="C1118">
        <v>446.13747735633456</v>
      </c>
      <c r="D1118">
        <v>440.35605607754047</v>
      </c>
      <c r="E1118">
        <v>443.18254143686369</v>
      </c>
      <c r="F1118">
        <v>20177800</v>
      </c>
      <c r="G1118" s="2" t="s">
        <v>14</v>
      </c>
      <c r="H1118">
        <v>-0.50938714391445261</v>
      </c>
      <c r="I1118">
        <v>97.439733353012798</v>
      </c>
      <c r="J1118">
        <v>418.46915771484373</v>
      </c>
      <c r="K1118">
        <v>1.0687011404482096</v>
      </c>
      <c r="L1118">
        <v>0</v>
      </c>
      <c r="M1118" t="str">
        <f>VLOOKUP(fact_daily_prices[[#This Row],[Ticker]], dim_company[], 2, FALSE)</f>
        <v>Microsoft Corp.</v>
      </c>
      <c r="N1118" t="str">
        <f>VLOOKUP(fact_daily_prices[[#This Row],[Ticker]], dim_company[], 3, FALSE)</f>
        <v>Technology</v>
      </c>
    </row>
    <row r="1119" spans="1:14" x14ac:dyDescent="0.3">
      <c r="A1119" s="1">
        <v>45642</v>
      </c>
      <c r="B1119">
        <v>446.29562377929688</v>
      </c>
      <c r="C1119">
        <v>446.87870308969281</v>
      </c>
      <c r="D1119">
        <v>440.05960367412308</v>
      </c>
      <c r="E1119">
        <v>442.02626356510217</v>
      </c>
      <c r="F1119">
        <v>23598800</v>
      </c>
      <c r="G1119" s="2" t="s">
        <v>14</v>
      </c>
      <c r="H1119">
        <v>0.96586542298580103</v>
      </c>
      <c r="I1119">
        <v>98.380870045719121</v>
      </c>
      <c r="J1119">
        <v>419.17838623046873</v>
      </c>
      <c r="K1119">
        <v>1.0682134211421377</v>
      </c>
      <c r="L1119">
        <v>0</v>
      </c>
      <c r="M1119" t="str">
        <f>VLOOKUP(fact_daily_prices[[#This Row],[Ticker]], dim_company[], 2, FALSE)</f>
        <v>Microsoft Corp.</v>
      </c>
      <c r="N1119" t="str">
        <f>VLOOKUP(fact_daily_prices[[#This Row],[Ticker]], dim_company[], 3, FALSE)</f>
        <v>Technology</v>
      </c>
    </row>
    <row r="1120" spans="1:14" x14ac:dyDescent="0.3">
      <c r="A1120" s="1">
        <v>45643</v>
      </c>
      <c r="B1120">
        <v>449.13198852539063</v>
      </c>
      <c r="C1120">
        <v>449.95227465196029</v>
      </c>
      <c r="D1120">
        <v>444.29933364301343</v>
      </c>
      <c r="E1120">
        <v>445.72245376832848</v>
      </c>
      <c r="F1120">
        <v>22733500</v>
      </c>
      <c r="G1120" s="2" t="s">
        <v>14</v>
      </c>
      <c r="H1120">
        <v>0.63553496717601021</v>
      </c>
      <c r="I1120">
        <v>99.00611487587166</v>
      </c>
      <c r="J1120">
        <v>420.08242370605467</v>
      </c>
      <c r="K1120">
        <v>1.0587510839057825</v>
      </c>
      <c r="L1120">
        <v>0</v>
      </c>
      <c r="M1120" t="str">
        <f>VLOOKUP(fact_daily_prices[[#This Row],[Ticker]], dim_company[], 2, FALSE)</f>
        <v>Microsoft Corp.</v>
      </c>
      <c r="N1120" t="str">
        <f>VLOOKUP(fact_daily_prices[[#This Row],[Ticker]], dim_company[], 3, FALSE)</f>
        <v>Technology</v>
      </c>
    </row>
    <row r="1121" spans="1:14" x14ac:dyDescent="0.3">
      <c r="A1121" s="1">
        <v>45644</v>
      </c>
      <c r="B1121">
        <v>432.26211547851563</v>
      </c>
      <c r="C1121">
        <v>447.34318887069378</v>
      </c>
      <c r="D1121">
        <v>431.89642797238082</v>
      </c>
      <c r="E1121">
        <v>446.02879487441652</v>
      </c>
      <c r="F1121">
        <v>24444500</v>
      </c>
      <c r="G1121" s="2" t="s">
        <v>14</v>
      </c>
      <c r="H1121">
        <v>-3.7561058837654593</v>
      </c>
      <c r="I1121">
        <v>95.287340369731453</v>
      </c>
      <c r="J1121">
        <v>420.54707946777341</v>
      </c>
      <c r="K1121">
        <v>1.2960634822853729</v>
      </c>
      <c r="L1121">
        <v>0</v>
      </c>
      <c r="M1121" t="str">
        <f>VLOOKUP(fact_daily_prices[[#This Row],[Ticker]], dim_company[], 2, FALSE)</f>
        <v>Microsoft Corp.</v>
      </c>
      <c r="N1121" t="str">
        <f>VLOOKUP(fact_daily_prices[[#This Row],[Ticker]], dim_company[], 3, FALSE)</f>
        <v>Technology</v>
      </c>
    </row>
    <row r="1122" spans="1:14" x14ac:dyDescent="0.3">
      <c r="A1122" s="1">
        <v>45645</v>
      </c>
      <c r="B1122">
        <v>431.90631103515625</v>
      </c>
      <c r="C1122">
        <v>437.98420313441392</v>
      </c>
      <c r="D1122">
        <v>431.20464343548161</v>
      </c>
      <c r="E1122">
        <v>436.44249480171817</v>
      </c>
      <c r="F1122">
        <v>22963700</v>
      </c>
      <c r="G1122" s="2" t="s">
        <v>14</v>
      </c>
      <c r="H1122">
        <v>-8.2312196840450547E-2</v>
      </c>
      <c r="I1122">
        <v>95.208907266562292</v>
      </c>
      <c r="J1122">
        <v>420.95037414550779</v>
      </c>
      <c r="K1122">
        <v>1.2461087158459034</v>
      </c>
      <c r="L1122">
        <v>0</v>
      </c>
      <c r="M1122" t="str">
        <f>VLOOKUP(fact_daily_prices[[#This Row],[Ticker]], dim_company[], 2, FALSE)</f>
        <v>Microsoft Corp.</v>
      </c>
      <c r="N1122" t="str">
        <f>VLOOKUP(fact_daily_prices[[#This Row],[Ticker]], dim_company[], 3, FALSE)</f>
        <v>Technology</v>
      </c>
    </row>
    <row r="1123" spans="1:14" x14ac:dyDescent="0.3">
      <c r="A1123" s="1">
        <v>45646</v>
      </c>
      <c r="B1123">
        <v>431.48141479492188</v>
      </c>
      <c r="C1123">
        <v>438.53769150433192</v>
      </c>
      <c r="D1123">
        <v>423.60485191230282</v>
      </c>
      <c r="E1123">
        <v>428.03231018964311</v>
      </c>
      <c r="F1123">
        <v>64263700</v>
      </c>
      <c r="G1123" s="2" t="s">
        <v>14</v>
      </c>
      <c r="H1123">
        <v>-9.8376946429890033E-2</v>
      </c>
      <c r="I1123">
        <v>95.115243650864173</v>
      </c>
      <c r="J1123">
        <v>421.37712707519529</v>
      </c>
      <c r="K1123">
        <v>1.2291111574854456</v>
      </c>
      <c r="L1123">
        <v>1</v>
      </c>
      <c r="M1123" t="str">
        <f>VLOOKUP(fact_daily_prices[[#This Row],[Ticker]], dim_company[], 2, FALSE)</f>
        <v>Microsoft Corp.</v>
      </c>
      <c r="N1123" t="str">
        <f>VLOOKUP(fact_daily_prices[[#This Row],[Ticker]], dim_company[], 3, FALSE)</f>
        <v>Technology</v>
      </c>
    </row>
    <row r="1124" spans="1:14" x14ac:dyDescent="0.3">
      <c r="A1124" s="1">
        <v>45649</v>
      </c>
      <c r="B1124">
        <v>430.147216796875</v>
      </c>
      <c r="C1124">
        <v>432.51907364903411</v>
      </c>
      <c r="D1124">
        <v>427.75557511841203</v>
      </c>
      <c r="E1124">
        <v>431.61973868629701</v>
      </c>
      <c r="F1124">
        <v>19152500</v>
      </c>
      <c r="G1124" s="2" t="s">
        <v>14</v>
      </c>
      <c r="H1124">
        <v>-0.3092133177233114</v>
      </c>
      <c r="I1124">
        <v>94.821134650310725</v>
      </c>
      <c r="J1124">
        <v>421.76772644042967</v>
      </c>
      <c r="K1124">
        <v>1.2228560726319031</v>
      </c>
      <c r="L1124">
        <v>0</v>
      </c>
      <c r="M1124" t="str">
        <f>VLOOKUP(fact_daily_prices[[#This Row],[Ticker]], dim_company[], 2, FALSE)</f>
        <v>Microsoft Corp.</v>
      </c>
      <c r="N1124" t="str">
        <f>VLOOKUP(fact_daily_prices[[#This Row],[Ticker]], dim_company[], 3, FALSE)</f>
        <v>Technology</v>
      </c>
    </row>
    <row r="1125" spans="1:14" x14ac:dyDescent="0.3">
      <c r="A1125" s="1">
        <v>45650</v>
      </c>
      <c r="B1125">
        <v>434.1793212890625</v>
      </c>
      <c r="C1125">
        <v>434.4461751355928</v>
      </c>
      <c r="D1125">
        <v>429.09959787026048</v>
      </c>
      <c r="E1125">
        <v>429.55419642685541</v>
      </c>
      <c r="F1125">
        <v>7164500</v>
      </c>
      <c r="G1125" s="2" t="s">
        <v>14</v>
      </c>
      <c r="H1125">
        <v>0.93737779409870381</v>
      </c>
      <c r="I1125">
        <v>95.709966910635174</v>
      </c>
      <c r="J1125">
        <v>422.18334106445315</v>
      </c>
      <c r="K1125">
        <v>1.2106886925362785</v>
      </c>
      <c r="L1125">
        <v>0</v>
      </c>
      <c r="M1125" t="str">
        <f>VLOOKUP(fact_daily_prices[[#This Row],[Ticker]], dim_company[], 2, FALSE)</f>
        <v>Microsoft Corp.</v>
      </c>
      <c r="N1125" t="str">
        <f>VLOOKUP(fact_daily_prices[[#This Row],[Ticker]], dim_company[], 3, FALSE)</f>
        <v>Technology</v>
      </c>
    </row>
    <row r="1126" spans="1:14" x14ac:dyDescent="0.3">
      <c r="A1126" s="1">
        <v>45652</v>
      </c>
      <c r="B1126">
        <v>432.97366333007813</v>
      </c>
      <c r="C1126">
        <v>435.7705018127553</v>
      </c>
      <c r="D1126">
        <v>431.51103388396439</v>
      </c>
      <c r="E1126">
        <v>433.93229243236959</v>
      </c>
      <c r="F1126">
        <v>8194200</v>
      </c>
      <c r="G1126" s="2" t="s">
        <v>14</v>
      </c>
      <c r="H1126">
        <v>-0.27768663772489433</v>
      </c>
      <c r="I1126">
        <v>95.444193121553411</v>
      </c>
      <c r="J1126">
        <v>422.58273376464842</v>
      </c>
      <c r="K1126">
        <v>1.1977122158094997</v>
      </c>
      <c r="L1126">
        <v>0</v>
      </c>
      <c r="M1126" t="str">
        <f>VLOOKUP(fact_daily_prices[[#This Row],[Ticker]], dim_company[], 2, FALSE)</f>
        <v>Microsoft Corp.</v>
      </c>
      <c r="N1126" t="str">
        <f>VLOOKUP(fact_daily_prices[[#This Row],[Ticker]], dim_company[], 3, FALSE)</f>
        <v>Technology</v>
      </c>
    </row>
    <row r="1127" spans="1:14" x14ac:dyDescent="0.3">
      <c r="A1127" s="1">
        <v>45653</v>
      </c>
      <c r="B1127">
        <v>425.4825439453125</v>
      </c>
      <c r="C1127">
        <v>430.117561657289</v>
      </c>
      <c r="D1127">
        <v>421.35155673790098</v>
      </c>
      <c r="E1127">
        <v>429.50483524927432</v>
      </c>
      <c r="F1127">
        <v>18117700</v>
      </c>
      <c r="G1127" s="2" t="s">
        <v>14</v>
      </c>
      <c r="H1127">
        <v>-1.7301559007423362</v>
      </c>
      <c r="I1127">
        <v>93.792859782344934</v>
      </c>
      <c r="J1127">
        <v>422.88398498535156</v>
      </c>
      <c r="K1127">
        <v>1.2422024795149438</v>
      </c>
      <c r="L1127">
        <v>0</v>
      </c>
      <c r="M1127" t="str">
        <f>VLOOKUP(fact_daily_prices[[#This Row],[Ticker]], dim_company[], 2, FALSE)</f>
        <v>Microsoft Corp.</v>
      </c>
      <c r="N1127" t="str">
        <f>VLOOKUP(fact_daily_prices[[#This Row],[Ticker]], dim_company[], 3, FALSE)</f>
        <v>Technology</v>
      </c>
    </row>
    <row r="1128" spans="1:14" x14ac:dyDescent="0.3">
      <c r="A1128" s="1">
        <v>45656</v>
      </c>
      <c r="B1128">
        <v>419.849365234375</v>
      </c>
      <c r="C1128">
        <v>422.5374777077036</v>
      </c>
      <c r="D1128">
        <v>416.95372320356262</v>
      </c>
      <c r="E1128">
        <v>421.06495581922968</v>
      </c>
      <c r="F1128">
        <v>13158700</v>
      </c>
      <c r="G1128" s="2" t="s">
        <v>14</v>
      </c>
      <c r="H1128">
        <v>-1.3239506041078708</v>
      </c>
      <c r="I1128">
        <v>92.551088648646541</v>
      </c>
      <c r="J1128">
        <v>423.06073669433596</v>
      </c>
      <c r="K1128">
        <v>1.2654140410641319</v>
      </c>
      <c r="L1128">
        <v>0</v>
      </c>
      <c r="M1128" t="str">
        <f>VLOOKUP(fact_daily_prices[[#This Row],[Ticker]], dim_company[], 2, FALSE)</f>
        <v>Microsoft Corp.</v>
      </c>
      <c r="N1128" t="str">
        <f>VLOOKUP(fact_daily_prices[[#This Row],[Ticker]], dim_company[], 3, FALSE)</f>
        <v>Technology</v>
      </c>
    </row>
    <row r="1129" spans="1:14" x14ac:dyDescent="0.3">
      <c r="A1129" s="1">
        <v>45657</v>
      </c>
      <c r="B1129">
        <v>416.55838012695313</v>
      </c>
      <c r="C1129">
        <v>421.727075036825</v>
      </c>
      <c r="D1129">
        <v>415.72823181420273</v>
      </c>
      <c r="E1129">
        <v>421.10445626231387</v>
      </c>
      <c r="F1129">
        <v>13246500</v>
      </c>
      <c r="G1129" s="2" t="s">
        <v>14</v>
      </c>
      <c r="H1129">
        <v>-0.78384901346336688</v>
      </c>
      <c r="I1129">
        <v>91.825627853324505</v>
      </c>
      <c r="J1129">
        <v>423.14326477050781</v>
      </c>
      <c r="K1129">
        <v>1.1621437464095548</v>
      </c>
      <c r="L1129">
        <v>0</v>
      </c>
      <c r="M1129" t="str">
        <f>VLOOKUP(fact_daily_prices[[#This Row],[Ticker]], dim_company[], 2, FALSE)</f>
        <v>Microsoft Corp.</v>
      </c>
      <c r="N1129" t="str">
        <f>VLOOKUP(fact_daily_prices[[#This Row],[Ticker]], dim_company[], 3, FALSE)</f>
        <v>Technology</v>
      </c>
    </row>
    <row r="1130" spans="1:14" x14ac:dyDescent="0.3">
      <c r="A1130" s="1">
        <v>45659</v>
      </c>
      <c r="B1130">
        <v>413.67263793945313</v>
      </c>
      <c r="C1130">
        <v>421.07484717562448</v>
      </c>
      <c r="D1130">
        <v>409.98638702094667</v>
      </c>
      <c r="E1130">
        <v>420.54116958363778</v>
      </c>
      <c r="F1130">
        <v>16896500</v>
      </c>
      <c r="G1130" s="2" t="s">
        <v>14</v>
      </c>
      <c r="H1130">
        <v>-0.69275816432273762</v>
      </c>
      <c r="I1130">
        <v>91.189498319430001</v>
      </c>
      <c r="J1130">
        <v>423.15584716796877</v>
      </c>
      <c r="K1130">
        <v>1.1700507355492562</v>
      </c>
      <c r="L1130">
        <v>0</v>
      </c>
      <c r="M1130" t="str">
        <f>VLOOKUP(fact_daily_prices[[#This Row],[Ticker]], dim_company[], 2, FALSE)</f>
        <v>Microsoft Corp.</v>
      </c>
      <c r="N1130" t="str">
        <f>VLOOKUP(fact_daily_prices[[#This Row],[Ticker]], dim_company[], 3, FALSE)</f>
        <v>Technology</v>
      </c>
    </row>
    <row r="1131" spans="1:14" x14ac:dyDescent="0.3">
      <c r="A1131" s="1">
        <v>45660</v>
      </c>
      <c r="B1131">
        <v>418.38671875</v>
      </c>
      <c r="C1131">
        <v>419.05873930106293</v>
      </c>
      <c r="D1131">
        <v>414.62138898974536</v>
      </c>
      <c r="E1131">
        <v>416.14331256248272</v>
      </c>
      <c r="F1131">
        <v>16662900</v>
      </c>
      <c r="G1131" s="2" t="s">
        <v>14</v>
      </c>
      <c r="H1131">
        <v>1.139567952579168</v>
      </c>
      <c r="I1131">
        <v>92.228664618395939</v>
      </c>
      <c r="J1131">
        <v>423.09050292968749</v>
      </c>
      <c r="K1131">
        <v>1.1846851104984288</v>
      </c>
      <c r="L1131">
        <v>0</v>
      </c>
      <c r="M1131" t="str">
        <f>VLOOKUP(fact_daily_prices[[#This Row],[Ticker]], dim_company[], 2, FALSE)</f>
        <v>Microsoft Corp.</v>
      </c>
      <c r="N1131" t="str">
        <f>VLOOKUP(fact_daily_prices[[#This Row],[Ticker]], dim_company[], 3, FALSE)</f>
        <v>Technology</v>
      </c>
    </row>
    <row r="1132" spans="1:14" x14ac:dyDescent="0.3">
      <c r="A1132" s="1">
        <v>45663</v>
      </c>
      <c r="B1132">
        <v>422.83395385742188</v>
      </c>
      <c r="C1132">
        <v>429.22810170967261</v>
      </c>
      <c r="D1132">
        <v>420.49174422384129</v>
      </c>
      <c r="E1132">
        <v>422.98218924692799</v>
      </c>
      <c r="F1132">
        <v>20573600</v>
      </c>
      <c r="G1132" s="2" t="s">
        <v>14</v>
      </c>
      <c r="H1132">
        <v>1.0629484417451707</v>
      </c>
      <c r="I1132">
        <v>93.209007771799563</v>
      </c>
      <c r="J1132">
        <v>423.17150634765625</v>
      </c>
      <c r="K1132">
        <v>1.1927233700323994</v>
      </c>
      <c r="L1132">
        <v>0</v>
      </c>
      <c r="M1132" t="str">
        <f>VLOOKUP(fact_daily_prices[[#This Row],[Ticker]], dim_company[], 2, FALSE)</f>
        <v>Microsoft Corp.</v>
      </c>
      <c r="N1132" t="str">
        <f>VLOOKUP(fact_daily_prices[[#This Row],[Ticker]], dim_company[], 3, FALSE)</f>
        <v>Technology</v>
      </c>
    </row>
    <row r="1133" spans="1:14" x14ac:dyDescent="0.3">
      <c r="A1133" s="1">
        <v>45664</v>
      </c>
      <c r="B1133">
        <v>417.41815185546881</v>
      </c>
      <c r="C1133">
        <v>425.60107637135599</v>
      </c>
      <c r="D1133">
        <v>415.86655121325668</v>
      </c>
      <c r="E1133">
        <v>423.97042691517908</v>
      </c>
      <c r="F1133">
        <v>18139100</v>
      </c>
      <c r="G1133" s="2" t="s">
        <v>14</v>
      </c>
      <c r="H1133">
        <v>-1.2808342264252648</v>
      </c>
      <c r="I1133">
        <v>92.01515489814696</v>
      </c>
      <c r="J1133">
        <v>423.14162963867187</v>
      </c>
      <c r="K1133">
        <v>1.2159054655160211</v>
      </c>
      <c r="L1133">
        <v>0</v>
      </c>
      <c r="M1133" t="str">
        <f>VLOOKUP(fact_daily_prices[[#This Row],[Ticker]], dim_company[], 2, FALSE)</f>
        <v>Microsoft Corp.</v>
      </c>
      <c r="N1133" t="str">
        <f>VLOOKUP(fact_daily_prices[[#This Row],[Ticker]], dim_company[], 3, FALSE)</f>
        <v>Technology</v>
      </c>
    </row>
    <row r="1134" spans="1:14" x14ac:dyDescent="0.3">
      <c r="A1134" s="1">
        <v>45665</v>
      </c>
      <c r="B1134">
        <v>419.58251953125</v>
      </c>
      <c r="C1134">
        <v>421.96426867022262</v>
      </c>
      <c r="D1134">
        <v>416.59793641790981</v>
      </c>
      <c r="E1134">
        <v>418.49540973506828</v>
      </c>
      <c r="F1134">
        <v>15054600</v>
      </c>
      <c r="G1134" s="2" t="s">
        <v>14</v>
      </c>
      <c r="H1134">
        <v>0.51851307044514794</v>
      </c>
      <c r="I1134">
        <v>92.492265503084212</v>
      </c>
      <c r="J1134">
        <v>423.0875769042969</v>
      </c>
      <c r="K1134">
        <v>1.2065177040323281</v>
      </c>
      <c r="L1134">
        <v>0</v>
      </c>
      <c r="M1134" t="str">
        <f>VLOOKUP(fact_daily_prices[[#This Row],[Ticker]], dim_company[], 2, FALSE)</f>
        <v>Microsoft Corp.</v>
      </c>
      <c r="N1134" t="str">
        <f>VLOOKUP(fact_daily_prices[[#This Row],[Ticker]], dim_company[], 3, FALSE)</f>
        <v>Technology</v>
      </c>
    </row>
    <row r="1135" spans="1:14" x14ac:dyDescent="0.3">
      <c r="A1135" s="1">
        <v>45667</v>
      </c>
      <c r="B1135">
        <v>414.03829956054688</v>
      </c>
      <c r="C1135">
        <v>419.73074959963856</v>
      </c>
      <c r="D1135">
        <v>410.15435142162687</v>
      </c>
      <c r="E1135">
        <v>419.651700779007</v>
      </c>
      <c r="F1135">
        <v>20201100</v>
      </c>
      <c r="G1135" s="2" t="s">
        <v>14</v>
      </c>
      <c r="H1135">
        <v>-1.3213658130698636</v>
      </c>
      <c r="I1135">
        <v>91.270104326992637</v>
      </c>
      <c r="J1135">
        <v>422.95341186523439</v>
      </c>
      <c r="K1135">
        <v>1.2304892771819249</v>
      </c>
      <c r="L1135">
        <v>0</v>
      </c>
      <c r="M1135" t="str">
        <f>VLOOKUP(fact_daily_prices[[#This Row],[Ticker]], dim_company[], 2, FALSE)</f>
        <v>Microsoft Corp.</v>
      </c>
      <c r="N1135" t="str">
        <f>VLOOKUP(fact_daily_prices[[#This Row],[Ticker]], dim_company[], 3, FALSE)</f>
        <v>Technology</v>
      </c>
    </row>
    <row r="1136" spans="1:14" x14ac:dyDescent="0.3">
      <c r="A1136" s="1">
        <v>45670</v>
      </c>
      <c r="B1136">
        <v>412.29891967773438</v>
      </c>
      <c r="C1136">
        <v>413.59355899082419</v>
      </c>
      <c r="D1136">
        <v>407.456372689251</v>
      </c>
      <c r="E1136">
        <v>410.37176916690618</v>
      </c>
      <c r="F1136">
        <v>17604800</v>
      </c>
      <c r="G1136" s="2" t="s">
        <v>14</v>
      </c>
      <c r="H1136">
        <v>-0.42010120432304232</v>
      </c>
      <c r="I1136">
        <v>90.886677519528064</v>
      </c>
      <c r="J1136">
        <v>422.67872741699216</v>
      </c>
      <c r="K1136">
        <v>1.1608036972403259</v>
      </c>
      <c r="L1136">
        <v>0</v>
      </c>
      <c r="M1136" t="str">
        <f>VLOOKUP(fact_daily_prices[[#This Row],[Ticker]], dim_company[], 2, FALSE)</f>
        <v>Microsoft Corp.</v>
      </c>
      <c r="N1136" t="str">
        <f>VLOOKUP(fact_daily_prices[[#This Row],[Ticker]], dim_company[], 3, FALSE)</f>
        <v>Technology</v>
      </c>
    </row>
    <row r="1137" spans="1:14" x14ac:dyDescent="0.3">
      <c r="A1137" s="1">
        <v>45671</v>
      </c>
      <c r="B1137">
        <v>410.7967529296875</v>
      </c>
      <c r="C1137">
        <v>414.81901386422032</v>
      </c>
      <c r="D1137">
        <v>405.90477401390677</v>
      </c>
      <c r="E1137">
        <v>412.91164816841012</v>
      </c>
      <c r="F1137">
        <v>16935900</v>
      </c>
      <c r="G1137" s="2" t="s">
        <v>14</v>
      </c>
      <c r="H1137">
        <v>-0.36433923940936142</v>
      </c>
      <c r="I1137">
        <v>90.555541689928958</v>
      </c>
      <c r="J1137">
        <v>422.36255859375001</v>
      </c>
      <c r="K1137">
        <v>1.1439384577037401</v>
      </c>
      <c r="L1137">
        <v>0</v>
      </c>
      <c r="M1137" t="str">
        <f>VLOOKUP(fact_daily_prices[[#This Row],[Ticker]], dim_company[], 2, FALSE)</f>
        <v>Microsoft Corp.</v>
      </c>
      <c r="N1137" t="str">
        <f>VLOOKUP(fact_daily_prices[[#This Row],[Ticker]], dim_company[], 3, FALSE)</f>
        <v>Technology</v>
      </c>
    </row>
    <row r="1138" spans="1:14" x14ac:dyDescent="0.3">
      <c r="A1138" s="1">
        <v>45672</v>
      </c>
      <c r="B1138">
        <v>421.31204223632813</v>
      </c>
      <c r="C1138">
        <v>423.13046690209615</v>
      </c>
      <c r="D1138">
        <v>413.36629280737418</v>
      </c>
      <c r="E1138">
        <v>414.21622605843157</v>
      </c>
      <c r="F1138">
        <v>19637800</v>
      </c>
      <c r="G1138" s="2" t="s">
        <v>14</v>
      </c>
      <c r="H1138">
        <v>2.5597303853179376</v>
      </c>
      <c r="I1138">
        <v>92.873519406155324</v>
      </c>
      <c r="J1138">
        <v>422.77312316894529</v>
      </c>
      <c r="K1138">
        <v>1.2393397710280789</v>
      </c>
      <c r="L1138">
        <v>0</v>
      </c>
      <c r="M1138" t="str">
        <f>VLOOKUP(fact_daily_prices[[#This Row],[Ticker]], dim_company[], 2, FALSE)</f>
        <v>Microsoft Corp.</v>
      </c>
      <c r="N1138" t="str">
        <f>VLOOKUP(fact_daily_prices[[#This Row],[Ticker]], dim_company[], 3, FALSE)</f>
        <v>Technology</v>
      </c>
    </row>
    <row r="1139" spans="1:14" x14ac:dyDescent="0.3">
      <c r="A1139" s="1">
        <v>45673</v>
      </c>
      <c r="B1139">
        <v>419.60226440429688</v>
      </c>
      <c r="C1139">
        <v>424.45470380325997</v>
      </c>
      <c r="D1139">
        <v>419.4145196873236</v>
      </c>
      <c r="E1139">
        <v>423.67398737859008</v>
      </c>
      <c r="F1139">
        <v>15300000</v>
      </c>
      <c r="G1139" s="2" t="s">
        <v>14</v>
      </c>
      <c r="H1139">
        <v>-0.40582220791880452</v>
      </c>
      <c r="I1139">
        <v>92.496618039129359</v>
      </c>
      <c r="J1139">
        <v>423.07019470214846</v>
      </c>
      <c r="K1139">
        <v>1.1966250158868483</v>
      </c>
      <c r="L1139">
        <v>0</v>
      </c>
      <c r="M1139" t="str">
        <f>VLOOKUP(fact_daily_prices[[#This Row],[Ticker]], dim_company[], 2, FALSE)</f>
        <v>Microsoft Corp.</v>
      </c>
      <c r="N1139" t="str">
        <f>VLOOKUP(fact_daily_prices[[#This Row],[Ticker]], dim_company[], 3, FALSE)</f>
        <v>Technology</v>
      </c>
    </row>
    <row r="1140" spans="1:14" x14ac:dyDescent="0.3">
      <c r="A1140" s="1">
        <v>45674</v>
      </c>
      <c r="B1140">
        <v>424.0001220703125</v>
      </c>
      <c r="C1140">
        <v>429.38623923610697</v>
      </c>
      <c r="D1140">
        <v>423.15021904469972</v>
      </c>
      <c r="E1140">
        <v>429.00079705486741</v>
      </c>
      <c r="F1140">
        <v>26197500</v>
      </c>
      <c r="G1140" s="2" t="s">
        <v>14</v>
      </c>
      <c r="H1140">
        <v>1.0481015092373758</v>
      </c>
      <c r="I1140">
        <v>93.466076488791003</v>
      </c>
      <c r="J1140">
        <v>423.49289978027343</v>
      </c>
      <c r="K1140">
        <v>1.2130575177162077</v>
      </c>
      <c r="L1140">
        <v>0</v>
      </c>
      <c r="M1140" t="str">
        <f>VLOOKUP(fact_daily_prices[[#This Row],[Ticker]], dim_company[], 2, FALSE)</f>
        <v>Microsoft Corp.</v>
      </c>
      <c r="N1140" t="str">
        <f>VLOOKUP(fact_daily_prices[[#This Row],[Ticker]], dim_company[], 3, FALSE)</f>
        <v>Technology</v>
      </c>
    </row>
    <row r="1141" spans="1:14" x14ac:dyDescent="0.3">
      <c r="A1141" s="1">
        <v>45678</v>
      </c>
      <c r="B1141">
        <v>423.476318359375</v>
      </c>
      <c r="C1141">
        <v>425.84817502067762</v>
      </c>
      <c r="D1141">
        <v>420.61032363697626</v>
      </c>
      <c r="E1141">
        <v>425.15639983101931</v>
      </c>
      <c r="F1141">
        <v>26085700</v>
      </c>
      <c r="G1141" s="2" t="s">
        <v>14</v>
      </c>
      <c r="H1141">
        <v>-0.12353857550320146</v>
      </c>
      <c r="I1141">
        <v>93.350609829318017</v>
      </c>
      <c r="J1141">
        <v>423.8459503173828</v>
      </c>
      <c r="K1141">
        <v>1.1817027965629598</v>
      </c>
      <c r="L1141">
        <v>0</v>
      </c>
      <c r="M1141" t="str">
        <f>VLOOKUP(fact_daily_prices[[#This Row],[Ticker]], dim_company[], 2, FALSE)</f>
        <v>Microsoft Corp.</v>
      </c>
      <c r="N1141" t="str">
        <f>VLOOKUP(fact_daily_prices[[#This Row],[Ticker]], dim_company[], 3, FALSE)</f>
        <v>Technology</v>
      </c>
    </row>
    <row r="1142" spans="1:14" x14ac:dyDescent="0.3">
      <c r="A1142" s="1">
        <v>45679</v>
      </c>
      <c r="B1142">
        <v>440.9688720703125</v>
      </c>
      <c r="C1142">
        <v>442.02630472978723</v>
      </c>
      <c r="D1142">
        <v>430.88844231911162</v>
      </c>
      <c r="E1142">
        <v>432.43015084673561</v>
      </c>
      <c r="F1142">
        <v>27803800</v>
      </c>
      <c r="G1142" s="2" t="s">
        <v>14</v>
      </c>
      <c r="H1142">
        <v>4.1307041155705937</v>
      </c>
      <c r="I1142">
        <v>97.206647311447909</v>
      </c>
      <c r="J1142">
        <v>424.37684082031251</v>
      </c>
      <c r="K1142">
        <v>1.3923588128245252</v>
      </c>
      <c r="L1142">
        <v>0</v>
      </c>
      <c r="M1142" t="str">
        <f>VLOOKUP(fact_daily_prices[[#This Row],[Ticker]], dim_company[], 2, FALSE)</f>
        <v>Microsoft Corp.</v>
      </c>
      <c r="N1142" t="str">
        <f>VLOOKUP(fact_daily_prices[[#This Row],[Ticker]], dim_company[], 3, FALSE)</f>
        <v>Technology</v>
      </c>
    </row>
    <row r="1143" spans="1:14" x14ac:dyDescent="0.3">
      <c r="A1143" s="1">
        <v>45680</v>
      </c>
      <c r="B1143">
        <v>441.47280883789063</v>
      </c>
      <c r="C1143">
        <v>441.51234832669104</v>
      </c>
      <c r="D1143">
        <v>436.32389879403269</v>
      </c>
      <c r="E1143">
        <v>436.8180368447621</v>
      </c>
      <c r="F1143">
        <v>18389300</v>
      </c>
      <c r="G1143" s="2" t="s">
        <v>14</v>
      </c>
      <c r="H1143">
        <v>0.11427944226816145</v>
      </c>
      <c r="I1143">
        <v>97.317734525843008</v>
      </c>
      <c r="J1143">
        <v>424.81424804687498</v>
      </c>
      <c r="K1143">
        <v>1.3920358299786992</v>
      </c>
      <c r="L1143">
        <v>0</v>
      </c>
      <c r="M1143" t="str">
        <f>VLOOKUP(fact_daily_prices[[#This Row],[Ticker]], dim_company[], 2, FALSE)</f>
        <v>Microsoft Corp.</v>
      </c>
      <c r="N1143" t="str">
        <f>VLOOKUP(fact_daily_prices[[#This Row],[Ticker]], dim_company[], 3, FALSE)</f>
        <v>Technology</v>
      </c>
    </row>
    <row r="1144" spans="1:14" x14ac:dyDescent="0.3">
      <c r="A1144" s="1">
        <v>45681</v>
      </c>
      <c r="B1144">
        <v>438.85394287109375</v>
      </c>
      <c r="C1144">
        <v>441.41357470272482</v>
      </c>
      <c r="D1144">
        <v>436.22512446460303</v>
      </c>
      <c r="E1144">
        <v>439.94105276246921</v>
      </c>
      <c r="F1144">
        <v>15549500</v>
      </c>
      <c r="G1144" s="2" t="s">
        <v>14</v>
      </c>
      <c r="H1144">
        <v>-0.59321115918569145</v>
      </c>
      <c r="I1144">
        <v>96.740434864768986</v>
      </c>
      <c r="J1144">
        <v>425.2562860107422</v>
      </c>
      <c r="K1144">
        <v>1.3930062416213191</v>
      </c>
      <c r="L1144">
        <v>0</v>
      </c>
      <c r="M1144" t="str">
        <f>VLOOKUP(fact_daily_prices[[#This Row],[Ticker]], dim_company[], 2, FALSE)</f>
        <v>Microsoft Corp.</v>
      </c>
      <c r="N1144" t="str">
        <f>VLOOKUP(fact_daily_prices[[#This Row],[Ticker]], dim_company[], 3, FALSE)</f>
        <v>Technology</v>
      </c>
    </row>
    <row r="1145" spans="1:14" x14ac:dyDescent="0.3">
      <c r="A1145" s="1">
        <v>45684</v>
      </c>
      <c r="B1145">
        <v>429.46533203125</v>
      </c>
      <c r="C1145">
        <v>430.09784331862181</v>
      </c>
      <c r="D1145">
        <v>418.53499893466574</v>
      </c>
      <c r="E1145">
        <v>419.03902948180274</v>
      </c>
      <c r="F1145">
        <v>35647800</v>
      </c>
      <c r="G1145" s="2" t="s">
        <v>14</v>
      </c>
      <c r="H1145">
        <v>-2.1393474964406356</v>
      </c>
      <c r="I1145">
        <v>94.670820793443781</v>
      </c>
      <c r="J1145">
        <v>425.599912109375</v>
      </c>
      <c r="K1145">
        <v>1.4430756791931221</v>
      </c>
      <c r="L1145">
        <v>0</v>
      </c>
      <c r="M1145" t="str">
        <f>VLOOKUP(fact_daily_prices[[#This Row],[Ticker]], dim_company[], 2, FALSE)</f>
        <v>Microsoft Corp.</v>
      </c>
      <c r="N1145" t="str">
        <f>VLOOKUP(fact_daily_prices[[#This Row],[Ticker]], dim_company[], 3, FALSE)</f>
        <v>Technology</v>
      </c>
    </row>
    <row r="1146" spans="1:14" x14ac:dyDescent="0.3">
      <c r="A1146" s="1">
        <v>45685</v>
      </c>
      <c r="B1146">
        <v>441.95712280273438</v>
      </c>
      <c r="C1146">
        <v>443.12328146481229</v>
      </c>
      <c r="D1146">
        <v>426.32258628914173</v>
      </c>
      <c r="E1146">
        <v>429.50483681704293</v>
      </c>
      <c r="F1146">
        <v>23491700</v>
      </c>
      <c r="G1146" s="2" t="s">
        <v>14</v>
      </c>
      <c r="H1146">
        <v>2.9086843197335011</v>
      </c>
      <c r="I1146">
        <v>97.424496113225672</v>
      </c>
      <c r="J1146">
        <v>426.09434936523439</v>
      </c>
      <c r="K1146">
        <v>1.5235821774284972</v>
      </c>
      <c r="L1146">
        <v>0</v>
      </c>
      <c r="M1146" t="str">
        <f>VLOOKUP(fact_daily_prices[[#This Row],[Ticker]], dim_company[], 2, FALSE)</f>
        <v>Microsoft Corp.</v>
      </c>
      <c r="N1146" t="str">
        <f>VLOOKUP(fact_daily_prices[[#This Row],[Ticker]], dim_company[], 3, FALSE)</f>
        <v>Technology</v>
      </c>
    </row>
    <row r="1147" spans="1:14" x14ac:dyDescent="0.3">
      <c r="A1147" s="1">
        <v>45686</v>
      </c>
      <c r="B1147">
        <v>437.1441650390625</v>
      </c>
      <c r="C1147">
        <v>441.64083950305229</v>
      </c>
      <c r="D1147">
        <v>435.23679935643298</v>
      </c>
      <c r="E1147">
        <v>441.45306462654537</v>
      </c>
      <c r="F1147">
        <v>23581400</v>
      </c>
      <c r="G1147" s="2" t="s">
        <v>14</v>
      </c>
      <c r="H1147">
        <v>-1.0890101132774666</v>
      </c>
      <c r="I1147">
        <v>96.363533497743035</v>
      </c>
      <c r="J1147">
        <v>426.44972045898436</v>
      </c>
      <c r="K1147">
        <v>1.5361519683696372</v>
      </c>
      <c r="L1147">
        <v>0</v>
      </c>
      <c r="M1147" t="str">
        <f>VLOOKUP(fact_daily_prices[[#This Row],[Ticker]], dim_company[], 2, FALSE)</f>
        <v>Microsoft Corp.</v>
      </c>
      <c r="N1147" t="str">
        <f>VLOOKUP(fact_daily_prices[[#This Row],[Ticker]], dim_company[], 3, FALSE)</f>
        <v>Technology</v>
      </c>
    </row>
    <row r="1148" spans="1:14" x14ac:dyDescent="0.3">
      <c r="A1148" s="1">
        <v>45687</v>
      </c>
      <c r="B1148">
        <v>410.12472534179688</v>
      </c>
      <c r="C1148">
        <v>417.90245411076046</v>
      </c>
      <c r="D1148">
        <v>408.3161931892364</v>
      </c>
      <c r="E1148">
        <v>413.86040812362961</v>
      </c>
      <c r="F1148">
        <v>54586300</v>
      </c>
      <c r="G1148" s="2" t="s">
        <v>14</v>
      </c>
      <c r="H1148">
        <v>-6.1808990850538255</v>
      </c>
      <c r="I1148">
        <v>90.407400737455504</v>
      </c>
      <c r="J1148">
        <v>426.23136657714844</v>
      </c>
      <c r="K1148">
        <v>1.9011880928388358</v>
      </c>
      <c r="L1148">
        <v>1</v>
      </c>
      <c r="M1148" t="str">
        <f>VLOOKUP(fact_daily_prices[[#This Row],[Ticker]], dim_company[], 2, FALSE)</f>
        <v>Microsoft Corp.</v>
      </c>
      <c r="N1148" t="str">
        <f>VLOOKUP(fact_daily_prices[[#This Row],[Ticker]], dim_company[], 3, FALSE)</f>
        <v>Technology</v>
      </c>
    </row>
    <row r="1149" spans="1:14" x14ac:dyDescent="0.3">
      <c r="A1149" s="1">
        <v>45688</v>
      </c>
      <c r="B1149">
        <v>410.19390869140631</v>
      </c>
      <c r="C1149">
        <v>415.75790840811362</v>
      </c>
      <c r="D1149">
        <v>410.0456732964256</v>
      </c>
      <c r="E1149">
        <v>414.06796458574274</v>
      </c>
      <c r="F1149">
        <v>34161900</v>
      </c>
      <c r="G1149" s="2" t="s">
        <v>14</v>
      </c>
      <c r="H1149">
        <v>1.6868856066110105E-2</v>
      </c>
      <c r="I1149">
        <v>90.422651431759007</v>
      </c>
      <c r="J1149">
        <v>426.24893859863283</v>
      </c>
      <c r="K1149">
        <v>1.8884269717286872</v>
      </c>
      <c r="L1149">
        <v>0</v>
      </c>
      <c r="M1149" t="str">
        <f>VLOOKUP(fact_daily_prices[[#This Row],[Ticker]], dim_company[], 2, FALSE)</f>
        <v>Microsoft Corp.</v>
      </c>
      <c r="N1149" t="str">
        <f>VLOOKUP(fact_daily_prices[[#This Row],[Ticker]], dim_company[], 3, FALSE)</f>
        <v>Technology</v>
      </c>
    </row>
    <row r="1150" spans="1:14" x14ac:dyDescent="0.3">
      <c r="A1150" s="1">
        <v>45691</v>
      </c>
      <c r="B1150">
        <v>406.10244750976563</v>
      </c>
      <c r="C1150">
        <v>410.5397977577241</v>
      </c>
      <c r="D1150">
        <v>403.86893376688317</v>
      </c>
      <c r="E1150">
        <v>406.77446805123299</v>
      </c>
      <c r="F1150">
        <v>25679100</v>
      </c>
      <c r="G1150" s="2" t="s">
        <v>14</v>
      </c>
      <c r="H1150">
        <v>-0.99744562143625481</v>
      </c>
      <c r="I1150">
        <v>89.520734654266349</v>
      </c>
      <c r="J1150">
        <v>426.16968994140626</v>
      </c>
      <c r="K1150">
        <v>1.8851556579799571</v>
      </c>
      <c r="L1150">
        <v>0</v>
      </c>
      <c r="M1150" t="str">
        <f>VLOOKUP(fact_daily_prices[[#This Row],[Ticker]], dim_company[], 2, FALSE)</f>
        <v>Microsoft Corp.</v>
      </c>
      <c r="N1150" t="str">
        <f>VLOOKUP(fact_daily_prices[[#This Row],[Ticker]], dim_company[], 3, FALSE)</f>
        <v>Technology</v>
      </c>
    </row>
    <row r="1151" spans="1:14" x14ac:dyDescent="0.3">
      <c r="A1151" s="1">
        <v>45692</v>
      </c>
      <c r="B1151">
        <v>407.53543090820313</v>
      </c>
      <c r="C1151">
        <v>409.06727703567128</v>
      </c>
      <c r="D1151">
        <v>404.93625980967772</v>
      </c>
      <c r="E1151">
        <v>407.85168651436629</v>
      </c>
      <c r="F1151">
        <v>20532100</v>
      </c>
      <c r="G1151" s="2" t="s">
        <v>14</v>
      </c>
      <c r="H1151">
        <v>0.35286253683635138</v>
      </c>
      <c r="I1151">
        <v>89.836619789561951</v>
      </c>
      <c r="J1151">
        <v>426.07905578613281</v>
      </c>
      <c r="K1151">
        <v>1.77264144755873</v>
      </c>
      <c r="L1151">
        <v>0</v>
      </c>
      <c r="M1151" t="str">
        <f>VLOOKUP(fact_daily_prices[[#This Row],[Ticker]], dim_company[], 2, FALSE)</f>
        <v>Microsoft Corp.</v>
      </c>
      <c r="N1151" t="str">
        <f>VLOOKUP(fact_daily_prices[[#This Row],[Ticker]], dim_company[], 3, FALSE)</f>
        <v>Technology</v>
      </c>
    </row>
    <row r="1152" spans="1:14" x14ac:dyDescent="0.3">
      <c r="A1152" s="1">
        <v>45693</v>
      </c>
      <c r="B1152">
        <v>408.44467163085938</v>
      </c>
      <c r="C1152">
        <v>408.9783190539917</v>
      </c>
      <c r="D1152">
        <v>405.58853898868563</v>
      </c>
      <c r="E1152">
        <v>407.51568960716099</v>
      </c>
      <c r="F1152">
        <v>16316700</v>
      </c>
      <c r="G1152" s="2" t="s">
        <v>14</v>
      </c>
      <c r="H1152">
        <v>0.22310715920577096</v>
      </c>
      <c r="I1152">
        <v>90.037051719900916</v>
      </c>
      <c r="J1152">
        <v>426.05197814941408</v>
      </c>
      <c r="K1152">
        <v>1.7741031431886947</v>
      </c>
      <c r="L1152">
        <v>0</v>
      </c>
      <c r="M1152" t="str">
        <f>VLOOKUP(fact_daily_prices[[#This Row],[Ticker]], dim_company[], 2, FALSE)</f>
        <v>Microsoft Corp.</v>
      </c>
      <c r="N1152" t="str">
        <f>VLOOKUP(fact_daily_prices[[#This Row],[Ticker]], dim_company[], 3, FALSE)</f>
        <v>Technology</v>
      </c>
    </row>
    <row r="1153" spans="1:14" x14ac:dyDescent="0.3">
      <c r="A1153" s="1">
        <v>45694</v>
      </c>
      <c r="B1153">
        <v>410.94500732421881</v>
      </c>
      <c r="C1153">
        <v>413.29710945199457</v>
      </c>
      <c r="D1153">
        <v>409.14633744300238</v>
      </c>
      <c r="E1153">
        <v>409.14633744300238</v>
      </c>
      <c r="F1153">
        <v>16309800</v>
      </c>
      <c r="G1153" s="2" t="s">
        <v>14</v>
      </c>
      <c r="H1153">
        <v>0.61216019378487196</v>
      </c>
      <c r="I1153">
        <v>90.588222710187651</v>
      </c>
      <c r="J1153">
        <v>426.11028747558595</v>
      </c>
      <c r="K1153">
        <v>1.7798347505380359</v>
      </c>
      <c r="L1153">
        <v>0</v>
      </c>
      <c r="M1153" t="str">
        <f>VLOOKUP(fact_daily_prices[[#This Row],[Ticker]], dim_company[], 2, FALSE)</f>
        <v>Microsoft Corp.</v>
      </c>
      <c r="N1153" t="str">
        <f>VLOOKUP(fact_daily_prices[[#This Row],[Ticker]], dim_company[], 3, FALSE)</f>
        <v>Technology</v>
      </c>
    </row>
    <row r="1154" spans="1:14" x14ac:dyDescent="0.3">
      <c r="A1154" s="1">
        <v>45695</v>
      </c>
      <c r="B1154">
        <v>404.94613647460938</v>
      </c>
      <c r="C1154">
        <v>413.74178783038479</v>
      </c>
      <c r="D1154">
        <v>403.31548692344882</v>
      </c>
      <c r="E1154">
        <v>411.59724555903949</v>
      </c>
      <c r="F1154">
        <v>22886800</v>
      </c>
      <c r="G1154" s="2" t="s">
        <v>14</v>
      </c>
      <c r="H1154">
        <v>-1.4597746030958758</v>
      </c>
      <c r="I1154">
        <v>89.265838841668398</v>
      </c>
      <c r="J1154">
        <v>425.96698730468751</v>
      </c>
      <c r="K1154">
        <v>1.79577649818711</v>
      </c>
      <c r="L1154">
        <v>0</v>
      </c>
      <c r="M1154" t="str">
        <f>VLOOKUP(fact_daily_prices[[#This Row],[Ticker]], dim_company[], 2, FALSE)</f>
        <v>Microsoft Corp.</v>
      </c>
      <c r="N1154" t="str">
        <f>VLOOKUP(fact_daily_prices[[#This Row],[Ticker]], dim_company[], 3, FALSE)</f>
        <v>Technology</v>
      </c>
    </row>
    <row r="1155" spans="1:14" x14ac:dyDescent="0.3">
      <c r="A1155" s="1">
        <v>45698</v>
      </c>
      <c r="B1155">
        <v>407.38717651367188</v>
      </c>
      <c r="C1155">
        <v>410.58918143726896</v>
      </c>
      <c r="D1155">
        <v>406.10242964328353</v>
      </c>
      <c r="E1155">
        <v>408.85969825647294</v>
      </c>
      <c r="F1155">
        <v>20817900</v>
      </c>
      <c r="G1155" s="2" t="s">
        <v>14</v>
      </c>
      <c r="H1155">
        <v>0.60280610658833833</v>
      </c>
      <c r="I1155">
        <v>89.803938769303286</v>
      </c>
      <c r="J1155">
        <v>425.83712768554688</v>
      </c>
      <c r="K1155">
        <v>1.7895920758679893</v>
      </c>
      <c r="L1155">
        <v>0</v>
      </c>
      <c r="M1155" t="str">
        <f>VLOOKUP(fact_daily_prices[[#This Row],[Ticker]], dim_company[], 2, FALSE)</f>
        <v>Microsoft Corp.</v>
      </c>
      <c r="N1155" t="str">
        <f>VLOOKUP(fact_daily_prices[[#This Row],[Ticker]], dim_company[], 3, FALSE)</f>
        <v>Technology</v>
      </c>
    </row>
    <row r="1156" spans="1:14" x14ac:dyDescent="0.3">
      <c r="A1156" s="1">
        <v>45699</v>
      </c>
      <c r="B1156">
        <v>406.6163330078125</v>
      </c>
      <c r="C1156">
        <v>407.65401087954717</v>
      </c>
      <c r="D1156">
        <v>404.50140761463911</v>
      </c>
      <c r="E1156">
        <v>404.8374480391833</v>
      </c>
      <c r="F1156">
        <v>18140600</v>
      </c>
      <c r="G1156" s="2" t="s">
        <v>14</v>
      </c>
      <c r="H1156">
        <v>-0.18921643839064917</v>
      </c>
      <c r="I1156">
        <v>89.634014954829482</v>
      </c>
      <c r="J1156">
        <v>425.5100085449219</v>
      </c>
      <c r="K1156">
        <v>1.7895264995346547</v>
      </c>
      <c r="L1156">
        <v>0</v>
      </c>
      <c r="M1156" t="str">
        <f>VLOOKUP(fact_daily_prices[[#This Row],[Ticker]], dim_company[], 2, FALSE)</f>
        <v>Microsoft Corp.</v>
      </c>
      <c r="N1156" t="str">
        <f>VLOOKUP(fact_daily_prices[[#This Row],[Ticker]], dim_company[], 3, FALSE)</f>
        <v>Technology</v>
      </c>
    </row>
    <row r="1157" spans="1:14" x14ac:dyDescent="0.3">
      <c r="A1157" s="1">
        <v>45700</v>
      </c>
      <c r="B1157">
        <v>404.24444580078131</v>
      </c>
      <c r="C1157">
        <v>405.93438940933225</v>
      </c>
      <c r="D1157">
        <v>399.62918335569123</v>
      </c>
      <c r="E1157">
        <v>402.43588373145838</v>
      </c>
      <c r="F1157">
        <v>19121700</v>
      </c>
      <c r="G1157" s="2" t="s">
        <v>14</v>
      </c>
      <c r="H1157">
        <v>-0.58332315120889211</v>
      </c>
      <c r="I1157">
        <v>89.111158994239929</v>
      </c>
      <c r="J1157">
        <v>425.23427856445312</v>
      </c>
      <c r="K1157">
        <v>1.7676848231802087</v>
      </c>
      <c r="L1157">
        <v>0</v>
      </c>
      <c r="M1157" t="str">
        <f>VLOOKUP(fact_daily_prices[[#This Row],[Ticker]], dim_company[], 2, FALSE)</f>
        <v>Microsoft Corp.</v>
      </c>
      <c r="N1157" t="str">
        <f>VLOOKUP(fact_daily_prices[[#This Row],[Ticker]], dim_company[], 3, FALSE)</f>
        <v>Technology</v>
      </c>
    </row>
    <row r="1158" spans="1:14" x14ac:dyDescent="0.3">
      <c r="A1158" s="1">
        <v>45701</v>
      </c>
      <c r="B1158">
        <v>405.72689819335938</v>
      </c>
      <c r="C1158">
        <v>406.18149677663939</v>
      </c>
      <c r="D1158">
        <v>401.59588097379788</v>
      </c>
      <c r="E1158">
        <v>402.22839218513928</v>
      </c>
      <c r="F1158">
        <v>23891700</v>
      </c>
      <c r="G1158" s="2" t="s">
        <v>14</v>
      </c>
      <c r="H1158">
        <v>0.36672177143743934</v>
      </c>
      <c r="I1158">
        <v>89.437949015052041</v>
      </c>
      <c r="J1158">
        <v>424.97890808105467</v>
      </c>
      <c r="K1158">
        <v>1.7560535798754453</v>
      </c>
      <c r="L1158">
        <v>0</v>
      </c>
      <c r="M1158" t="str">
        <f>VLOOKUP(fact_daily_prices[[#This Row],[Ticker]], dim_company[], 2, FALSE)</f>
        <v>Microsoft Corp.</v>
      </c>
      <c r="N1158" t="str">
        <f>VLOOKUP(fact_daily_prices[[#This Row],[Ticker]], dim_company[], 3, FALSE)</f>
        <v>Technology</v>
      </c>
    </row>
    <row r="1159" spans="1:14" x14ac:dyDescent="0.3">
      <c r="A1159" s="1">
        <v>45702</v>
      </c>
      <c r="B1159">
        <v>403.6416015625</v>
      </c>
      <c r="C1159">
        <v>404.11598494952727</v>
      </c>
      <c r="D1159">
        <v>401.12150956343908</v>
      </c>
      <c r="E1159">
        <v>403.00912053959007</v>
      </c>
      <c r="F1159">
        <v>22758500</v>
      </c>
      <c r="G1159" s="2" t="s">
        <v>14</v>
      </c>
      <c r="H1159">
        <v>-0.51396558624653421</v>
      </c>
      <c r="I1159">
        <v>88.97826873606995</v>
      </c>
      <c r="J1159">
        <v>424.53319396972654</v>
      </c>
      <c r="K1159">
        <v>1.7531126162517785</v>
      </c>
      <c r="L1159">
        <v>0</v>
      </c>
      <c r="M1159" t="str">
        <f>VLOOKUP(fact_daily_prices[[#This Row],[Ticker]], dim_company[], 2, FALSE)</f>
        <v>Microsoft Corp.</v>
      </c>
      <c r="N1159" t="str">
        <f>VLOOKUP(fact_daily_prices[[#This Row],[Ticker]], dim_company[], 3, FALSE)</f>
        <v>Technology</v>
      </c>
    </row>
    <row r="1160" spans="1:14" x14ac:dyDescent="0.3">
      <c r="A1160" s="1">
        <v>45706</v>
      </c>
      <c r="B1160">
        <v>404.83746337890631</v>
      </c>
      <c r="C1160">
        <v>405.78620005413762</v>
      </c>
      <c r="D1160">
        <v>401.7342617389566</v>
      </c>
      <c r="E1160">
        <v>403.21667598891582</v>
      </c>
      <c r="F1160">
        <v>21423100</v>
      </c>
      <c r="G1160" s="2" t="s">
        <v>14</v>
      </c>
      <c r="H1160">
        <v>0.29626822700561384</v>
      </c>
      <c r="I1160">
        <v>89.2418830752746</v>
      </c>
      <c r="J1160">
        <v>424.1070495605469</v>
      </c>
      <c r="K1160">
        <v>1.7506831455238077</v>
      </c>
      <c r="L1160">
        <v>0</v>
      </c>
      <c r="M1160" t="str">
        <f>VLOOKUP(fact_daily_prices[[#This Row],[Ticker]], dim_company[], 2, FALSE)</f>
        <v>Microsoft Corp.</v>
      </c>
      <c r="N1160" t="str">
        <f>VLOOKUP(fact_daily_prices[[#This Row],[Ticker]], dim_company[], 3, FALSE)</f>
        <v>Technology</v>
      </c>
    </row>
    <row r="1161" spans="1:14" x14ac:dyDescent="0.3">
      <c r="A1161" s="1">
        <v>45707</v>
      </c>
      <c r="B1161">
        <v>409.90728759765625</v>
      </c>
      <c r="C1161">
        <v>410.61884763156144</v>
      </c>
      <c r="D1161">
        <v>402.87076624003532</v>
      </c>
      <c r="E1161">
        <v>403.09808061190603</v>
      </c>
      <c r="F1161">
        <v>24114200</v>
      </c>
      <c r="G1161" s="2" t="s">
        <v>14</v>
      </c>
      <c r="H1161">
        <v>1.2523110327872233</v>
      </c>
      <c r="I1161">
        <v>90.359469022893336</v>
      </c>
      <c r="J1161">
        <v>423.65935974121095</v>
      </c>
      <c r="K1161">
        <v>1.7534590555962695</v>
      </c>
      <c r="L1161">
        <v>0</v>
      </c>
      <c r="M1161" t="str">
        <f>VLOOKUP(fact_daily_prices[[#This Row],[Ticker]], dim_company[], 2, FALSE)</f>
        <v>Microsoft Corp.</v>
      </c>
      <c r="N1161" t="str">
        <f>VLOOKUP(fact_daily_prices[[#This Row],[Ticker]], dim_company[], 3, FALSE)</f>
        <v>Technology</v>
      </c>
    </row>
    <row r="1162" spans="1:14" x14ac:dyDescent="0.3">
      <c r="A1162" s="1">
        <v>45708</v>
      </c>
      <c r="B1162">
        <v>412.07595825195313</v>
      </c>
      <c r="C1162">
        <v>415.22497061282769</v>
      </c>
      <c r="D1162">
        <v>408.52093659117702</v>
      </c>
      <c r="E1162">
        <v>411.24414537664296</v>
      </c>
      <c r="F1162">
        <v>23508700</v>
      </c>
      <c r="G1162" s="2" t="s">
        <v>14</v>
      </c>
      <c r="H1162">
        <v>0.52906369803933373</v>
      </c>
      <c r="I1162">
        <v>90.837528171234553</v>
      </c>
      <c r="J1162">
        <v>423.15226318359373</v>
      </c>
      <c r="K1162">
        <v>1.7444263869967265</v>
      </c>
      <c r="L1162">
        <v>0</v>
      </c>
      <c r="M1162" t="str">
        <f>VLOOKUP(fact_daily_prices[[#This Row],[Ticker]], dim_company[], 2, FALSE)</f>
        <v>Microsoft Corp.</v>
      </c>
      <c r="N1162" t="str">
        <f>VLOOKUP(fact_daily_prices[[#This Row],[Ticker]], dim_company[], 3, FALSE)</f>
        <v>Technology</v>
      </c>
    </row>
    <row r="1163" spans="1:14" x14ac:dyDescent="0.3">
      <c r="A1163" s="1">
        <v>45709</v>
      </c>
      <c r="B1163">
        <v>404.23312377929688</v>
      </c>
      <c r="C1163">
        <v>413.97725680128366</v>
      </c>
      <c r="D1163">
        <v>403.91626425407009</v>
      </c>
      <c r="E1163">
        <v>413.27418223243296</v>
      </c>
      <c r="F1163">
        <v>27524800</v>
      </c>
      <c r="G1163" s="2" t="s">
        <v>14</v>
      </c>
      <c r="H1163">
        <v>-1.9032497081183597</v>
      </c>
      <c r="I1163">
        <v>89.108663181453593</v>
      </c>
      <c r="J1163">
        <v>422.46953186035154</v>
      </c>
      <c r="K1163">
        <v>1.7629149591012045</v>
      </c>
      <c r="L1163">
        <v>0</v>
      </c>
      <c r="M1163" t="str">
        <f>VLOOKUP(fact_daily_prices[[#This Row],[Ticker]], dim_company[], 2, FALSE)</f>
        <v>Microsoft Corp.</v>
      </c>
      <c r="N1163" t="str">
        <f>VLOOKUP(fact_daily_prices[[#This Row],[Ticker]], dim_company[], 3, FALSE)</f>
        <v>Technology</v>
      </c>
    </row>
    <row r="1164" spans="1:14" x14ac:dyDescent="0.3">
      <c r="A1164" s="1">
        <v>45712</v>
      </c>
      <c r="B1164">
        <v>400.06411743164063</v>
      </c>
      <c r="C1164">
        <v>405.38179653354615</v>
      </c>
      <c r="D1164">
        <v>395.42971857168283</v>
      </c>
      <c r="E1164">
        <v>404.53018940315758</v>
      </c>
      <c r="F1164">
        <v>26443700</v>
      </c>
      <c r="G1164" s="2" t="s">
        <v>14</v>
      </c>
      <c r="H1164">
        <v>-1.0313371424585327</v>
      </c>
      <c r="I1164">
        <v>88.189652440914998</v>
      </c>
      <c r="J1164">
        <v>421.65499633789062</v>
      </c>
      <c r="K1164">
        <v>1.7671187151303194</v>
      </c>
      <c r="L1164">
        <v>0</v>
      </c>
      <c r="M1164" t="str">
        <f>VLOOKUP(fact_daily_prices[[#This Row],[Ticker]], dim_company[], 2, FALSE)</f>
        <v>Microsoft Corp.</v>
      </c>
      <c r="N1164" t="str">
        <f>VLOOKUP(fact_daily_prices[[#This Row],[Ticker]], dim_company[], 3, FALSE)</f>
        <v>Technology</v>
      </c>
    </row>
    <row r="1165" spans="1:14" x14ac:dyDescent="0.3">
      <c r="A1165" s="1">
        <v>45713</v>
      </c>
      <c r="B1165">
        <v>394.0235595703125</v>
      </c>
      <c r="C1165">
        <v>398.00441513588805</v>
      </c>
      <c r="D1165">
        <v>392.83526838169661</v>
      </c>
      <c r="E1165">
        <v>397.19239651382583</v>
      </c>
      <c r="F1165">
        <v>29387400</v>
      </c>
      <c r="G1165" s="2" t="s">
        <v>14</v>
      </c>
      <c r="H1165">
        <v>-1.5098974384675445</v>
      </c>
      <c r="I1165">
        <v>86.858079137716189</v>
      </c>
      <c r="J1165">
        <v>420.77281860351565</v>
      </c>
      <c r="K1165">
        <v>1.7717814096400828</v>
      </c>
      <c r="L1165">
        <v>0</v>
      </c>
      <c r="M1165" t="str">
        <f>VLOOKUP(fact_daily_prices[[#This Row],[Ticker]], dim_company[], 2, FALSE)</f>
        <v>Microsoft Corp.</v>
      </c>
      <c r="N1165" t="str">
        <f>VLOOKUP(fact_daily_prices[[#This Row],[Ticker]], dim_company[], 3, FALSE)</f>
        <v>Technology</v>
      </c>
    </row>
    <row r="1166" spans="1:14" x14ac:dyDescent="0.3">
      <c r="A1166" s="1">
        <v>45714</v>
      </c>
      <c r="B1166">
        <v>395.83575439453131</v>
      </c>
      <c r="C1166">
        <v>399.66804717869121</v>
      </c>
      <c r="D1166">
        <v>390.40913086553707</v>
      </c>
      <c r="E1166">
        <v>394.13250979931922</v>
      </c>
      <c r="F1166">
        <v>19619000</v>
      </c>
      <c r="G1166" s="2" t="s">
        <v>14</v>
      </c>
      <c r="H1166">
        <v>0.45992042358964369</v>
      </c>
      <c r="I1166">
        <v>87.257557183208206</v>
      </c>
      <c r="J1166">
        <v>419.81501159667971</v>
      </c>
      <c r="K1166">
        <v>1.7744330421296908</v>
      </c>
      <c r="L1166">
        <v>0</v>
      </c>
      <c r="M1166" t="str">
        <f>VLOOKUP(fact_daily_prices[[#This Row],[Ticker]], dim_company[], 2, FALSE)</f>
        <v>Microsoft Corp.</v>
      </c>
      <c r="N1166" t="str">
        <f>VLOOKUP(fact_daily_prices[[#This Row],[Ticker]], dim_company[], 3, FALSE)</f>
        <v>Technology</v>
      </c>
    </row>
    <row r="1167" spans="1:14" x14ac:dyDescent="0.3">
      <c r="A1167" s="1">
        <v>45715</v>
      </c>
      <c r="B1167">
        <v>388.70587158203131</v>
      </c>
      <c r="C1167">
        <v>401.78716793671936</v>
      </c>
      <c r="D1167">
        <v>388.34939329942608</v>
      </c>
      <c r="E1167">
        <v>397.36071460609611</v>
      </c>
      <c r="F1167">
        <v>21127400</v>
      </c>
      <c r="G1167" s="2" t="s">
        <v>14</v>
      </c>
      <c r="H1167">
        <v>-1.801222535696867</v>
      </c>
      <c r="I1167">
        <v>85.685854399125688</v>
      </c>
      <c r="J1167">
        <v>418.70334106445313</v>
      </c>
      <c r="K1167">
        <v>1.8004474448965295</v>
      </c>
      <c r="L1167">
        <v>0</v>
      </c>
      <c r="M1167" t="str">
        <f>VLOOKUP(fact_daily_prices[[#This Row],[Ticker]], dim_company[], 2, FALSE)</f>
        <v>Microsoft Corp.</v>
      </c>
      <c r="N1167" t="str">
        <f>VLOOKUP(fact_daily_prices[[#This Row],[Ticker]], dim_company[], 3, FALSE)</f>
        <v>Technology</v>
      </c>
    </row>
    <row r="1168" spans="1:14" x14ac:dyDescent="0.3">
      <c r="A1168" s="1">
        <v>45716</v>
      </c>
      <c r="B1168">
        <v>393.12240600585938</v>
      </c>
      <c r="C1168">
        <v>393.75618545789092</v>
      </c>
      <c r="D1168">
        <v>382.80393739721217</v>
      </c>
      <c r="E1168">
        <v>388.83460333794528</v>
      </c>
      <c r="F1168">
        <v>32845700</v>
      </c>
      <c r="G1168" s="2" t="s">
        <v>14</v>
      </c>
      <c r="H1168">
        <v>1.1362150012946159</v>
      </c>
      <c r="I1168">
        <v>86.659429930796023</v>
      </c>
      <c r="J1168">
        <v>417.72526428222659</v>
      </c>
      <c r="K1168">
        <v>1.7439442833458494</v>
      </c>
      <c r="L1168">
        <v>0</v>
      </c>
      <c r="M1168" t="str">
        <f>VLOOKUP(fact_daily_prices[[#This Row],[Ticker]], dim_company[], 2, FALSE)</f>
        <v>Microsoft Corp.</v>
      </c>
      <c r="N1168" t="str">
        <f>VLOOKUP(fact_daily_prices[[#This Row],[Ticker]], dim_company[], 3, FALSE)</f>
        <v>Technology</v>
      </c>
    </row>
    <row r="1169" spans="1:14" x14ac:dyDescent="0.3">
      <c r="A1169" s="1">
        <v>45719</v>
      </c>
      <c r="B1169">
        <v>384.70523071289063</v>
      </c>
      <c r="C1169">
        <v>394.93461038215554</v>
      </c>
      <c r="D1169">
        <v>382.39794340981081</v>
      </c>
      <c r="E1169">
        <v>394.93461038215554</v>
      </c>
      <c r="F1169">
        <v>23007700</v>
      </c>
      <c r="G1169" s="2" t="s">
        <v>14</v>
      </c>
      <c r="H1169">
        <v>-2.1411080020820039</v>
      </c>
      <c r="I1169">
        <v>84.803957941989111</v>
      </c>
      <c r="J1169">
        <v>416.49345642089844</v>
      </c>
      <c r="K1169">
        <v>1.7788950686702627</v>
      </c>
      <c r="L1169">
        <v>0</v>
      </c>
      <c r="M1169" t="str">
        <f>VLOOKUP(fact_daily_prices[[#This Row],[Ticker]], dim_company[], 2, FALSE)</f>
        <v>Microsoft Corp.</v>
      </c>
      <c r="N1169" t="str">
        <f>VLOOKUP(fact_daily_prices[[#This Row],[Ticker]], dim_company[], 3, FALSE)</f>
        <v>Technology</v>
      </c>
    </row>
    <row r="1170" spans="1:14" x14ac:dyDescent="0.3">
      <c r="A1170" s="1">
        <v>45720</v>
      </c>
      <c r="B1170">
        <v>384.82400512695313</v>
      </c>
      <c r="C1170">
        <v>388.75532914768758</v>
      </c>
      <c r="D1170">
        <v>377.28815902846338</v>
      </c>
      <c r="E1170">
        <v>379.66477130899921</v>
      </c>
      <c r="F1170">
        <v>21697800</v>
      </c>
      <c r="G1170" s="2" t="s">
        <v>14</v>
      </c>
      <c r="H1170">
        <v>3.0874135462721775E-2</v>
      </c>
      <c r="I1170">
        <v>84.830140430841865</v>
      </c>
      <c r="J1170">
        <v>415.20729675292966</v>
      </c>
      <c r="K1170">
        <v>1.7624530690795897</v>
      </c>
      <c r="L1170">
        <v>0</v>
      </c>
      <c r="M1170" t="str">
        <f>VLOOKUP(fact_daily_prices[[#This Row],[Ticker]], dim_company[], 2, FALSE)</f>
        <v>Microsoft Corp.</v>
      </c>
      <c r="N1170" t="str">
        <f>VLOOKUP(fact_daily_prices[[#This Row],[Ticker]], dim_company[], 3, FALSE)</f>
        <v>Technology</v>
      </c>
    </row>
    <row r="1171" spans="1:14" x14ac:dyDescent="0.3">
      <c r="A1171" s="1">
        <v>45721</v>
      </c>
      <c r="B1171">
        <v>397.11312866210938</v>
      </c>
      <c r="C1171">
        <v>397.75682033795329</v>
      </c>
      <c r="D1171">
        <v>385.02209070764377</v>
      </c>
      <c r="E1171">
        <v>385.54692607545508</v>
      </c>
      <c r="F1171">
        <v>23433100</v>
      </c>
      <c r="G1171" s="2" t="s">
        <v>14</v>
      </c>
      <c r="H1171">
        <v>3.1934399547403736</v>
      </c>
      <c r="I1171">
        <v>87.539140029022732</v>
      </c>
      <c r="J1171">
        <v>414.50431701660159</v>
      </c>
      <c r="K1171">
        <v>1.8748488686136384</v>
      </c>
      <c r="L1171">
        <v>0</v>
      </c>
      <c r="M1171" t="str">
        <f>VLOOKUP(fact_daily_prices[[#This Row],[Ticker]], dim_company[], 2, FALSE)</f>
        <v>Microsoft Corp.</v>
      </c>
      <c r="N1171" t="str">
        <f>VLOOKUP(fact_daily_prices[[#This Row],[Ticker]], dim_company[], 3, FALSE)</f>
        <v>Technology</v>
      </c>
    </row>
    <row r="1172" spans="1:14" x14ac:dyDescent="0.3">
      <c r="A1172" s="1">
        <v>45722</v>
      </c>
      <c r="B1172">
        <v>393.0234375</v>
      </c>
      <c r="C1172">
        <v>398.23217304119839</v>
      </c>
      <c r="D1172">
        <v>388.85443035299591</v>
      </c>
      <c r="E1172">
        <v>390.43884889620801</v>
      </c>
      <c r="F1172">
        <v>23304600</v>
      </c>
      <c r="G1172" s="2" t="s">
        <v>14</v>
      </c>
      <c r="H1172">
        <v>-1.0298554409137073</v>
      </c>
      <c r="I1172">
        <v>86.637613432504779</v>
      </c>
      <c r="J1172">
        <v>413.72665954589843</v>
      </c>
      <c r="K1172">
        <v>1.6919151662250975</v>
      </c>
      <c r="L1172">
        <v>0</v>
      </c>
      <c r="M1172" t="str">
        <f>VLOOKUP(fact_daily_prices[[#This Row],[Ticker]], dim_company[], 2, FALSE)</f>
        <v>Microsoft Corp.</v>
      </c>
      <c r="N1172" t="str">
        <f>VLOOKUP(fact_daily_prices[[#This Row],[Ticker]], dim_company[], 3, FALSE)</f>
        <v>Technology</v>
      </c>
    </row>
    <row r="1173" spans="1:14" x14ac:dyDescent="0.3">
      <c r="A1173" s="1">
        <v>45723</v>
      </c>
      <c r="B1173">
        <v>389.47830200195313</v>
      </c>
      <c r="C1173">
        <v>390.95377648794658</v>
      </c>
      <c r="D1173">
        <v>381.78400959544518</v>
      </c>
      <c r="E1173">
        <v>388.49795642753008</v>
      </c>
      <c r="F1173">
        <v>22034100</v>
      </c>
      <c r="G1173" s="2" t="s">
        <v>14</v>
      </c>
      <c r="H1173">
        <v>-0.90201630737273275</v>
      </c>
      <c r="I1173">
        <v>85.856128031025037</v>
      </c>
      <c r="J1173">
        <v>412.88659729003905</v>
      </c>
      <c r="K1173">
        <v>1.692081293402327</v>
      </c>
      <c r="L1173">
        <v>0</v>
      </c>
      <c r="M1173" t="str">
        <f>VLOOKUP(fact_daily_prices[[#This Row],[Ticker]], dim_company[], 2, FALSE)</f>
        <v>Microsoft Corp.</v>
      </c>
      <c r="N1173" t="str">
        <f>VLOOKUP(fact_daily_prices[[#This Row],[Ticker]], dim_company[], 3, FALSE)</f>
        <v>Technology</v>
      </c>
    </row>
    <row r="1174" spans="1:14" x14ac:dyDescent="0.3">
      <c r="A1174" s="1">
        <v>45726</v>
      </c>
      <c r="B1174">
        <v>376.45639038085938</v>
      </c>
      <c r="C1174">
        <v>382.63558907881742</v>
      </c>
      <c r="D1174">
        <v>373.54503017425952</v>
      </c>
      <c r="E1174">
        <v>382.08104715568106</v>
      </c>
      <c r="F1174">
        <v>32840100</v>
      </c>
      <c r="G1174" s="2" t="s">
        <v>14</v>
      </c>
      <c r="H1174">
        <v>-3.3434241533250919</v>
      </c>
      <c r="I1174">
        <v>82.985593509326023</v>
      </c>
      <c r="J1174">
        <v>411.81278076171873</v>
      </c>
      <c r="K1174">
        <v>1.7752125009509243</v>
      </c>
      <c r="L1174">
        <v>0</v>
      </c>
      <c r="M1174" t="str">
        <f>VLOOKUP(fact_daily_prices[[#This Row],[Ticker]], dim_company[], 2, FALSE)</f>
        <v>Microsoft Corp.</v>
      </c>
      <c r="N1174" t="str">
        <f>VLOOKUP(fact_daily_prices[[#This Row],[Ticker]], dim_company[], 3, FALSE)</f>
        <v>Technology</v>
      </c>
    </row>
    <row r="1175" spans="1:14" x14ac:dyDescent="0.3">
      <c r="A1175" s="1">
        <v>45727</v>
      </c>
      <c r="B1175">
        <v>376.74356079101563</v>
      </c>
      <c r="C1175">
        <v>382.23947903620126</v>
      </c>
      <c r="D1175">
        <v>373.23804000864612</v>
      </c>
      <c r="E1175">
        <v>375.30767501222869</v>
      </c>
      <c r="F1175">
        <v>30380200</v>
      </c>
      <c r="G1175" s="2" t="s">
        <v>14</v>
      </c>
      <c r="H1175">
        <v>7.6282517044190534E-2</v>
      </c>
      <c r="I1175">
        <v>83.048897008839006</v>
      </c>
      <c r="J1175">
        <v>410.6640655517578</v>
      </c>
      <c r="K1175">
        <v>1.7503345491453586</v>
      </c>
      <c r="L1175">
        <v>0</v>
      </c>
      <c r="M1175" t="str">
        <f>VLOOKUP(fact_daily_prices[[#This Row],[Ticker]], dim_company[], 2, FALSE)</f>
        <v>Microsoft Corp.</v>
      </c>
      <c r="N1175" t="str">
        <f>VLOOKUP(fact_daily_prices[[#This Row],[Ticker]], dim_company[], 3, FALSE)</f>
        <v>Technology</v>
      </c>
    </row>
    <row r="1176" spans="1:14" x14ac:dyDescent="0.3">
      <c r="A1176" s="1">
        <v>45728</v>
      </c>
      <c r="B1176">
        <v>379.53607177734375</v>
      </c>
      <c r="C1176">
        <v>381.46708645156627</v>
      </c>
      <c r="D1176">
        <v>375.25818132319932</v>
      </c>
      <c r="E1176">
        <v>379.21921226907705</v>
      </c>
      <c r="F1176">
        <v>24253600</v>
      </c>
      <c r="G1176" s="2" t="s">
        <v>14</v>
      </c>
      <c r="H1176">
        <v>0.74122328208210408</v>
      </c>
      <c r="I1176">
        <v>83.664474768980909</v>
      </c>
      <c r="J1176">
        <v>409.59531372070313</v>
      </c>
      <c r="K1176">
        <v>1.6500317652558558</v>
      </c>
      <c r="L1176">
        <v>0</v>
      </c>
      <c r="M1176" t="str">
        <f>VLOOKUP(fact_daily_prices[[#This Row],[Ticker]], dim_company[], 2, FALSE)</f>
        <v>Microsoft Corp.</v>
      </c>
      <c r="N1176" t="str">
        <f>VLOOKUP(fact_daily_prices[[#This Row],[Ticker]], dim_company[], 3, FALSE)</f>
        <v>Technology</v>
      </c>
    </row>
    <row r="1177" spans="1:14" x14ac:dyDescent="0.3">
      <c r="A1177" s="1">
        <v>45729</v>
      </c>
      <c r="B1177">
        <v>375.07992553710938</v>
      </c>
      <c r="C1177">
        <v>381.56613207787609</v>
      </c>
      <c r="D1177">
        <v>373.7728082450696</v>
      </c>
      <c r="E1177">
        <v>379.42717166326253</v>
      </c>
      <c r="F1177">
        <v>20473000</v>
      </c>
      <c r="G1177" s="2" t="s">
        <v>14</v>
      </c>
      <c r="H1177">
        <v>-1.1741034835942021</v>
      </c>
      <c r="I1177">
        <v>82.682167256187512</v>
      </c>
      <c r="J1177">
        <v>408.58726135253909</v>
      </c>
      <c r="K1177">
        <v>1.65116466050146</v>
      </c>
      <c r="L1177">
        <v>0</v>
      </c>
      <c r="M1177" t="str">
        <f>VLOOKUP(fact_daily_prices[[#This Row],[Ticker]], dim_company[], 2, FALSE)</f>
        <v>Microsoft Corp.</v>
      </c>
      <c r="N1177" t="str">
        <f>VLOOKUP(fact_daily_prices[[#This Row],[Ticker]], dim_company[], 3, FALSE)</f>
        <v>Technology</v>
      </c>
    </row>
    <row r="1178" spans="1:14" x14ac:dyDescent="0.3">
      <c r="A1178" s="1">
        <v>45730</v>
      </c>
      <c r="B1178">
        <v>384.7745361328125</v>
      </c>
      <c r="C1178">
        <v>386.42827981726163</v>
      </c>
      <c r="D1178">
        <v>375.81271588130278</v>
      </c>
      <c r="E1178">
        <v>376.08007458561946</v>
      </c>
      <c r="F1178">
        <v>19952800</v>
      </c>
      <c r="G1178" s="2" t="s">
        <v>14</v>
      </c>
      <c r="H1178">
        <v>2.5846786073183026</v>
      </c>
      <c r="I1178">
        <v>84.819235545325341</v>
      </c>
      <c r="J1178">
        <v>407.88576477050782</v>
      </c>
      <c r="K1178">
        <v>1.3603992240944991</v>
      </c>
      <c r="L1178">
        <v>0</v>
      </c>
      <c r="M1178" t="str">
        <f>VLOOKUP(fact_daily_prices[[#This Row],[Ticker]], dim_company[], 2, FALSE)</f>
        <v>Microsoft Corp.</v>
      </c>
      <c r="N1178" t="str">
        <f>VLOOKUP(fact_daily_prices[[#This Row],[Ticker]], dim_company[], 3, FALSE)</f>
        <v>Technology</v>
      </c>
    </row>
    <row r="1179" spans="1:14" x14ac:dyDescent="0.3">
      <c r="A1179" s="1">
        <v>45733</v>
      </c>
      <c r="B1179">
        <v>384.9132080078125</v>
      </c>
      <c r="C1179">
        <v>388.88412112316473</v>
      </c>
      <c r="D1179">
        <v>381.81369634666601</v>
      </c>
      <c r="E1179">
        <v>382.93269246410421</v>
      </c>
      <c r="F1179">
        <v>22474300</v>
      </c>
      <c r="G1179" s="2" t="s">
        <v>14</v>
      </c>
      <c r="H1179">
        <v>3.6039774459539764E-2</v>
      </c>
      <c r="I1179">
        <v>84.849804206514179</v>
      </c>
      <c r="J1179">
        <v>407.25286132812499</v>
      </c>
      <c r="K1179">
        <v>1.3605108094029628</v>
      </c>
      <c r="L1179">
        <v>0</v>
      </c>
      <c r="M1179" t="str">
        <f>VLOOKUP(fact_daily_prices[[#This Row],[Ticker]], dim_company[], 2, FALSE)</f>
        <v>Microsoft Corp.</v>
      </c>
      <c r="N1179" t="str">
        <f>VLOOKUP(fact_daily_prices[[#This Row],[Ticker]], dim_company[], 3, FALSE)</f>
        <v>Technology</v>
      </c>
    </row>
    <row r="1180" spans="1:14" x14ac:dyDescent="0.3">
      <c r="A1180" s="1">
        <v>45734</v>
      </c>
      <c r="B1180">
        <v>379.78363037109375</v>
      </c>
      <c r="C1180">
        <v>383.59612864192547</v>
      </c>
      <c r="D1180">
        <v>377.38722360904001</v>
      </c>
      <c r="E1180">
        <v>383.29906341366012</v>
      </c>
      <c r="F1180">
        <v>19486900</v>
      </c>
      <c r="G1180" s="2" t="s">
        <v>14</v>
      </c>
      <c r="H1180">
        <v>-1.3326582538613851</v>
      </c>
      <c r="I1180">
        <v>83.719046287370844</v>
      </c>
      <c r="J1180">
        <v>406.57508117675781</v>
      </c>
      <c r="K1180">
        <v>1.3686140576103241</v>
      </c>
      <c r="L1180">
        <v>0</v>
      </c>
      <c r="M1180" t="str">
        <f>VLOOKUP(fact_daily_prices[[#This Row],[Ticker]], dim_company[], 2, FALSE)</f>
        <v>Microsoft Corp.</v>
      </c>
      <c r="N1180" t="str">
        <f>VLOOKUP(fact_daily_prices[[#This Row],[Ticker]], dim_company[], 3, FALSE)</f>
        <v>Technology</v>
      </c>
    </row>
    <row r="1181" spans="1:14" x14ac:dyDescent="0.3">
      <c r="A1181" s="1">
        <v>45735</v>
      </c>
      <c r="B1181">
        <v>384.04177856445313</v>
      </c>
      <c r="C1181">
        <v>385.88364352507318</v>
      </c>
      <c r="D1181">
        <v>380.25898660112938</v>
      </c>
      <c r="E1181">
        <v>381.77407979205748</v>
      </c>
      <c r="F1181">
        <v>19185500</v>
      </c>
      <c r="G1181" s="2" t="s">
        <v>14</v>
      </c>
      <c r="H1181">
        <v>1.1212037204443748</v>
      </c>
      <c r="I1181">
        <v>84.657707349065376</v>
      </c>
      <c r="J1181">
        <v>405.8881823730469</v>
      </c>
      <c r="K1181">
        <v>1.3866586808763712</v>
      </c>
      <c r="L1181">
        <v>0</v>
      </c>
      <c r="M1181" t="str">
        <f>VLOOKUP(fact_daily_prices[[#This Row],[Ticker]], dim_company[], 2, FALSE)</f>
        <v>Microsoft Corp.</v>
      </c>
      <c r="N1181" t="str">
        <f>VLOOKUP(fact_daily_prices[[#This Row],[Ticker]], dim_company[], 3, FALSE)</f>
        <v>Technology</v>
      </c>
    </row>
    <row r="1182" spans="1:14" x14ac:dyDescent="0.3">
      <c r="A1182" s="1">
        <v>45736</v>
      </c>
      <c r="B1182">
        <v>383.07131958007813</v>
      </c>
      <c r="C1182">
        <v>387.97310772514027</v>
      </c>
      <c r="D1182">
        <v>379.5460042678497</v>
      </c>
      <c r="E1182">
        <v>381.98202996781214</v>
      </c>
      <c r="F1182">
        <v>18470500</v>
      </c>
      <c r="G1182" s="2" t="s">
        <v>14</v>
      </c>
      <c r="H1182">
        <v>-0.2526962009192224</v>
      </c>
      <c r="I1182">
        <v>84.44378053880898</v>
      </c>
      <c r="J1182">
        <v>405.09292968749997</v>
      </c>
      <c r="K1182">
        <v>1.3845087470196258</v>
      </c>
      <c r="L1182">
        <v>0</v>
      </c>
      <c r="M1182" t="str">
        <f>VLOOKUP(fact_daily_prices[[#This Row],[Ticker]], dim_company[], 2, FALSE)</f>
        <v>Microsoft Corp.</v>
      </c>
      <c r="N1182" t="str">
        <f>VLOOKUP(fact_daily_prices[[#This Row],[Ticker]], dim_company[], 3, FALSE)</f>
        <v>Technology</v>
      </c>
    </row>
    <row r="1183" spans="1:14" x14ac:dyDescent="0.3">
      <c r="A1183" s="1">
        <v>45737</v>
      </c>
      <c r="B1183">
        <v>387.44827270507813</v>
      </c>
      <c r="C1183">
        <v>387.92357710345192</v>
      </c>
      <c r="D1183">
        <v>379.07067004050685</v>
      </c>
      <c r="E1183">
        <v>379.48659160935341</v>
      </c>
      <c r="F1183">
        <v>39675900</v>
      </c>
      <c r="G1183" s="2" t="s">
        <v>14</v>
      </c>
      <c r="H1183">
        <v>1.1425948384227835</v>
      </c>
      <c r="I1183">
        <v>85.408630816614476</v>
      </c>
      <c r="J1183">
        <v>404.4935321044922</v>
      </c>
      <c r="K1183">
        <v>1.3986101065831458</v>
      </c>
      <c r="L1183">
        <v>0</v>
      </c>
      <c r="M1183" t="str">
        <f>VLOOKUP(fact_daily_prices[[#This Row],[Ticker]], dim_company[], 2, FALSE)</f>
        <v>Microsoft Corp.</v>
      </c>
      <c r="N1183" t="str">
        <f>VLOOKUP(fact_daily_prices[[#This Row],[Ticker]], dim_company[], 3, FALSE)</f>
        <v>Technology</v>
      </c>
    </row>
    <row r="1184" spans="1:14" x14ac:dyDescent="0.3">
      <c r="A1184" s="1">
        <v>45740</v>
      </c>
      <c r="B1184">
        <v>389.25051879882813</v>
      </c>
      <c r="C1184">
        <v>391.54792412450792</v>
      </c>
      <c r="D1184">
        <v>386.01238670480399</v>
      </c>
      <c r="E1184">
        <v>391.54792412450792</v>
      </c>
      <c r="F1184">
        <v>21004500</v>
      </c>
      <c r="G1184" s="2" t="s">
        <v>14</v>
      </c>
      <c r="H1184">
        <v>0.46515785995562275</v>
      </c>
      <c r="I1184">
        <v>85.805915775938445</v>
      </c>
      <c r="J1184">
        <v>403.88689208984374</v>
      </c>
      <c r="K1184">
        <v>1.3822461181319254</v>
      </c>
      <c r="L1184">
        <v>0</v>
      </c>
      <c r="M1184" t="str">
        <f>VLOOKUP(fact_daily_prices[[#This Row],[Ticker]], dim_company[], 2, FALSE)</f>
        <v>Microsoft Corp.</v>
      </c>
      <c r="N1184" t="str">
        <f>VLOOKUP(fact_daily_prices[[#This Row],[Ticker]], dim_company[], 3, FALSE)</f>
        <v>Technology</v>
      </c>
    </row>
    <row r="1185" spans="1:14" x14ac:dyDescent="0.3">
      <c r="A1185" s="1">
        <v>45741</v>
      </c>
      <c r="B1185">
        <v>391.31027221679688</v>
      </c>
      <c r="C1185">
        <v>392.49856343352792</v>
      </c>
      <c r="D1185">
        <v>388.81483346341918</v>
      </c>
      <c r="E1185">
        <v>390.08236222676072</v>
      </c>
      <c r="F1185">
        <v>15775000</v>
      </c>
      <c r="G1185" s="2" t="s">
        <v>14</v>
      </c>
      <c r="H1185">
        <v>0.52915881122646002</v>
      </c>
      <c r="I1185">
        <v>86.259965339820383</v>
      </c>
      <c r="J1185">
        <v>403.43233154296877</v>
      </c>
      <c r="K1185">
        <v>1.380978457995057</v>
      </c>
      <c r="L1185">
        <v>0</v>
      </c>
      <c r="M1185" t="str">
        <f>VLOOKUP(fact_daily_prices[[#This Row],[Ticker]], dim_company[], 2, FALSE)</f>
        <v>Microsoft Corp.</v>
      </c>
      <c r="N1185" t="str">
        <f>VLOOKUP(fact_daily_prices[[#This Row],[Ticker]], dim_company[], 3, FALSE)</f>
        <v>Technology</v>
      </c>
    </row>
    <row r="1186" spans="1:14" x14ac:dyDescent="0.3">
      <c r="A1186" s="1">
        <v>45742</v>
      </c>
      <c r="B1186">
        <v>386.17083740234375</v>
      </c>
      <c r="C1186">
        <v>391.45881045430576</v>
      </c>
      <c r="D1186">
        <v>384.78448251947782</v>
      </c>
      <c r="E1186">
        <v>391.15183295239513</v>
      </c>
      <c r="F1186">
        <v>16108400</v>
      </c>
      <c r="G1186" s="2" t="s">
        <v>14</v>
      </c>
      <c r="H1186">
        <v>-1.3133912343619047</v>
      </c>
      <c r="I1186">
        <v>85.127034516283558</v>
      </c>
      <c r="J1186">
        <v>402.90976989746093</v>
      </c>
      <c r="K1186">
        <v>1.3979319541060906</v>
      </c>
      <c r="L1186">
        <v>0</v>
      </c>
      <c r="M1186" t="str">
        <f>VLOOKUP(fact_daily_prices[[#This Row],[Ticker]], dim_company[], 2, FALSE)</f>
        <v>Microsoft Corp.</v>
      </c>
      <c r="N1186" t="str">
        <f>VLOOKUP(fact_daily_prices[[#This Row],[Ticker]], dim_company[], 3, FALSE)</f>
        <v>Technology</v>
      </c>
    </row>
    <row r="1187" spans="1:14" x14ac:dyDescent="0.3">
      <c r="A1187" s="1">
        <v>45743</v>
      </c>
      <c r="B1187">
        <v>386.77484130859375</v>
      </c>
      <c r="C1187">
        <v>388.41867272611893</v>
      </c>
      <c r="D1187">
        <v>383.62582905803851</v>
      </c>
      <c r="E1187">
        <v>386.3292434732889</v>
      </c>
      <c r="F1187">
        <v>13766800</v>
      </c>
      <c r="G1187" s="2" t="s">
        <v>14</v>
      </c>
      <c r="H1187">
        <v>0.15640847204128061</v>
      </c>
      <c r="I1187">
        <v>85.260180410264525</v>
      </c>
      <c r="J1187">
        <v>402.42933166503906</v>
      </c>
      <c r="K1187">
        <v>1.3967743198419103</v>
      </c>
      <c r="L1187">
        <v>0</v>
      </c>
      <c r="M1187" t="str">
        <f>VLOOKUP(fact_daily_prices[[#This Row],[Ticker]], dim_company[], 2, FALSE)</f>
        <v>Microsoft Corp.</v>
      </c>
      <c r="N1187" t="str">
        <f>VLOOKUP(fact_daily_prices[[#This Row],[Ticker]], dim_company[], 3, FALSE)</f>
        <v>Technology</v>
      </c>
    </row>
    <row r="1188" spans="1:14" x14ac:dyDescent="0.3">
      <c r="A1188" s="1">
        <v>45744</v>
      </c>
      <c r="B1188">
        <v>375.10964965820313</v>
      </c>
      <c r="C1188">
        <v>385.33902984934599</v>
      </c>
      <c r="D1188">
        <v>373.25787237236511</v>
      </c>
      <c r="E1188">
        <v>384.2992410074857</v>
      </c>
      <c r="F1188">
        <v>21632000</v>
      </c>
      <c r="G1188" s="2" t="s">
        <v>14</v>
      </c>
      <c r="H1188">
        <v>-3.0160161428605892</v>
      </c>
      <c r="I1188">
        <v>82.688719605658889</v>
      </c>
      <c r="J1188">
        <v>401.50528381347658</v>
      </c>
      <c r="K1188">
        <v>1.4881963920876433</v>
      </c>
      <c r="L1188">
        <v>0</v>
      </c>
      <c r="M1188" t="str">
        <f>VLOOKUP(fact_daily_prices[[#This Row],[Ticker]], dim_company[], 2, FALSE)</f>
        <v>Microsoft Corp.</v>
      </c>
      <c r="N1188" t="str">
        <f>VLOOKUP(fact_daily_prices[[#This Row],[Ticker]], dim_company[], 3, FALSE)</f>
        <v>Technology</v>
      </c>
    </row>
    <row r="1189" spans="1:14" x14ac:dyDescent="0.3">
      <c r="A1189" s="1">
        <v>45747</v>
      </c>
      <c r="B1189">
        <v>371.73287963867188</v>
      </c>
      <c r="C1189">
        <v>373.39650544322319</v>
      </c>
      <c r="D1189">
        <v>363.66225461844522</v>
      </c>
      <c r="E1189">
        <v>368.91063894364481</v>
      </c>
      <c r="F1189">
        <v>35184700</v>
      </c>
      <c r="G1189" s="2" t="s">
        <v>14</v>
      </c>
      <c r="H1189">
        <v>-0.90020878498010548</v>
      </c>
      <c r="I1189">
        <v>81.944348487581181</v>
      </c>
      <c r="J1189">
        <v>400.54789611816409</v>
      </c>
      <c r="K1189">
        <v>1.4922198723951674</v>
      </c>
      <c r="L1189">
        <v>0</v>
      </c>
      <c r="M1189" t="str">
        <f>VLOOKUP(fact_daily_prices[[#This Row],[Ticker]], dim_company[], 2, FALSE)</f>
        <v>Microsoft Corp.</v>
      </c>
      <c r="N1189" t="str">
        <f>VLOOKUP(fact_daily_prices[[#This Row],[Ticker]], dim_company[], 3, FALSE)</f>
        <v>Technology</v>
      </c>
    </row>
    <row r="1190" spans="1:14" x14ac:dyDescent="0.3">
      <c r="A1190" s="1">
        <v>45748</v>
      </c>
      <c r="B1190">
        <v>378.46661376953131</v>
      </c>
      <c r="C1190">
        <v>379.12018751420902</v>
      </c>
      <c r="D1190">
        <v>369.59391274714585</v>
      </c>
      <c r="E1190">
        <v>371.00006183577841</v>
      </c>
      <c r="F1190">
        <v>19689500</v>
      </c>
      <c r="G1190" s="2" t="s">
        <v>14</v>
      </c>
      <c r="H1190">
        <v>1.8114443192124074</v>
      </c>
      <c r="I1190">
        <v>83.428724733175088</v>
      </c>
      <c r="J1190">
        <v>399.63722595214841</v>
      </c>
      <c r="K1190">
        <v>1.5367895576460713</v>
      </c>
      <c r="L1190">
        <v>0</v>
      </c>
      <c r="M1190" t="str">
        <f>VLOOKUP(fact_daily_prices[[#This Row],[Ticker]], dim_company[], 2, FALSE)</f>
        <v>Microsoft Corp.</v>
      </c>
      <c r="N1190" t="str">
        <f>VLOOKUP(fact_daily_prices[[#This Row],[Ticker]], dim_company[], 3, FALSE)</f>
        <v>Technology</v>
      </c>
    </row>
    <row r="1191" spans="1:14" x14ac:dyDescent="0.3">
      <c r="A1191" s="1">
        <v>45749</v>
      </c>
      <c r="B1191">
        <v>378.4171142578125</v>
      </c>
      <c r="C1191">
        <v>381.32844426453141</v>
      </c>
      <c r="D1191">
        <v>372.95087209109226</v>
      </c>
      <c r="E1191">
        <v>374.28772610883442</v>
      </c>
      <c r="F1191">
        <v>16092600</v>
      </c>
      <c r="G1191" s="2" t="s">
        <v>14</v>
      </c>
      <c r="H1191">
        <v>-1.3078963881596462E-2</v>
      </c>
      <c r="I1191">
        <v>83.417813120400368</v>
      </c>
      <c r="J1191">
        <v>398.73604187011716</v>
      </c>
      <c r="K1191">
        <v>1.512360658182506</v>
      </c>
      <c r="L1191">
        <v>0</v>
      </c>
      <c r="M1191" t="str">
        <f>VLOOKUP(fact_daily_prices[[#This Row],[Ticker]], dim_company[], 2, FALSE)</f>
        <v>Microsoft Corp.</v>
      </c>
      <c r="N1191" t="str">
        <f>VLOOKUP(fact_daily_prices[[#This Row],[Ticker]], dim_company[], 3, FALSE)</f>
        <v>Technology</v>
      </c>
    </row>
    <row r="1192" spans="1:14" x14ac:dyDescent="0.3">
      <c r="A1192" s="1">
        <v>45750</v>
      </c>
      <c r="B1192">
        <v>369.47506713867188</v>
      </c>
      <c r="C1192">
        <v>373.80251903809335</v>
      </c>
      <c r="D1192">
        <v>365.75171842206453</v>
      </c>
      <c r="E1192">
        <v>371.13872318254886</v>
      </c>
      <c r="F1192">
        <v>30198000</v>
      </c>
      <c r="G1192" s="2" t="s">
        <v>14</v>
      </c>
      <c r="H1192">
        <v>-2.3630134003528425</v>
      </c>
      <c r="I1192">
        <v>81.446639018084014</v>
      </c>
      <c r="J1192">
        <v>397.30616577148436</v>
      </c>
      <c r="K1192">
        <v>1.5523048641070383</v>
      </c>
      <c r="L1192">
        <v>0</v>
      </c>
      <c r="M1192" t="str">
        <f>VLOOKUP(fact_daily_prices[[#This Row],[Ticker]], dim_company[], 2, FALSE)</f>
        <v>Microsoft Corp.</v>
      </c>
      <c r="N1192" t="str">
        <f>VLOOKUP(fact_daily_prices[[#This Row],[Ticker]], dim_company[], 3, FALSE)</f>
        <v>Technology</v>
      </c>
    </row>
    <row r="1193" spans="1:14" x14ac:dyDescent="0.3">
      <c r="A1193" s="1">
        <v>45751</v>
      </c>
      <c r="B1193">
        <v>356.3343505859375</v>
      </c>
      <c r="C1193">
        <v>370.94065262193249</v>
      </c>
      <c r="D1193">
        <v>355.97787229621173</v>
      </c>
      <c r="E1193">
        <v>360.58256486011572</v>
      </c>
      <c r="F1193">
        <v>49209900</v>
      </c>
      <c r="G1193" s="2" t="s">
        <v>14</v>
      </c>
      <c r="H1193">
        <v>-3.5565908829789494</v>
      </c>
      <c r="I1193">
        <v>78.549915280274064</v>
      </c>
      <c r="J1193">
        <v>395.6033966064453</v>
      </c>
      <c r="K1193">
        <v>1.6363719802773915</v>
      </c>
      <c r="L1193">
        <v>1</v>
      </c>
      <c r="M1193" t="str">
        <f>VLOOKUP(fact_daily_prices[[#This Row],[Ticker]], dim_company[], 2, FALSE)</f>
        <v>Microsoft Corp.</v>
      </c>
      <c r="N1193" t="str">
        <f>VLOOKUP(fact_daily_prices[[#This Row],[Ticker]], dim_company[], 3, FALSE)</f>
        <v>Technology</v>
      </c>
    </row>
    <row r="1194" spans="1:14" x14ac:dyDescent="0.3">
      <c r="A1194" s="1">
        <v>45754</v>
      </c>
      <c r="B1194">
        <v>354.3736572265625</v>
      </c>
      <c r="C1194">
        <v>367.385659790646</v>
      </c>
      <c r="D1194">
        <v>341.43101018463227</v>
      </c>
      <c r="E1194">
        <v>347.46167682268771</v>
      </c>
      <c r="F1194">
        <v>50425000</v>
      </c>
      <c r="G1194" s="2" t="s">
        <v>14</v>
      </c>
      <c r="H1194">
        <v>-0.55023978354905578</v>
      </c>
      <c r="I1194">
        <v>78.117702396457915</v>
      </c>
      <c r="J1194">
        <v>393.91379089355468</v>
      </c>
      <c r="K1194">
        <v>1.6323902541840898</v>
      </c>
      <c r="L1194">
        <v>1</v>
      </c>
      <c r="M1194" t="str">
        <f>VLOOKUP(fact_daily_prices[[#This Row],[Ticker]], dim_company[], 2, FALSE)</f>
        <v>Microsoft Corp.</v>
      </c>
      <c r="N1194" t="str">
        <f>VLOOKUP(fact_daily_prices[[#This Row],[Ticker]], dim_company[], 3, FALSE)</f>
        <v>Technology</v>
      </c>
    </row>
    <row r="1195" spans="1:14" x14ac:dyDescent="0.3">
      <c r="A1195" s="1">
        <v>45755</v>
      </c>
      <c r="B1195">
        <v>354.3736572265625</v>
      </c>
      <c r="C1195">
        <v>370.00979012785649</v>
      </c>
      <c r="D1195">
        <v>346.83776558065426</v>
      </c>
      <c r="E1195">
        <v>364.67231674466609</v>
      </c>
      <c r="F1195">
        <v>35868900</v>
      </c>
      <c r="G1195" s="2" t="s">
        <v>14</v>
      </c>
      <c r="H1195">
        <v>0</v>
      </c>
      <c r="I1195">
        <v>78.117702396457915</v>
      </c>
      <c r="J1195">
        <v>392.41195739746092</v>
      </c>
      <c r="K1195">
        <v>1.6199156510803832</v>
      </c>
      <c r="L1195">
        <v>0</v>
      </c>
      <c r="M1195" t="str">
        <f>VLOOKUP(fact_daily_prices[[#This Row],[Ticker]], dim_company[], 2, FALSE)</f>
        <v>Microsoft Corp.</v>
      </c>
      <c r="N1195" t="str">
        <f>VLOOKUP(fact_daily_prices[[#This Row],[Ticker]], dim_company[], 3, FALSE)</f>
        <v>Technology</v>
      </c>
    </row>
    <row r="1196" spans="1:14" x14ac:dyDescent="0.3">
      <c r="A1196" s="1">
        <v>45756</v>
      </c>
      <c r="B1196">
        <v>386.68572998046881</v>
      </c>
      <c r="C1196">
        <v>389.39905670107095</v>
      </c>
      <c r="D1196">
        <v>349.66000929830324</v>
      </c>
      <c r="E1196">
        <v>350.09572511561839</v>
      </c>
      <c r="F1196">
        <v>50199700</v>
      </c>
      <c r="G1196" s="2" t="s">
        <v>14</v>
      </c>
      <c r="H1196">
        <v>9.1180797711631669</v>
      </c>
      <c r="I1196">
        <v>85.240536816366784</v>
      </c>
      <c r="J1196">
        <v>391.30652954101561</v>
      </c>
      <c r="K1196">
        <v>2.3665715042557967</v>
      </c>
      <c r="L1196">
        <v>0</v>
      </c>
      <c r="M1196" t="str">
        <f>VLOOKUP(fact_daily_prices[[#This Row],[Ticker]], dim_company[], 2, FALSE)</f>
        <v>Microsoft Corp.</v>
      </c>
      <c r="N1196" t="str">
        <f>VLOOKUP(fact_daily_prices[[#This Row],[Ticker]], dim_company[], 3, FALSE)</f>
        <v>Technology</v>
      </c>
    </row>
    <row r="1197" spans="1:14" x14ac:dyDescent="0.3">
      <c r="A1197" s="1">
        <v>45757</v>
      </c>
      <c r="B1197">
        <v>377.63482666015625</v>
      </c>
      <c r="C1197">
        <v>380.15997201946135</v>
      </c>
      <c r="D1197">
        <v>364.21681503291546</v>
      </c>
      <c r="E1197">
        <v>378.33790125246622</v>
      </c>
      <c r="F1197">
        <v>38024400</v>
      </c>
      <c r="G1197" s="2" t="s">
        <v>14</v>
      </c>
      <c r="H1197">
        <v>-2.3406354614559199</v>
      </c>
      <c r="I1197">
        <v>83.245366584107515</v>
      </c>
      <c r="J1197">
        <v>390.11634277343751</v>
      </c>
      <c r="K1197">
        <v>2.3823199910373019</v>
      </c>
      <c r="L1197">
        <v>0</v>
      </c>
      <c r="M1197" t="str">
        <f>VLOOKUP(fact_daily_prices[[#This Row],[Ticker]], dim_company[], 2, FALSE)</f>
        <v>Microsoft Corp.</v>
      </c>
      <c r="N1197" t="str">
        <f>VLOOKUP(fact_daily_prices[[#This Row],[Ticker]], dim_company[], 3, FALSE)</f>
        <v>Technology</v>
      </c>
    </row>
    <row r="1198" spans="1:14" x14ac:dyDescent="0.3">
      <c r="A1198" s="1">
        <v>45758</v>
      </c>
      <c r="B1198">
        <v>384.6656494140625</v>
      </c>
      <c r="C1198">
        <v>386.25003769690608</v>
      </c>
      <c r="D1198">
        <v>375.19878738880561</v>
      </c>
      <c r="E1198">
        <v>376.9317385159016</v>
      </c>
      <c r="F1198">
        <v>23839200</v>
      </c>
      <c r="G1198" s="2" t="s">
        <v>14</v>
      </c>
      <c r="H1198">
        <v>1.8618046476506445</v>
      </c>
      <c r="I1198">
        <v>84.795232688124244</v>
      </c>
      <c r="J1198">
        <v>389.60716125488284</v>
      </c>
      <c r="K1198">
        <v>2.3986109992464066</v>
      </c>
      <c r="L1198">
        <v>0</v>
      </c>
      <c r="M1198" t="str">
        <f>VLOOKUP(fact_daily_prices[[#This Row],[Ticker]], dim_company[], 2, FALSE)</f>
        <v>Microsoft Corp.</v>
      </c>
      <c r="N1198" t="str">
        <f>VLOOKUP(fact_daily_prices[[#This Row],[Ticker]], dim_company[], 3, FALSE)</f>
        <v>Technology</v>
      </c>
    </row>
    <row r="1199" spans="1:14" x14ac:dyDescent="0.3">
      <c r="A1199" s="1">
        <v>45761</v>
      </c>
      <c r="B1199">
        <v>384.0318603515625</v>
      </c>
      <c r="C1199">
        <v>390.80521981876171</v>
      </c>
      <c r="D1199">
        <v>380.46692636349218</v>
      </c>
      <c r="E1199">
        <v>389.38915847164185</v>
      </c>
      <c r="F1199">
        <v>19251200</v>
      </c>
      <c r="G1199" s="2" t="s">
        <v>14</v>
      </c>
      <c r="H1199">
        <v>-0.16476362354305163</v>
      </c>
      <c r="I1199">
        <v>84.655520990155537</v>
      </c>
      <c r="J1199">
        <v>389.08392028808595</v>
      </c>
      <c r="K1199">
        <v>2.3659844226640043</v>
      </c>
      <c r="L1199">
        <v>0</v>
      </c>
      <c r="M1199" t="str">
        <f>VLOOKUP(fact_daily_prices[[#This Row],[Ticker]], dim_company[], 2, FALSE)</f>
        <v>Microsoft Corp.</v>
      </c>
      <c r="N1199" t="str">
        <f>VLOOKUP(fact_daily_prices[[#This Row],[Ticker]], dim_company[], 3, FALSE)</f>
        <v>Technology</v>
      </c>
    </row>
    <row r="1200" spans="1:14" x14ac:dyDescent="0.3">
      <c r="A1200" s="1">
        <v>45762</v>
      </c>
      <c r="B1200">
        <v>381.97213745117188</v>
      </c>
      <c r="C1200">
        <v>388.07212889209291</v>
      </c>
      <c r="D1200">
        <v>380.41742551182239</v>
      </c>
      <c r="E1200">
        <v>384.72505282097779</v>
      </c>
      <c r="F1200">
        <v>17199900</v>
      </c>
      <c r="G1200" s="2" t="s">
        <v>14</v>
      </c>
      <c r="H1200">
        <v>-0.53634167188759685</v>
      </c>
      <c r="I1200">
        <v>84.201478153531767</v>
      </c>
      <c r="J1200">
        <v>388.60131408691404</v>
      </c>
      <c r="K1200">
        <v>2.3681642340461275</v>
      </c>
      <c r="L1200">
        <v>0</v>
      </c>
      <c r="M1200" t="str">
        <f>VLOOKUP(fact_daily_prices[[#This Row],[Ticker]], dim_company[], 2, FALSE)</f>
        <v>Microsoft Corp.</v>
      </c>
      <c r="N1200" t="str">
        <f>VLOOKUP(fact_daily_prices[[#This Row],[Ticker]], dim_company[], 3, FALSE)</f>
        <v>Technology</v>
      </c>
    </row>
    <row r="1201" spans="1:14" x14ac:dyDescent="0.3">
      <c r="A1201" s="1">
        <v>45763</v>
      </c>
      <c r="B1201">
        <v>367.98965454101563</v>
      </c>
      <c r="C1201">
        <v>377.89223167959489</v>
      </c>
      <c r="D1201">
        <v>364.41483869971682</v>
      </c>
      <c r="E1201">
        <v>376.96141723121423</v>
      </c>
      <c r="F1201">
        <v>21967800</v>
      </c>
      <c r="G1201" s="2" t="s">
        <v>14</v>
      </c>
      <c r="H1201">
        <v>-3.6606028396360846</v>
      </c>
      <c r="I1201">
        <v>81.119196453228028</v>
      </c>
      <c r="J1201">
        <v>387.81039855957033</v>
      </c>
      <c r="K1201">
        <v>2.3802059545761414</v>
      </c>
      <c r="L1201">
        <v>0</v>
      </c>
      <c r="M1201" t="str">
        <f>VLOOKUP(fact_daily_prices[[#This Row],[Ticker]], dim_company[], 2, FALSE)</f>
        <v>Microsoft Corp.</v>
      </c>
      <c r="N1201" t="str">
        <f>VLOOKUP(fact_daily_prices[[#This Row],[Ticker]], dim_company[], 3, FALSE)</f>
        <v>Technology</v>
      </c>
    </row>
    <row r="1202" spans="1:14" x14ac:dyDescent="0.3">
      <c r="A1202" s="1">
        <v>45764</v>
      </c>
      <c r="B1202">
        <v>364.197021484375</v>
      </c>
      <c r="C1202">
        <v>370.6733161182554</v>
      </c>
      <c r="D1202">
        <v>363.31570773511407</v>
      </c>
      <c r="E1202">
        <v>370.10886190542772</v>
      </c>
      <c r="F1202">
        <v>21120200</v>
      </c>
      <c r="G1202" s="2" t="s">
        <v>14</v>
      </c>
      <c r="H1202">
        <v>-1.0306357827833734</v>
      </c>
      <c r="I1202">
        <v>80.283152987874715</v>
      </c>
      <c r="J1202">
        <v>386.92544555664063</v>
      </c>
      <c r="K1202">
        <v>2.3802150368143717</v>
      </c>
      <c r="L1202">
        <v>0</v>
      </c>
      <c r="M1202" t="str">
        <f>VLOOKUP(fact_daily_prices[[#This Row],[Ticker]], dim_company[], 2, FALSE)</f>
        <v>Microsoft Corp.</v>
      </c>
      <c r="N1202" t="str">
        <f>VLOOKUP(fact_daily_prices[[#This Row],[Ticker]], dim_company[], 3, FALSE)</f>
        <v>Technology</v>
      </c>
    </row>
    <row r="1203" spans="1:14" x14ac:dyDescent="0.3">
      <c r="A1203" s="1">
        <v>45768</v>
      </c>
      <c r="B1203">
        <v>355.621337890625</v>
      </c>
      <c r="C1203">
        <v>360.92913483987797</v>
      </c>
      <c r="D1203">
        <v>352.20496698178403</v>
      </c>
      <c r="E1203">
        <v>359.28530344299344</v>
      </c>
      <c r="F1203">
        <v>20807300</v>
      </c>
      <c r="G1203" s="2" t="s">
        <v>14</v>
      </c>
      <c r="H1203">
        <v>-2.3546825173906383</v>
      </c>
      <c r="I1203">
        <v>78.39273962005926</v>
      </c>
      <c r="J1203">
        <v>385.81897216796875</v>
      </c>
      <c r="K1203">
        <v>2.4090253002145108</v>
      </c>
      <c r="L1203">
        <v>0</v>
      </c>
      <c r="M1203" t="str">
        <f>VLOOKUP(fact_daily_prices[[#This Row],[Ticker]], dim_company[], 2, FALSE)</f>
        <v>Microsoft Corp.</v>
      </c>
      <c r="N1203" t="str">
        <f>VLOOKUP(fact_daily_prices[[#This Row],[Ticker]], dim_company[], 3, FALSE)</f>
        <v>Technology</v>
      </c>
    </row>
    <row r="1204" spans="1:14" x14ac:dyDescent="0.3">
      <c r="A1204" s="1">
        <v>45769</v>
      </c>
      <c r="B1204">
        <v>363.246337890625</v>
      </c>
      <c r="C1204">
        <v>364.18706457637529</v>
      </c>
      <c r="D1204">
        <v>356.35412251871082</v>
      </c>
      <c r="E1204">
        <v>359.83984897446521</v>
      </c>
      <c r="F1204">
        <v>19485000</v>
      </c>
      <c r="G1204" s="2" t="s">
        <v>14</v>
      </c>
      <c r="H1204">
        <v>2.1441345576246551</v>
      </c>
      <c r="I1204">
        <v>80.073585440921661</v>
      </c>
      <c r="J1204">
        <v>384.98497619628904</v>
      </c>
      <c r="K1204">
        <v>2.376139925975949</v>
      </c>
      <c r="L1204">
        <v>0</v>
      </c>
      <c r="M1204" t="str">
        <f>VLOOKUP(fact_daily_prices[[#This Row],[Ticker]], dim_company[], 2, FALSE)</f>
        <v>Microsoft Corp.</v>
      </c>
      <c r="N1204" t="str">
        <f>VLOOKUP(fact_daily_prices[[#This Row],[Ticker]], dim_company[], 3, FALSE)</f>
        <v>Technology</v>
      </c>
    </row>
    <row r="1205" spans="1:14" x14ac:dyDescent="0.3">
      <c r="A1205" s="1">
        <v>45770</v>
      </c>
      <c r="B1205">
        <v>370.74261474609375</v>
      </c>
      <c r="C1205">
        <v>376.68416126561135</v>
      </c>
      <c r="D1205">
        <v>369.38593623911191</v>
      </c>
      <c r="E1205">
        <v>372.39632827067589</v>
      </c>
      <c r="F1205">
        <v>20545500</v>
      </c>
      <c r="G1205" s="2" t="s">
        <v>14</v>
      </c>
      <c r="H1205">
        <v>2.0636895884483586</v>
      </c>
      <c r="I1205">
        <v>81.72605568676326</v>
      </c>
      <c r="J1205">
        <v>384.25208496093751</v>
      </c>
      <c r="K1205">
        <v>2.4084887470101979</v>
      </c>
      <c r="L1205">
        <v>0</v>
      </c>
      <c r="M1205" t="str">
        <f>VLOOKUP(fact_daily_prices[[#This Row],[Ticker]], dim_company[], 2, FALSE)</f>
        <v>Microsoft Corp.</v>
      </c>
      <c r="N1205" t="str">
        <f>VLOOKUP(fact_daily_prices[[#This Row],[Ticker]], dim_company[], 3, FALSE)</f>
        <v>Technology</v>
      </c>
    </row>
    <row r="1206" spans="1:14" x14ac:dyDescent="0.3">
      <c r="A1206" s="1">
        <v>45771</v>
      </c>
      <c r="B1206">
        <v>383.52682495117188</v>
      </c>
      <c r="C1206">
        <v>384.66564557095847</v>
      </c>
      <c r="D1206">
        <v>371.53481777720657</v>
      </c>
      <c r="E1206">
        <v>372.03985891397213</v>
      </c>
      <c r="F1206">
        <v>22232300</v>
      </c>
      <c r="G1206" s="2" t="s">
        <v>14</v>
      </c>
      <c r="H1206">
        <v>3.4482710367227387</v>
      </c>
      <c r="I1206">
        <v>84.544191594465815</v>
      </c>
      <c r="J1206">
        <v>383.79029479980471</v>
      </c>
      <c r="K1206">
        <v>2.4876391657406463</v>
      </c>
      <c r="L1206">
        <v>0</v>
      </c>
      <c r="M1206" t="str">
        <f>VLOOKUP(fact_daily_prices[[#This Row],[Ticker]], dim_company[], 2, FALSE)</f>
        <v>Microsoft Corp.</v>
      </c>
      <c r="N1206" t="str">
        <f>VLOOKUP(fact_daily_prices[[#This Row],[Ticker]], dim_company[], 3, FALSE)</f>
        <v>Technology</v>
      </c>
    </row>
    <row r="1207" spans="1:14" x14ac:dyDescent="0.3">
      <c r="A1207" s="1">
        <v>45772</v>
      </c>
      <c r="B1207">
        <v>388.03250122070313</v>
      </c>
      <c r="C1207">
        <v>388.33947870229002</v>
      </c>
      <c r="D1207">
        <v>380.85313261018712</v>
      </c>
      <c r="E1207">
        <v>383.22974514064919</v>
      </c>
      <c r="F1207">
        <v>18973200</v>
      </c>
      <c r="G1207" s="2" t="s">
        <v>14</v>
      </c>
      <c r="H1207">
        <v>1.1748008161110768</v>
      </c>
      <c r="I1207">
        <v>85.5374174472921</v>
      </c>
      <c r="J1207">
        <v>383.46605590820315</v>
      </c>
      <c r="K1207">
        <v>2.4842865178395694</v>
      </c>
      <c r="L1207">
        <v>0</v>
      </c>
      <c r="M1207" t="str">
        <f>VLOOKUP(fact_daily_prices[[#This Row],[Ticker]], dim_company[], 2, FALSE)</f>
        <v>Microsoft Corp.</v>
      </c>
      <c r="N1207" t="str">
        <f>VLOOKUP(fact_daily_prices[[#This Row],[Ticker]], dim_company[], 3, FALSE)</f>
        <v>Technology</v>
      </c>
    </row>
    <row r="1208" spans="1:14" x14ac:dyDescent="0.3">
      <c r="A1208" s="1">
        <v>45775</v>
      </c>
      <c r="B1208">
        <v>387.3492431640625</v>
      </c>
      <c r="C1208">
        <v>388.91383718504312</v>
      </c>
      <c r="D1208">
        <v>382.87328880481249</v>
      </c>
      <c r="E1208">
        <v>388.14143731286561</v>
      </c>
      <c r="F1208">
        <v>16579400</v>
      </c>
      <c r="G1208" s="2" t="s">
        <v>14</v>
      </c>
      <c r="H1208">
        <v>-0.1760826875303434</v>
      </c>
      <c r="I1208">
        <v>85.386800863806855</v>
      </c>
      <c r="J1208">
        <v>383.09850280761719</v>
      </c>
      <c r="K1208">
        <v>2.4414617976922672</v>
      </c>
      <c r="L1208">
        <v>0</v>
      </c>
      <c r="M1208" t="str">
        <f>VLOOKUP(fact_daily_prices[[#This Row],[Ticker]], dim_company[], 2, FALSE)</f>
        <v>Microsoft Corp.</v>
      </c>
      <c r="N1208" t="str">
        <f>VLOOKUP(fact_daily_prices[[#This Row],[Ticker]], dim_company[], 3, FALSE)</f>
        <v>Technology</v>
      </c>
    </row>
    <row r="1209" spans="1:14" x14ac:dyDescent="0.3">
      <c r="A1209" s="1">
        <v>45776</v>
      </c>
      <c r="B1209">
        <v>390.201171875</v>
      </c>
      <c r="C1209">
        <v>391.25084267131149</v>
      </c>
      <c r="D1209">
        <v>386.57682488725231</v>
      </c>
      <c r="E1209">
        <v>387.48784509297593</v>
      </c>
      <c r="F1209">
        <v>14974000</v>
      </c>
      <c r="G1209" s="2" t="s">
        <v>14</v>
      </c>
      <c r="H1209">
        <v>0.73626804783237798</v>
      </c>
      <c r="I1209">
        <v>86.015476595633316</v>
      </c>
      <c r="J1209">
        <v>382.82969421386719</v>
      </c>
      <c r="K1209">
        <v>2.4446651278590243</v>
      </c>
      <c r="L1209">
        <v>0</v>
      </c>
      <c r="M1209" t="str">
        <f>VLOOKUP(fact_daily_prices[[#This Row],[Ticker]], dim_company[], 2, FALSE)</f>
        <v>Microsoft Corp.</v>
      </c>
      <c r="N1209" t="str">
        <f>VLOOKUP(fact_daily_prices[[#This Row],[Ticker]], dim_company[], 3, FALSE)</f>
        <v>Technology</v>
      </c>
    </row>
    <row r="1210" spans="1:14" x14ac:dyDescent="0.3">
      <c r="A1210" s="1">
        <v>45777</v>
      </c>
      <c r="B1210">
        <v>391.4093017578125</v>
      </c>
      <c r="C1210">
        <v>392.79565661271693</v>
      </c>
      <c r="D1210">
        <v>380.69470527157023</v>
      </c>
      <c r="E1210">
        <v>386.4976013857663</v>
      </c>
      <c r="F1210">
        <v>36461100</v>
      </c>
      <c r="G1210" s="2" t="s">
        <v>14</v>
      </c>
      <c r="H1210">
        <v>0.30961718464534993</v>
      </c>
      <c r="I1210">
        <v>86.28179529262799</v>
      </c>
      <c r="J1210">
        <v>382.56113098144533</v>
      </c>
      <c r="K1210">
        <v>2.4304328386544789</v>
      </c>
      <c r="L1210">
        <v>0</v>
      </c>
      <c r="M1210" t="str">
        <f>VLOOKUP(fact_daily_prices[[#This Row],[Ticker]], dim_company[], 2, FALSE)</f>
        <v>Microsoft Corp.</v>
      </c>
      <c r="N1210" t="str">
        <f>VLOOKUP(fact_daily_prices[[#This Row],[Ticker]], dim_company[], 3, FALSE)</f>
        <v>Technology</v>
      </c>
    </row>
    <row r="1211" spans="1:14" x14ac:dyDescent="0.3">
      <c r="A1211" s="1">
        <v>45778</v>
      </c>
      <c r="B1211">
        <v>421.25564575195313</v>
      </c>
      <c r="C1211">
        <v>432.7327295827746</v>
      </c>
      <c r="D1211">
        <v>420.76051687113977</v>
      </c>
      <c r="E1211">
        <v>426.91000910916648</v>
      </c>
      <c r="F1211">
        <v>58938100</v>
      </c>
      <c r="G1211" s="2" t="s">
        <v>14</v>
      </c>
      <c r="H1211">
        <v>7.6253537818598671</v>
      </c>
      <c r="I1211">
        <v>92.861087433030988</v>
      </c>
      <c r="J1211">
        <v>382.78809814453126</v>
      </c>
      <c r="K1211">
        <v>2.7861165480964458</v>
      </c>
      <c r="L1211">
        <v>1</v>
      </c>
      <c r="M1211" t="str">
        <f>VLOOKUP(fact_daily_prices[[#This Row],[Ticker]], dim_company[], 2, FALSE)</f>
        <v>Microsoft Corp.</v>
      </c>
      <c r="N1211" t="str">
        <f>VLOOKUP(fact_daily_prices[[#This Row],[Ticker]], dim_company[], 3, FALSE)</f>
        <v>Technology</v>
      </c>
    </row>
    <row r="1212" spans="1:14" x14ac:dyDescent="0.3">
      <c r="A1212" s="1">
        <v>45779</v>
      </c>
      <c r="B1212">
        <v>431.03939819335938</v>
      </c>
      <c r="C1212">
        <v>435.1588741169636</v>
      </c>
      <c r="D1212">
        <v>425.80092616148232</v>
      </c>
      <c r="E1212">
        <v>427.53387724803298</v>
      </c>
      <c r="F1212">
        <v>30757400</v>
      </c>
      <c r="G1212" s="2" t="s">
        <v>14</v>
      </c>
      <c r="H1212">
        <v>2.3225213810350143</v>
      </c>
      <c r="I1212">
        <v>95.017806043324754</v>
      </c>
      <c r="J1212">
        <v>383.16736694335935</v>
      </c>
      <c r="K1212">
        <v>2.8066538506724106</v>
      </c>
      <c r="L1212">
        <v>0</v>
      </c>
      <c r="M1212" t="str">
        <f>VLOOKUP(fact_daily_prices[[#This Row],[Ticker]], dim_company[], 2, FALSE)</f>
        <v>Microsoft Corp.</v>
      </c>
      <c r="N1212" t="str">
        <f>VLOOKUP(fact_daily_prices[[#This Row],[Ticker]], dim_company[], 3, FALSE)</f>
        <v>Technology</v>
      </c>
    </row>
    <row r="1213" spans="1:14" x14ac:dyDescent="0.3">
      <c r="A1213" s="1">
        <v>45782</v>
      </c>
      <c r="B1213">
        <v>431.92074584960938</v>
      </c>
      <c r="C1213">
        <v>435.21829093451572</v>
      </c>
      <c r="D1213">
        <v>427.90027149134391</v>
      </c>
      <c r="E1213">
        <v>428.65287706879298</v>
      </c>
      <c r="F1213">
        <v>20136100</v>
      </c>
      <c r="G1213" s="2" t="s">
        <v>14</v>
      </c>
      <c r="H1213">
        <v>0.2044703245095647</v>
      </c>
      <c r="I1213">
        <v>95.212089259683395</v>
      </c>
      <c r="J1213">
        <v>383.72111938476564</v>
      </c>
      <c r="K1213">
        <v>2.8036778235293638</v>
      </c>
      <c r="L1213">
        <v>0</v>
      </c>
      <c r="M1213" t="str">
        <f>VLOOKUP(fact_daily_prices[[#This Row],[Ticker]], dim_company[], 2, FALSE)</f>
        <v>Microsoft Corp.</v>
      </c>
      <c r="N1213" t="str">
        <f>VLOOKUP(fact_daily_prices[[#This Row],[Ticker]], dim_company[], 3, FALSE)</f>
        <v>Technology</v>
      </c>
    </row>
    <row r="1214" spans="1:14" x14ac:dyDescent="0.3">
      <c r="A1214" s="1">
        <v>45783</v>
      </c>
      <c r="B1214">
        <v>429.08859252929688</v>
      </c>
      <c r="C1214">
        <v>433.46554517602334</v>
      </c>
      <c r="D1214">
        <v>426.9694566129341</v>
      </c>
      <c r="E1214">
        <v>427.98942090871662</v>
      </c>
      <c r="F1214">
        <v>15104200</v>
      </c>
      <c r="G1214" s="2" t="s">
        <v>14</v>
      </c>
      <c r="H1214">
        <v>-0.65571134230690831</v>
      </c>
      <c r="I1214">
        <v>94.587772791160276</v>
      </c>
      <c r="J1214">
        <v>384.30160888671872</v>
      </c>
      <c r="K1214">
        <v>2.8102380075055162</v>
      </c>
      <c r="L1214">
        <v>0</v>
      </c>
      <c r="M1214" t="str">
        <f>VLOOKUP(fact_daily_prices[[#This Row],[Ticker]], dim_company[], 2, FALSE)</f>
        <v>Microsoft Corp.</v>
      </c>
      <c r="N1214" t="str">
        <f>VLOOKUP(fact_daily_prices[[#This Row],[Ticker]], dim_company[], 3, FALSE)</f>
        <v>Technology</v>
      </c>
    </row>
    <row r="1215" spans="1:14" x14ac:dyDescent="0.3">
      <c r="A1215" s="1">
        <v>45784</v>
      </c>
      <c r="B1215">
        <v>429.12820434570313</v>
      </c>
      <c r="C1215">
        <v>433.85172295965413</v>
      </c>
      <c r="D1215">
        <v>426.91000642382949</v>
      </c>
      <c r="E1215">
        <v>429.61342097536215</v>
      </c>
      <c r="F1215">
        <v>23295300</v>
      </c>
      <c r="G1215" s="2" t="s">
        <v>14</v>
      </c>
      <c r="H1215">
        <v>9.2316172221496018E-3</v>
      </c>
      <c r="I1215">
        <v>94.596504772283325</v>
      </c>
      <c r="J1215">
        <v>385.00370178222659</v>
      </c>
      <c r="K1215">
        <v>2.8107777239057414</v>
      </c>
      <c r="L1215">
        <v>0</v>
      </c>
      <c r="M1215" t="str">
        <f>VLOOKUP(fact_daily_prices[[#This Row],[Ticker]], dim_company[], 2, FALSE)</f>
        <v>Microsoft Corp.</v>
      </c>
      <c r="N1215" t="str">
        <f>VLOOKUP(fact_daily_prices[[#This Row],[Ticker]], dim_company[], 3, FALSE)</f>
        <v>Technology</v>
      </c>
    </row>
    <row r="1216" spans="1:14" x14ac:dyDescent="0.3">
      <c r="A1216" s="1">
        <v>45785</v>
      </c>
      <c r="B1216">
        <v>433.90127563476563</v>
      </c>
      <c r="C1216">
        <v>439.34769356127401</v>
      </c>
      <c r="D1216">
        <v>431.41571887418178</v>
      </c>
      <c r="E1216">
        <v>433.66359321182529</v>
      </c>
      <c r="F1216">
        <v>23491300</v>
      </c>
      <c r="G1216" s="2" t="s">
        <v>14</v>
      </c>
      <c r="H1216">
        <v>1.11227163368115</v>
      </c>
      <c r="I1216">
        <v>95.64867486131925</v>
      </c>
      <c r="J1216">
        <v>385.76501220703125</v>
      </c>
      <c r="K1216">
        <v>2.7962741476856254</v>
      </c>
      <c r="L1216">
        <v>0</v>
      </c>
      <c r="M1216" t="str">
        <f>VLOOKUP(fact_daily_prices[[#This Row],[Ticker]], dim_company[], 2, FALSE)</f>
        <v>Microsoft Corp.</v>
      </c>
      <c r="N1216" t="str">
        <f>VLOOKUP(fact_daily_prices[[#This Row],[Ticker]], dim_company[], 3, FALSE)</f>
        <v>Technology</v>
      </c>
    </row>
    <row r="1217" spans="1:14" x14ac:dyDescent="0.3">
      <c r="A1217" s="1">
        <v>45786</v>
      </c>
      <c r="B1217">
        <v>434.45578002929688</v>
      </c>
      <c r="C1217">
        <v>436.44617749513179</v>
      </c>
      <c r="D1217">
        <v>431.63353948548843</v>
      </c>
      <c r="E1217">
        <v>435.71339645340021</v>
      </c>
      <c r="F1217">
        <v>15324200</v>
      </c>
      <c r="G1217" s="2" t="s">
        <v>14</v>
      </c>
      <c r="H1217">
        <v>0.12779505976792116</v>
      </c>
      <c r="I1217">
        <v>95.770909142525511</v>
      </c>
      <c r="J1217">
        <v>386.68001037597656</v>
      </c>
      <c r="K1217">
        <v>2.7963741487456999</v>
      </c>
      <c r="L1217">
        <v>0</v>
      </c>
      <c r="M1217" t="str">
        <f>VLOOKUP(fact_daily_prices[[#This Row],[Ticker]], dim_company[], 2, FALSE)</f>
        <v>Microsoft Corp.</v>
      </c>
      <c r="N1217" t="str">
        <f>VLOOKUP(fact_daily_prices[[#This Row],[Ticker]], dim_company[], 3, FALSE)</f>
        <v>Technology</v>
      </c>
    </row>
    <row r="1218" spans="1:14" x14ac:dyDescent="0.3">
      <c r="A1218" s="1">
        <v>45789</v>
      </c>
      <c r="B1218">
        <v>444.88323974609375</v>
      </c>
      <c r="C1218">
        <v>444.99215360101999</v>
      </c>
      <c r="D1218">
        <v>435.495584693897</v>
      </c>
      <c r="E1218">
        <v>441.59557651706575</v>
      </c>
      <c r="F1218">
        <v>22821900</v>
      </c>
      <c r="G1218" s="2" t="s">
        <v>14</v>
      </c>
      <c r="H1218">
        <v>2.4001199192455802</v>
      </c>
      <c r="I1218">
        <v>98.069525809697851</v>
      </c>
      <c r="J1218">
        <v>387.71522705078127</v>
      </c>
      <c r="K1218">
        <v>2.740839392930432</v>
      </c>
      <c r="L1218">
        <v>0</v>
      </c>
      <c r="M1218" t="str">
        <f>VLOOKUP(fact_daily_prices[[#This Row],[Ticker]], dim_company[], 2, FALSE)</f>
        <v>Microsoft Corp.</v>
      </c>
      <c r="N1218" t="str">
        <f>VLOOKUP(fact_daily_prices[[#This Row],[Ticker]], dim_company[], 3, FALSE)</f>
        <v>Technology</v>
      </c>
    </row>
    <row r="1219" spans="1:14" x14ac:dyDescent="0.3">
      <c r="A1219" s="1">
        <v>45790</v>
      </c>
      <c r="B1219">
        <v>444.764404296875</v>
      </c>
      <c r="C1219">
        <v>446.27949752717109</v>
      </c>
      <c r="D1219">
        <v>441.02120078879898</v>
      </c>
      <c r="E1219">
        <v>443.41763796979518</v>
      </c>
      <c r="F1219">
        <v>23618800</v>
      </c>
      <c r="G1219" s="2" t="s">
        <v>14</v>
      </c>
      <c r="H1219">
        <v>-2.6711603989970634E-2</v>
      </c>
      <c r="I1219">
        <v>98.043329866328705</v>
      </c>
      <c r="J1219">
        <v>388.91641052246092</v>
      </c>
      <c r="K1219">
        <v>2.7289051926423604</v>
      </c>
      <c r="L1219">
        <v>0</v>
      </c>
      <c r="M1219" t="str">
        <f>VLOOKUP(fact_daily_prices[[#This Row],[Ticker]], dim_company[], 2, FALSE)</f>
        <v>Microsoft Corp.</v>
      </c>
      <c r="N1219" t="str">
        <f>VLOOKUP(fact_daily_prices[[#This Row],[Ticker]], dim_company[], 3, FALSE)</f>
        <v>Technology</v>
      </c>
    </row>
    <row r="1220" spans="1:14" x14ac:dyDescent="0.3">
      <c r="A1220" s="1">
        <v>45791</v>
      </c>
      <c r="B1220">
        <v>448.52734375</v>
      </c>
      <c r="C1220">
        <v>449.47798271994742</v>
      </c>
      <c r="D1220">
        <v>443.77411867999479</v>
      </c>
      <c r="E1220">
        <v>443.77411867999479</v>
      </c>
      <c r="F1220">
        <v>19902800</v>
      </c>
      <c r="G1220" s="2" t="s">
        <v>14</v>
      </c>
      <c r="H1220">
        <v>0.84605229572582985</v>
      </c>
      <c r="I1220">
        <v>98.872827709468822</v>
      </c>
      <c r="J1220">
        <v>390.19047729492189</v>
      </c>
      <c r="K1220">
        <v>2.7202284738350624</v>
      </c>
      <c r="L1220">
        <v>0</v>
      </c>
      <c r="M1220" t="str">
        <f>VLOOKUP(fact_daily_prices[[#This Row],[Ticker]], dim_company[], 2, FALSE)</f>
        <v>Microsoft Corp.</v>
      </c>
      <c r="N1220" t="str">
        <f>VLOOKUP(fact_daily_prices[[#This Row],[Ticker]], dim_company[], 3, FALSE)</f>
        <v>Technology</v>
      </c>
    </row>
    <row r="1221" spans="1:14" x14ac:dyDescent="0.3">
      <c r="A1221" s="1">
        <v>45792</v>
      </c>
      <c r="B1221">
        <v>449.53927612304688</v>
      </c>
      <c r="C1221">
        <v>452.57502540604639</v>
      </c>
      <c r="D1221">
        <v>446.86065956710701</v>
      </c>
      <c r="E1221">
        <v>447.19796167902382</v>
      </c>
      <c r="F1221">
        <v>21992300</v>
      </c>
      <c r="G1221" s="2" t="s">
        <v>14</v>
      </c>
      <c r="H1221">
        <v>0.2256121922437071</v>
      </c>
      <c r="I1221">
        <v>99.095896863597517</v>
      </c>
      <c r="J1221">
        <v>391.23900024414064</v>
      </c>
      <c r="K1221">
        <v>2.7187144982432545</v>
      </c>
      <c r="L1221">
        <v>0</v>
      </c>
      <c r="M1221" t="str">
        <f>VLOOKUP(fact_daily_prices[[#This Row],[Ticker]], dim_company[], 2, FALSE)</f>
        <v>Microsoft Corp.</v>
      </c>
      <c r="N1221" t="str">
        <f>VLOOKUP(fact_daily_prices[[#This Row],[Ticker]], dim_company[], 3, FALSE)</f>
        <v>Technology</v>
      </c>
    </row>
    <row r="1222" spans="1:14" x14ac:dyDescent="0.3">
      <c r="A1222" s="1">
        <v>45793</v>
      </c>
      <c r="B1222">
        <v>450.67022705078131</v>
      </c>
      <c r="C1222">
        <v>450.75951023261541</v>
      </c>
      <c r="D1222">
        <v>445.17414935289003</v>
      </c>
      <c r="E1222">
        <v>448.46781773829377</v>
      </c>
      <c r="F1222">
        <v>21697800</v>
      </c>
      <c r="G1222" s="2" t="s">
        <v>14</v>
      </c>
      <c r="H1222">
        <v>0.25158000375140599</v>
      </c>
      <c r="I1222">
        <v>99.345202324644447</v>
      </c>
      <c r="J1222">
        <v>392.39193603515628</v>
      </c>
      <c r="K1222">
        <v>2.6614112071963372</v>
      </c>
      <c r="L1222">
        <v>0</v>
      </c>
      <c r="M1222" t="str">
        <f>VLOOKUP(fact_daily_prices[[#This Row],[Ticker]], dim_company[], 2, FALSE)</f>
        <v>Microsoft Corp.</v>
      </c>
      <c r="N1222" t="str">
        <f>VLOOKUP(fact_daily_prices[[#This Row],[Ticker]], dim_company[], 3, FALSE)</f>
        <v>Technology</v>
      </c>
    </row>
    <row r="1223" spans="1:14" x14ac:dyDescent="0.3">
      <c r="A1223" s="1">
        <v>45796</v>
      </c>
      <c r="B1223">
        <v>455.23379516601563</v>
      </c>
      <c r="C1223">
        <v>455.94809091799902</v>
      </c>
      <c r="D1223">
        <v>447.2277365866496</v>
      </c>
      <c r="E1223">
        <v>447.30711960117503</v>
      </c>
      <c r="F1223">
        <v>21336500</v>
      </c>
      <c r="G1223" s="2" t="s">
        <v>14</v>
      </c>
      <c r="H1223">
        <v>1.0126180611261137</v>
      </c>
      <c r="I1223">
        <v>100.35118978624608</v>
      </c>
      <c r="J1223">
        <v>393.70704589843751</v>
      </c>
      <c r="K1223">
        <v>2.5374107556787235</v>
      </c>
      <c r="L1223">
        <v>0</v>
      </c>
      <c r="M1223" t="str">
        <f>VLOOKUP(fact_daily_prices[[#This Row],[Ticker]], dim_company[], 2, FALSE)</f>
        <v>Microsoft Corp.</v>
      </c>
      <c r="N1223" t="str">
        <f>VLOOKUP(fact_daily_prices[[#This Row],[Ticker]], dim_company[], 3, FALSE)</f>
        <v>Technology</v>
      </c>
    </row>
    <row r="1224" spans="1:14" x14ac:dyDescent="0.3">
      <c r="A1224" s="1">
        <v>45797</v>
      </c>
      <c r="B1224">
        <v>454.53936767578131</v>
      </c>
      <c r="C1224">
        <v>454.70800360182119</v>
      </c>
      <c r="D1224">
        <v>450.719869916101</v>
      </c>
      <c r="E1224">
        <v>451.97979524144239</v>
      </c>
      <c r="F1224">
        <v>15441800</v>
      </c>
      <c r="G1224" s="2" t="s">
        <v>14</v>
      </c>
      <c r="H1224">
        <v>-0.15254304438910848</v>
      </c>
      <c r="I1224">
        <v>100.19811102626545</v>
      </c>
      <c r="J1224">
        <v>395.26870544433592</v>
      </c>
      <c r="K1224">
        <v>2.5308738578643095</v>
      </c>
      <c r="L1224">
        <v>0</v>
      </c>
      <c r="M1224" t="str">
        <f>VLOOKUP(fact_daily_prices[[#This Row],[Ticker]], dim_company[], 2, FALSE)</f>
        <v>Microsoft Corp.</v>
      </c>
      <c r="N1224" t="str">
        <f>VLOOKUP(fact_daily_prices[[#This Row],[Ticker]], dim_company[], 3, FALSE)</f>
        <v>Technology</v>
      </c>
    </row>
    <row r="1225" spans="1:14" x14ac:dyDescent="0.3">
      <c r="A1225" s="1">
        <v>45798</v>
      </c>
      <c r="B1225">
        <v>448.98370361328131</v>
      </c>
      <c r="C1225">
        <v>454.15240949621159</v>
      </c>
      <c r="D1225">
        <v>448.22971639841899</v>
      </c>
      <c r="E1225">
        <v>450.96785499913142</v>
      </c>
      <c r="F1225">
        <v>19216900</v>
      </c>
      <c r="G1225" s="2" t="s">
        <v>14</v>
      </c>
      <c r="H1225">
        <v>-1.2222624612050814</v>
      </c>
      <c r="I1225">
        <v>98.973427128354814</v>
      </c>
      <c r="J1225">
        <v>396.71350830078126</v>
      </c>
      <c r="K1225">
        <v>2.5549718930508738</v>
      </c>
      <c r="L1225">
        <v>0</v>
      </c>
      <c r="M1225" t="str">
        <f>VLOOKUP(fact_daily_prices[[#This Row],[Ticker]], dim_company[], 2, FALSE)</f>
        <v>Microsoft Corp.</v>
      </c>
      <c r="N1225" t="str">
        <f>VLOOKUP(fact_daily_prices[[#This Row],[Ticker]], dim_company[], 3, FALSE)</f>
        <v>Technology</v>
      </c>
    </row>
    <row r="1226" spans="1:14" x14ac:dyDescent="0.3">
      <c r="A1226" s="1">
        <v>45799</v>
      </c>
      <c r="B1226">
        <v>451.25555419921881</v>
      </c>
      <c r="C1226">
        <v>456.60285694215548</v>
      </c>
      <c r="D1226">
        <v>450.30316997101937</v>
      </c>
      <c r="E1226">
        <v>451.34486765800972</v>
      </c>
      <c r="F1226">
        <v>18025600</v>
      </c>
      <c r="G1226" s="2" t="s">
        <v>14</v>
      </c>
      <c r="H1226">
        <v>0.50599845109173813</v>
      </c>
      <c r="I1226">
        <v>99.474231136616694</v>
      </c>
      <c r="J1226">
        <v>398.14789794921876</v>
      </c>
      <c r="K1226">
        <v>2.0181833699627116</v>
      </c>
      <c r="L1226">
        <v>0</v>
      </c>
      <c r="M1226" t="str">
        <f>VLOOKUP(fact_daily_prices[[#This Row],[Ticker]], dim_company[], 2, FALSE)</f>
        <v>Microsoft Corp.</v>
      </c>
      <c r="N1226" t="str">
        <f>VLOOKUP(fact_daily_prices[[#This Row],[Ticker]], dim_company[], 3, FALSE)</f>
        <v>Technology</v>
      </c>
    </row>
    <row r="1227" spans="1:14" x14ac:dyDescent="0.3">
      <c r="A1227" s="1">
        <v>45800</v>
      </c>
      <c r="B1227">
        <v>446.61264038085938</v>
      </c>
      <c r="C1227">
        <v>450.09483584643482</v>
      </c>
      <c r="D1227">
        <v>445.35271511567959</v>
      </c>
      <c r="E1227">
        <v>446.4142434023006</v>
      </c>
      <c r="F1227">
        <v>16883500</v>
      </c>
      <c r="G1227" s="2" t="s">
        <v>14</v>
      </c>
      <c r="H1227">
        <v>-1.0288879051247535</v>
      </c>
      <c r="I1227">
        <v>98.450752803736208</v>
      </c>
      <c r="J1227">
        <v>399.57855224609375</v>
      </c>
      <c r="K1227">
        <v>1.9672927891011505</v>
      </c>
      <c r="L1227">
        <v>0</v>
      </c>
      <c r="M1227" t="str">
        <f>VLOOKUP(fact_daily_prices[[#This Row],[Ticker]], dim_company[], 2, FALSE)</f>
        <v>Microsoft Corp.</v>
      </c>
      <c r="N1227" t="str">
        <f>VLOOKUP(fact_daily_prices[[#This Row],[Ticker]], dim_company[], 3, FALSE)</f>
        <v>Technology</v>
      </c>
    </row>
    <row r="1228" spans="1:14" x14ac:dyDescent="0.3">
      <c r="A1228" s="1">
        <v>45804</v>
      </c>
      <c r="B1228">
        <v>457.03936767578131</v>
      </c>
      <c r="C1228">
        <v>457.29731705224049</v>
      </c>
      <c r="D1228">
        <v>452.50557435127718</v>
      </c>
      <c r="E1228">
        <v>452.8627373552784</v>
      </c>
      <c r="F1228">
        <v>20974300</v>
      </c>
      <c r="G1228" s="2" t="s">
        <v>14</v>
      </c>
      <c r="H1228">
        <v>2.3346243147149393</v>
      </c>
      <c r="I1228">
        <v>100.74920801671215</v>
      </c>
      <c r="J1228">
        <v>401.02384887695314</v>
      </c>
      <c r="K1228">
        <v>1.9797776743081901</v>
      </c>
      <c r="L1228">
        <v>0</v>
      </c>
      <c r="M1228" t="str">
        <f>VLOOKUP(fact_daily_prices[[#This Row],[Ticker]], dim_company[], 2, FALSE)</f>
        <v>Microsoft Corp.</v>
      </c>
      <c r="N1228" t="str">
        <f>VLOOKUP(fact_daily_prices[[#This Row],[Ticker]], dim_company[], 3, FALSE)</f>
        <v>Technology</v>
      </c>
    </row>
    <row r="1229" spans="1:14" x14ac:dyDescent="0.3">
      <c r="A1229" s="1">
        <v>45805</v>
      </c>
      <c r="B1229">
        <v>453.73574829101563</v>
      </c>
      <c r="C1229">
        <v>458.85486276932289</v>
      </c>
      <c r="D1229">
        <v>453.30916298676061</v>
      </c>
      <c r="E1229">
        <v>457.56517641086623</v>
      </c>
      <c r="F1229">
        <v>17086300</v>
      </c>
      <c r="G1229" s="2" t="s">
        <v>14</v>
      </c>
      <c r="H1229">
        <v>-0.72283037707798758</v>
      </c>
      <c r="I1229">
        <v>100.02096213650185</v>
      </c>
      <c r="J1229">
        <v>402.40029968261717</v>
      </c>
      <c r="K1229">
        <v>1.989757984990095</v>
      </c>
      <c r="L1229">
        <v>0</v>
      </c>
      <c r="M1229" t="str">
        <f>VLOOKUP(fact_daily_prices[[#This Row],[Ticker]], dim_company[], 2, FALSE)</f>
        <v>Microsoft Corp.</v>
      </c>
      <c r="N1229" t="str">
        <f>VLOOKUP(fact_daily_prices[[#This Row],[Ticker]], dim_company[], 3, FALSE)</f>
        <v>Technology</v>
      </c>
    </row>
    <row r="1230" spans="1:14" x14ac:dyDescent="0.3">
      <c r="A1230" s="1">
        <v>45806</v>
      </c>
      <c r="B1230">
        <v>455.04531860351563</v>
      </c>
      <c r="C1230">
        <v>458.0612374989779</v>
      </c>
      <c r="D1230">
        <v>451.702028016876</v>
      </c>
      <c r="E1230">
        <v>457.89257129241651</v>
      </c>
      <c r="F1230">
        <v>13974800</v>
      </c>
      <c r="G1230" s="2" t="s">
        <v>14</v>
      </c>
      <c r="H1230">
        <v>0.28861960236381545</v>
      </c>
      <c r="I1230">
        <v>100.30964223970069</v>
      </c>
      <c r="J1230">
        <v>403.90553344726561</v>
      </c>
      <c r="K1230">
        <v>1.9795257258697341</v>
      </c>
      <c r="L1230">
        <v>0</v>
      </c>
      <c r="M1230" t="str">
        <f>VLOOKUP(fact_daily_prices[[#This Row],[Ticker]], dim_company[], 2, FALSE)</f>
        <v>Microsoft Corp.</v>
      </c>
      <c r="N1230" t="str">
        <f>VLOOKUP(fact_daily_prices[[#This Row],[Ticker]], dim_company[], 3, FALSE)</f>
        <v>Technology</v>
      </c>
    </row>
    <row r="1231" spans="1:14" x14ac:dyDescent="0.3">
      <c r="A1231" s="1">
        <v>45807</v>
      </c>
      <c r="B1231">
        <v>456.71194458007813</v>
      </c>
      <c r="C1231">
        <v>458.02149174118398</v>
      </c>
      <c r="D1231">
        <v>451.93016282180776</v>
      </c>
      <c r="E1231">
        <v>456.07703188956282</v>
      </c>
      <c r="F1231">
        <v>34770500</v>
      </c>
      <c r="G1231" s="2" t="s">
        <v>14</v>
      </c>
      <c r="H1231">
        <v>0.36625494394211255</v>
      </c>
      <c r="I1231">
        <v>100.67703126365424</v>
      </c>
      <c r="J1231">
        <v>405.35893676757814</v>
      </c>
      <c r="K1231">
        <v>1.8096319561359209</v>
      </c>
      <c r="L1231">
        <v>0</v>
      </c>
      <c r="M1231" t="str">
        <f>VLOOKUP(fact_daily_prices[[#This Row],[Ticker]], dim_company[], 2, FALSE)</f>
        <v>Microsoft Corp.</v>
      </c>
      <c r="N1231" t="str">
        <f>VLOOKUP(fact_daily_prices[[#This Row],[Ticker]], dim_company[], 3, FALSE)</f>
        <v>Technology</v>
      </c>
    </row>
    <row r="1232" spans="1:14" x14ac:dyDescent="0.3">
      <c r="A1232" s="1">
        <v>45810</v>
      </c>
      <c r="B1232">
        <v>458.30923461914063</v>
      </c>
      <c r="C1232">
        <v>458.44810948050281</v>
      </c>
      <c r="D1232">
        <v>453.26950313948061</v>
      </c>
      <c r="E1232">
        <v>453.5175220765372</v>
      </c>
      <c r="F1232">
        <v>16626500</v>
      </c>
      <c r="G1232" s="2" t="s">
        <v>14</v>
      </c>
      <c r="H1232">
        <v>0.34973686543957605</v>
      </c>
      <c r="I1232">
        <v>101.02913595701335</v>
      </c>
      <c r="J1232">
        <v>406.86369506835939</v>
      </c>
      <c r="K1232">
        <v>1.7804248706726724</v>
      </c>
      <c r="L1232">
        <v>0</v>
      </c>
      <c r="M1232" t="str">
        <f>VLOOKUP(fact_daily_prices[[#This Row],[Ticker]], dim_company[], 2, FALSE)</f>
        <v>Microsoft Corp.</v>
      </c>
      <c r="N1232" t="str">
        <f>VLOOKUP(fact_daily_prices[[#This Row],[Ticker]], dim_company[], 3, FALSE)</f>
        <v>Technology</v>
      </c>
    </row>
    <row r="1233" spans="1:14" x14ac:dyDescent="0.3">
      <c r="A1233" s="1">
        <v>45811</v>
      </c>
      <c r="B1233">
        <v>459.30130004882813</v>
      </c>
      <c r="C1233">
        <v>460.46204196950561</v>
      </c>
      <c r="D1233">
        <v>457.2080045237085</v>
      </c>
      <c r="E1233">
        <v>457.81318645992019</v>
      </c>
      <c r="F1233">
        <v>15743800</v>
      </c>
      <c r="G1233" s="2" t="s">
        <v>14</v>
      </c>
      <c r="H1233">
        <v>0.21646202056389008</v>
      </c>
      <c r="I1233">
        <v>101.24782566606416</v>
      </c>
      <c r="J1233">
        <v>408.30075561523438</v>
      </c>
      <c r="K1233">
        <v>1.6833658080233065</v>
      </c>
      <c r="L1233">
        <v>0</v>
      </c>
      <c r="M1233" t="str">
        <f>VLOOKUP(fact_daily_prices[[#This Row],[Ticker]], dim_company[], 2, FALSE)</f>
        <v>Microsoft Corp.</v>
      </c>
      <c r="N1233" t="str">
        <f>VLOOKUP(fact_daily_prices[[#This Row],[Ticker]], dim_company[], 3, FALSE)</f>
        <v>Technology</v>
      </c>
    </row>
    <row r="1234" spans="1:14" x14ac:dyDescent="0.3">
      <c r="A1234" s="1">
        <v>45812</v>
      </c>
      <c r="B1234">
        <v>460.19418334960938</v>
      </c>
      <c r="C1234">
        <v>461.99976852018631</v>
      </c>
      <c r="D1234">
        <v>459.35091288855978</v>
      </c>
      <c r="E1234">
        <v>460.3231580440434</v>
      </c>
      <c r="F1234">
        <v>14162700</v>
      </c>
      <c r="G1234" s="2" t="s">
        <v>14</v>
      </c>
      <c r="H1234">
        <v>0.1944003425826013</v>
      </c>
      <c r="I1234">
        <v>101.44465178601641</v>
      </c>
      <c r="J1234">
        <v>409.71962890625002</v>
      </c>
      <c r="K1234">
        <v>1.670050931034186</v>
      </c>
      <c r="L1234">
        <v>0</v>
      </c>
      <c r="M1234" t="str">
        <f>VLOOKUP(fact_daily_prices[[#This Row],[Ticker]], dim_company[], 2, FALSE)</f>
        <v>Microsoft Corp.</v>
      </c>
      <c r="N1234" t="str">
        <f>VLOOKUP(fact_daily_prices[[#This Row],[Ticker]], dim_company[], 3, FALSE)</f>
        <v>Technology</v>
      </c>
    </row>
    <row r="1235" spans="1:14" x14ac:dyDescent="0.3">
      <c r="A1235" s="1">
        <v>45813</v>
      </c>
      <c r="B1235">
        <v>463.97396850585938</v>
      </c>
      <c r="C1235">
        <v>465.92835889810488</v>
      </c>
      <c r="D1235">
        <v>460.3528981592645</v>
      </c>
      <c r="E1235">
        <v>461.27552131873477</v>
      </c>
      <c r="F1235">
        <v>20131700</v>
      </c>
      <c r="G1235" s="2" t="s">
        <v>14</v>
      </c>
      <c r="H1235">
        <v>0.82134570427163656</v>
      </c>
      <c r="I1235">
        <v>102.27786307567419</v>
      </c>
      <c r="J1235">
        <v>411.17290283203124</v>
      </c>
      <c r="K1235">
        <v>1.6530727547072472</v>
      </c>
      <c r="L1235">
        <v>0</v>
      </c>
      <c r="M1235" t="str">
        <f>VLOOKUP(fact_daily_prices[[#This Row],[Ticker]], dim_company[], 2, FALSE)</f>
        <v>Microsoft Corp.</v>
      </c>
      <c r="N1235" t="str">
        <f>VLOOKUP(fact_daily_prices[[#This Row],[Ticker]], dim_company[], 3, FALSE)</f>
        <v>Technology</v>
      </c>
    </row>
    <row r="1236" spans="1:14" x14ac:dyDescent="0.3">
      <c r="A1236" s="1">
        <v>45814</v>
      </c>
      <c r="B1236">
        <v>466.65255737304688</v>
      </c>
      <c r="C1236">
        <v>469.58909287195422</v>
      </c>
      <c r="D1236">
        <v>465.06523024972654</v>
      </c>
      <c r="E1236">
        <v>466.3648469522318</v>
      </c>
      <c r="F1236">
        <v>15285600</v>
      </c>
      <c r="G1236" s="2" t="s">
        <v>14</v>
      </c>
      <c r="H1236">
        <v>0.57731447214881548</v>
      </c>
      <c r="I1236">
        <v>102.8683279810146</v>
      </c>
      <c r="J1236">
        <v>412.7825372314453</v>
      </c>
      <c r="K1236">
        <v>1.5734610485624372</v>
      </c>
      <c r="L1236">
        <v>0</v>
      </c>
      <c r="M1236" t="str">
        <f>VLOOKUP(fact_daily_prices[[#This Row],[Ticker]], dim_company[], 2, FALSE)</f>
        <v>Microsoft Corp.</v>
      </c>
      <c r="N1236" t="str">
        <f>VLOOKUP(fact_daily_prices[[#This Row],[Ticker]], dim_company[], 3, FALSE)</f>
        <v>Technology</v>
      </c>
    </row>
    <row r="1237" spans="1:14" x14ac:dyDescent="0.3">
      <c r="A1237" s="1">
        <v>45817</v>
      </c>
      <c r="B1237">
        <v>469.00381469726563</v>
      </c>
      <c r="C1237">
        <v>469.67841894667362</v>
      </c>
      <c r="D1237">
        <v>464.90653697170802</v>
      </c>
      <c r="E1237">
        <v>465.97799574500237</v>
      </c>
      <c r="F1237">
        <v>16469900</v>
      </c>
      <c r="G1237" s="2" t="s">
        <v>14</v>
      </c>
      <c r="H1237">
        <v>0.50385608887579814</v>
      </c>
      <c r="I1237">
        <v>103.38663631507168</v>
      </c>
      <c r="J1237">
        <v>414.42711669921874</v>
      </c>
      <c r="K1237">
        <v>1.5707692611402646</v>
      </c>
      <c r="L1237">
        <v>0</v>
      </c>
      <c r="M1237" t="str">
        <f>VLOOKUP(fact_daily_prices[[#This Row],[Ticker]], dim_company[], 2, FALSE)</f>
        <v>Microsoft Corp.</v>
      </c>
      <c r="N1237" t="str">
        <f>VLOOKUP(fact_daily_prices[[#This Row],[Ticker]], dim_company[], 3, FALSE)</f>
        <v>Technology</v>
      </c>
    </row>
    <row r="1238" spans="1:14" x14ac:dyDescent="0.3">
      <c r="A1238" s="1">
        <v>45818</v>
      </c>
      <c r="B1238">
        <v>467.18829345703131</v>
      </c>
      <c r="C1238">
        <v>469.05337030743692</v>
      </c>
      <c r="D1238">
        <v>463.25965195804019</v>
      </c>
      <c r="E1238">
        <v>467.45614299188406</v>
      </c>
      <c r="F1238">
        <v>15375900</v>
      </c>
      <c r="G1238" s="2" t="s">
        <v>14</v>
      </c>
      <c r="H1238">
        <v>-0.38710159349262252</v>
      </c>
      <c r="I1238">
        <v>102.9864249984376</v>
      </c>
      <c r="J1238">
        <v>416.26868957519531</v>
      </c>
      <c r="K1238">
        <v>1.5750406509383721</v>
      </c>
      <c r="L1238">
        <v>0</v>
      </c>
      <c r="M1238" t="str">
        <f>VLOOKUP(fact_daily_prices[[#This Row],[Ticker]], dim_company[], 2, FALSE)</f>
        <v>Microsoft Corp.</v>
      </c>
      <c r="N1238" t="str">
        <f>VLOOKUP(fact_daily_prices[[#This Row],[Ticker]], dim_company[], 3, FALSE)</f>
        <v>Technology</v>
      </c>
    </row>
    <row r="1239" spans="1:14" x14ac:dyDescent="0.3">
      <c r="A1239" s="1">
        <v>45819</v>
      </c>
      <c r="B1239">
        <v>468.87484741210938</v>
      </c>
      <c r="C1239">
        <v>471.70226942284791</v>
      </c>
      <c r="D1239">
        <v>465.93831159860281</v>
      </c>
      <c r="E1239">
        <v>466.29544434484353</v>
      </c>
      <c r="F1239">
        <v>16399200</v>
      </c>
      <c r="G1239" s="2" t="s">
        <v>14</v>
      </c>
      <c r="H1239">
        <v>0.36100090235526849</v>
      </c>
      <c r="I1239">
        <v>103.35820692198541</v>
      </c>
      <c r="J1239">
        <v>418.21152893066409</v>
      </c>
      <c r="K1239">
        <v>1.5757249916361533</v>
      </c>
      <c r="L1239">
        <v>0</v>
      </c>
      <c r="M1239" t="str">
        <f>VLOOKUP(fact_daily_prices[[#This Row],[Ticker]], dim_company[], 2, FALSE)</f>
        <v>Microsoft Corp.</v>
      </c>
      <c r="N1239" t="str">
        <f>VLOOKUP(fact_daily_prices[[#This Row],[Ticker]], dim_company[], 3, FALSE)</f>
        <v>Technology</v>
      </c>
    </row>
    <row r="1240" spans="1:14" x14ac:dyDescent="0.3">
      <c r="A1240" s="1">
        <v>45820</v>
      </c>
      <c r="B1240">
        <v>475.0753173828125</v>
      </c>
      <c r="C1240">
        <v>476.61305298608841</v>
      </c>
      <c r="D1240">
        <v>469.76770597774697</v>
      </c>
      <c r="E1240">
        <v>471.25581962725602</v>
      </c>
      <c r="F1240">
        <v>18950600</v>
      </c>
      <c r="G1240" s="2" t="s">
        <v>14</v>
      </c>
      <c r="H1240">
        <v>1.3224147136332354</v>
      </c>
      <c r="I1240">
        <v>104.72503105806923</v>
      </c>
      <c r="J1240">
        <v>420.14370300292967</v>
      </c>
      <c r="K1240">
        <v>1.5795644556932873</v>
      </c>
      <c r="L1240">
        <v>0</v>
      </c>
      <c r="M1240" t="str">
        <f>VLOOKUP(fact_daily_prices[[#This Row],[Ticker]], dim_company[], 2, FALSE)</f>
        <v>Microsoft Corp.</v>
      </c>
      <c r="N1240" t="str">
        <f>VLOOKUP(fact_daily_prices[[#This Row],[Ticker]], dim_company[], 3, FALSE)</f>
        <v>Technology</v>
      </c>
    </row>
    <row r="1241" spans="1:14" x14ac:dyDescent="0.3">
      <c r="A1241" s="1">
        <v>45821</v>
      </c>
      <c r="B1241">
        <v>471.1962890625</v>
      </c>
      <c r="C1241">
        <v>475.38284993248561</v>
      </c>
      <c r="D1241">
        <v>469.01374058110059</v>
      </c>
      <c r="E1241">
        <v>472.63481100822281</v>
      </c>
      <c r="F1241">
        <v>16814500</v>
      </c>
      <c r="G1241" s="2" t="s">
        <v>14</v>
      </c>
      <c r="H1241">
        <v>-0.81650807322132257</v>
      </c>
      <c r="I1241">
        <v>103.86994272479654</v>
      </c>
      <c r="J1241">
        <v>421.99928649902341</v>
      </c>
      <c r="K1241">
        <v>0.90277136077247955</v>
      </c>
      <c r="L1241">
        <v>0</v>
      </c>
      <c r="M1241" t="str">
        <f>VLOOKUP(fact_daily_prices[[#This Row],[Ticker]], dim_company[], 2, FALSE)</f>
        <v>Microsoft Corp.</v>
      </c>
      <c r="N1241" t="str">
        <f>VLOOKUP(fact_daily_prices[[#This Row],[Ticker]], dim_company[], 3, FALSE)</f>
        <v>Technology</v>
      </c>
    </row>
    <row r="1242" spans="1:14" x14ac:dyDescent="0.3">
      <c r="A1242" s="1">
        <v>45824</v>
      </c>
      <c r="B1242">
        <v>475.34317016601563</v>
      </c>
      <c r="C1242">
        <v>476.88087540603613</v>
      </c>
      <c r="D1242">
        <v>471.23596219473831</v>
      </c>
      <c r="E1242">
        <v>471.44428961660441</v>
      </c>
      <c r="F1242">
        <v>15626100</v>
      </c>
      <c r="G1242" s="2" t="s">
        <v>14</v>
      </c>
      <c r="H1242">
        <v>0.88007507694221054</v>
      </c>
      <c r="I1242">
        <v>104.78407620315163</v>
      </c>
      <c r="J1242">
        <v>424.11664855957031</v>
      </c>
      <c r="K1242">
        <v>0.83121465876496992</v>
      </c>
      <c r="L1242">
        <v>0</v>
      </c>
      <c r="M1242" t="str">
        <f>VLOOKUP(fact_daily_prices[[#This Row],[Ticker]], dim_company[], 2, FALSE)</f>
        <v>Microsoft Corp.</v>
      </c>
      <c r="N1242" t="str">
        <f>VLOOKUP(fact_daily_prices[[#This Row],[Ticker]], dim_company[], 3, FALSE)</f>
        <v>Technology</v>
      </c>
    </row>
    <row r="1243" spans="1:14" x14ac:dyDescent="0.3">
      <c r="A1243" s="1">
        <v>45825</v>
      </c>
      <c r="B1243">
        <v>474.25186157226563</v>
      </c>
      <c r="C1243">
        <v>474.9462963755368</v>
      </c>
      <c r="D1243">
        <v>470.32322012211631</v>
      </c>
      <c r="E1243">
        <v>471.63276727216606</v>
      </c>
      <c r="F1243">
        <v>15414100</v>
      </c>
      <c r="G1243" s="2" t="s">
        <v>14</v>
      </c>
      <c r="H1243">
        <v>-0.22958331206670568</v>
      </c>
      <c r="I1243">
        <v>104.54350945048594</v>
      </c>
      <c r="J1243">
        <v>426.47499877929687</v>
      </c>
      <c r="K1243">
        <v>0.83723048880306261</v>
      </c>
      <c r="L1243">
        <v>0</v>
      </c>
      <c r="M1243" t="str">
        <f>VLOOKUP(fact_daily_prices[[#This Row],[Ticker]], dim_company[], 2, FALSE)</f>
        <v>Microsoft Corp.</v>
      </c>
      <c r="N1243" t="str">
        <f>VLOOKUP(fact_daily_prices[[#This Row],[Ticker]], dim_company[], 3, FALSE)</f>
        <v>Technology</v>
      </c>
    </row>
    <row r="1244" spans="1:14" x14ac:dyDescent="0.3">
      <c r="A1244" s="1">
        <v>45826</v>
      </c>
      <c r="B1244">
        <v>476.4344482421875</v>
      </c>
      <c r="C1244">
        <v>477.18843550003231</v>
      </c>
      <c r="D1244">
        <v>470.7002516212213</v>
      </c>
      <c r="E1244">
        <v>474.21220825159128</v>
      </c>
      <c r="F1244">
        <v>17526500</v>
      </c>
      <c r="G1244" s="2" t="s">
        <v>14</v>
      </c>
      <c r="H1244">
        <v>0.46021678495600238</v>
      </c>
      <c r="I1244">
        <v>105.02463622855913</v>
      </c>
      <c r="J1244">
        <v>428.91621459960936</v>
      </c>
      <c r="K1244">
        <v>0.81714083703367846</v>
      </c>
      <c r="L1244">
        <v>0</v>
      </c>
      <c r="M1244" t="str">
        <f>VLOOKUP(fact_daily_prices[[#This Row],[Ticker]], dim_company[], 2, FALSE)</f>
        <v>Microsoft Corp.</v>
      </c>
      <c r="N1244" t="str">
        <f>VLOOKUP(fact_daily_prices[[#This Row],[Ticker]], dim_company[], 3, FALSE)</f>
        <v>Technology</v>
      </c>
    </row>
    <row r="1245" spans="1:14" x14ac:dyDescent="0.3">
      <c r="A1245" s="1">
        <v>45828</v>
      </c>
      <c r="B1245">
        <v>473.616943359375</v>
      </c>
      <c r="C1245">
        <v>479.62891980922967</v>
      </c>
      <c r="D1245">
        <v>473.09114443804282</v>
      </c>
      <c r="E1245">
        <v>478.4086860483398</v>
      </c>
      <c r="F1245">
        <v>37576200</v>
      </c>
      <c r="G1245" s="2" t="s">
        <v>14</v>
      </c>
      <c r="H1245">
        <v>-0.59137304055315587</v>
      </c>
      <c r="I1245">
        <v>104.40354884396442</v>
      </c>
      <c r="J1245">
        <v>431.30108032226565</v>
      </c>
      <c r="K1245">
        <v>0.833048853374173</v>
      </c>
      <c r="L1245">
        <v>0</v>
      </c>
      <c r="M1245" t="str">
        <f>VLOOKUP(fact_daily_prices[[#This Row],[Ticker]], dim_company[], 2, FALSE)</f>
        <v>Microsoft Corp.</v>
      </c>
      <c r="N1245" t="str">
        <f>VLOOKUP(fact_daily_prices[[#This Row],[Ticker]], dim_company[], 3, FALSE)</f>
        <v>Technology</v>
      </c>
    </row>
    <row r="1246" spans="1:14" x14ac:dyDescent="0.3">
      <c r="A1246" s="1">
        <v>45831</v>
      </c>
      <c r="B1246">
        <v>482.1488037109375</v>
      </c>
      <c r="C1246">
        <v>483.884936234588</v>
      </c>
      <c r="D1246">
        <v>468.76571183115118</v>
      </c>
      <c r="E1246">
        <v>474.42052531416368</v>
      </c>
      <c r="F1246">
        <v>24864000</v>
      </c>
      <c r="G1246" s="2" t="s">
        <v>14</v>
      </c>
      <c r="H1246">
        <v>1.8014263364494187</v>
      </c>
      <c r="I1246">
        <v>106.28430186902742</v>
      </c>
      <c r="J1246">
        <v>433.21034179687501</v>
      </c>
      <c r="K1246">
        <v>0.86420693555188266</v>
      </c>
      <c r="L1246">
        <v>0</v>
      </c>
      <c r="M1246" t="str">
        <f>VLOOKUP(fact_daily_prices[[#This Row],[Ticker]], dim_company[], 2, FALSE)</f>
        <v>Microsoft Corp.</v>
      </c>
      <c r="N1246" t="str">
        <f>VLOOKUP(fact_daily_prices[[#This Row],[Ticker]], dim_company[], 3, FALSE)</f>
        <v>Technology</v>
      </c>
    </row>
    <row r="1247" spans="1:14" x14ac:dyDescent="0.3">
      <c r="A1247" s="1">
        <v>45832</v>
      </c>
      <c r="B1247">
        <v>486.2261962890625</v>
      </c>
      <c r="C1247">
        <v>487.95242855727332</v>
      </c>
      <c r="D1247">
        <v>482.9424282150726</v>
      </c>
      <c r="E1247">
        <v>485.07541514458472</v>
      </c>
      <c r="F1247">
        <v>22305600</v>
      </c>
      <c r="G1247" s="2" t="s">
        <v>14</v>
      </c>
      <c r="H1247">
        <v>0.84567099342416352</v>
      </c>
      <c r="I1247">
        <v>107.18311738049715</v>
      </c>
      <c r="J1247">
        <v>435.38216918945312</v>
      </c>
      <c r="K1247">
        <v>0.86761204267403169</v>
      </c>
      <c r="L1247">
        <v>0</v>
      </c>
      <c r="M1247" t="str">
        <f>VLOOKUP(fact_daily_prices[[#This Row],[Ticker]], dim_company[], 2, FALSE)</f>
        <v>Microsoft Corp.</v>
      </c>
      <c r="N1247" t="str">
        <f>VLOOKUP(fact_daily_prices[[#This Row],[Ticker]], dim_company[], 3, FALSE)</f>
        <v>Technology</v>
      </c>
    </row>
    <row r="1248" spans="1:14" x14ac:dyDescent="0.3">
      <c r="A1248" s="1">
        <v>45833</v>
      </c>
      <c r="B1248">
        <v>488.36911010742188</v>
      </c>
      <c r="C1248">
        <v>490.64097201284233</v>
      </c>
      <c r="D1248">
        <v>485.51195742846249</v>
      </c>
      <c r="E1248">
        <v>488.14095206534711</v>
      </c>
      <c r="F1248">
        <v>17495100</v>
      </c>
      <c r="G1248" s="2" t="s">
        <v>14</v>
      </c>
      <c r="H1248">
        <v>0.44072364564360367</v>
      </c>
      <c r="I1248">
        <v>107.65549872293094</v>
      </c>
      <c r="J1248">
        <v>437.4562384033203</v>
      </c>
      <c r="K1248">
        <v>0.77954402045386673</v>
      </c>
      <c r="L1248">
        <v>0</v>
      </c>
      <c r="M1248" t="str">
        <f>VLOOKUP(fact_daily_prices[[#This Row],[Ticker]], dim_company[], 2, FALSE)</f>
        <v>Microsoft Corp.</v>
      </c>
      <c r="N1248" t="str">
        <f>VLOOKUP(fact_daily_prices[[#This Row],[Ticker]], dim_company[], 3, FALSE)</f>
        <v>Technology</v>
      </c>
    </row>
    <row r="1249" spans="1:14" x14ac:dyDescent="0.3">
      <c r="A1249" s="1">
        <v>45834</v>
      </c>
      <c r="B1249">
        <v>493.50808715820313</v>
      </c>
      <c r="C1249">
        <v>494.09340820956049</v>
      </c>
      <c r="D1249">
        <v>488.90484120917409</v>
      </c>
      <c r="E1249">
        <v>489.0735074056833</v>
      </c>
      <c r="F1249">
        <v>21578900</v>
      </c>
      <c r="G1249" s="2" t="s">
        <v>14</v>
      </c>
      <c r="H1249">
        <v>1.0522731565988819</v>
      </c>
      <c r="I1249">
        <v>108.788328637595</v>
      </c>
      <c r="J1249">
        <v>439.64576293945311</v>
      </c>
      <c r="K1249">
        <v>0.78811305457067016</v>
      </c>
      <c r="L1249">
        <v>0</v>
      </c>
      <c r="M1249" t="str">
        <f>VLOOKUP(fact_daily_prices[[#This Row],[Ticker]], dim_company[], 2, FALSE)</f>
        <v>Microsoft Corp.</v>
      </c>
      <c r="N1249" t="str">
        <f>VLOOKUP(fact_daily_prices[[#This Row],[Ticker]], dim_company[], 3, FALSE)</f>
        <v>Technology</v>
      </c>
    </row>
    <row r="1250" spans="1:14" x14ac:dyDescent="0.3">
      <c r="A1250" s="1">
        <v>45835</v>
      </c>
      <c r="B1250">
        <v>492.01004028320313</v>
      </c>
      <c r="C1250">
        <v>495.34340020584528</v>
      </c>
      <c r="D1250">
        <v>489.12309627390658</v>
      </c>
      <c r="E1250">
        <v>493.60726767719865</v>
      </c>
      <c r="F1250">
        <v>34539200</v>
      </c>
      <c r="G1250" s="2" t="s">
        <v>14</v>
      </c>
      <c r="H1250">
        <v>-0.30355062338011107</v>
      </c>
      <c r="I1250">
        <v>108.45810098785078</v>
      </c>
      <c r="J1250">
        <v>441.84652099609377</v>
      </c>
      <c r="K1250">
        <v>0.79111666788011148</v>
      </c>
      <c r="L1250">
        <v>0</v>
      </c>
      <c r="M1250" t="str">
        <f>VLOOKUP(fact_daily_prices[[#This Row],[Ticker]], dim_company[], 2, FALSE)</f>
        <v>Microsoft Corp.</v>
      </c>
      <c r="N1250" t="str">
        <f>VLOOKUP(fact_daily_prices[[#This Row],[Ticker]], dim_company[], 3, FALSE)</f>
        <v>Technology</v>
      </c>
    </row>
    <row r="1251" spans="1:14" x14ac:dyDescent="0.3">
      <c r="A1251" s="1">
        <v>45838</v>
      </c>
      <c r="B1251">
        <v>493.4683837890625</v>
      </c>
      <c r="C1251">
        <v>496.79184348109618</v>
      </c>
      <c r="D1251">
        <v>491.404849352638</v>
      </c>
      <c r="E1251">
        <v>493.10132061955619</v>
      </c>
      <c r="F1251">
        <v>28369000</v>
      </c>
      <c r="G1251" s="2" t="s">
        <v>14</v>
      </c>
      <c r="H1251">
        <v>0.29640523291352139</v>
      </c>
      <c r="I1251">
        <v>108.77957647469741</v>
      </c>
      <c r="J1251">
        <v>444.35609558105466</v>
      </c>
      <c r="K1251">
        <v>0.79095591605797588</v>
      </c>
      <c r="L1251">
        <v>0</v>
      </c>
      <c r="M1251" t="str">
        <f>VLOOKUP(fact_daily_prices[[#This Row],[Ticker]], dim_company[], 2, FALSE)</f>
        <v>Microsoft Corp.</v>
      </c>
      <c r="N1251" t="str">
        <f>VLOOKUP(fact_daily_prices[[#This Row],[Ticker]], dim_company[], 3, FALSE)</f>
        <v>Technology</v>
      </c>
    </row>
    <row r="1252" spans="1:14" x14ac:dyDescent="0.3">
      <c r="A1252" s="1">
        <v>45839</v>
      </c>
      <c r="B1252">
        <v>488.15084838867188</v>
      </c>
      <c r="C1252">
        <v>494.10330273882704</v>
      </c>
      <c r="D1252">
        <v>487.08935037246312</v>
      </c>
      <c r="E1252">
        <v>492.53583641461546</v>
      </c>
      <c r="F1252">
        <v>19945400</v>
      </c>
      <c r="G1252" s="2" t="s">
        <v>14</v>
      </c>
      <c r="H1252">
        <v>-1.0775838078136424</v>
      </c>
      <c r="I1252">
        <v>107.6073853723978</v>
      </c>
      <c r="J1252">
        <v>446.83517211914062</v>
      </c>
      <c r="K1252">
        <v>0.83081158733160487</v>
      </c>
      <c r="L1252">
        <v>0</v>
      </c>
      <c r="M1252" t="str">
        <f>VLOOKUP(fact_daily_prices[[#This Row],[Ticker]], dim_company[], 2, FALSE)</f>
        <v>Microsoft Corp.</v>
      </c>
      <c r="N1252" t="str">
        <f>VLOOKUP(fact_daily_prices[[#This Row],[Ticker]], dim_company[], 3, FALSE)</f>
        <v>Technology</v>
      </c>
    </row>
    <row r="1253" spans="1:14" x14ac:dyDescent="0.3">
      <c r="A1253" s="1">
        <v>45840</v>
      </c>
      <c r="B1253">
        <v>487.19845581054688</v>
      </c>
      <c r="C1253">
        <v>489.58936189992602</v>
      </c>
      <c r="D1253">
        <v>484.82741061180639</v>
      </c>
      <c r="E1253">
        <v>486.10716647659297</v>
      </c>
      <c r="F1253">
        <v>16319600</v>
      </c>
      <c r="G1253" s="2" t="s">
        <v>14</v>
      </c>
      <c r="H1253">
        <v>-0.19510210445576881</v>
      </c>
      <c r="I1253">
        <v>107.39744109898643</v>
      </c>
      <c r="J1253">
        <v>449.46671447753909</v>
      </c>
      <c r="K1253">
        <v>0.82280731333671664</v>
      </c>
      <c r="L1253">
        <v>0</v>
      </c>
      <c r="M1253" t="str">
        <f>VLOOKUP(fact_daily_prices[[#This Row],[Ticker]], dim_company[], 2, FALSE)</f>
        <v>Microsoft Corp.</v>
      </c>
      <c r="N1253" t="str">
        <f>VLOOKUP(fact_daily_prices[[#This Row],[Ticker]], dim_company[], 3, FALSE)</f>
        <v>Technology</v>
      </c>
    </row>
    <row r="1254" spans="1:14" x14ac:dyDescent="0.3">
      <c r="A1254" s="1">
        <v>45841</v>
      </c>
      <c r="B1254">
        <v>494.88705444335938</v>
      </c>
      <c r="C1254">
        <v>496.16684061465651</v>
      </c>
      <c r="D1254">
        <v>489.52985154651481</v>
      </c>
      <c r="E1254">
        <v>489.8969147231798</v>
      </c>
      <c r="F1254">
        <v>13984800</v>
      </c>
      <c r="G1254" s="2" t="s">
        <v>14</v>
      </c>
      <c r="H1254">
        <v>1.578124589910912</v>
      </c>
      <c r="I1254">
        <v>109.09230652590463</v>
      </c>
      <c r="J1254">
        <v>452.09952880859373</v>
      </c>
      <c r="K1254">
        <v>0.85511818574063525</v>
      </c>
      <c r="L1254">
        <v>0</v>
      </c>
      <c r="M1254" t="str">
        <f>VLOOKUP(fact_daily_prices[[#This Row],[Ticker]], dim_company[], 2, FALSE)</f>
        <v>Microsoft Corp.</v>
      </c>
      <c r="N1254" t="str">
        <f>VLOOKUP(fact_daily_prices[[#This Row],[Ticker]], dim_company[], 3, FALSE)</f>
        <v>Technology</v>
      </c>
    </row>
    <row r="1255" spans="1:14" x14ac:dyDescent="0.3">
      <c r="A1255" s="1">
        <v>45845</v>
      </c>
      <c r="B1255">
        <v>493.77593994140631</v>
      </c>
      <c r="C1255">
        <v>494.79777674550991</v>
      </c>
      <c r="D1255">
        <v>491.30568102995409</v>
      </c>
      <c r="E1255">
        <v>493.43863782192778</v>
      </c>
      <c r="F1255">
        <v>13981600</v>
      </c>
      <c r="G1255" s="2" t="s">
        <v>14</v>
      </c>
      <c r="H1255">
        <v>-0.22451880524594348</v>
      </c>
      <c r="I1255">
        <v>108.84737378267741</v>
      </c>
      <c r="J1255">
        <v>454.56019531250001</v>
      </c>
      <c r="K1255">
        <v>0.81273002191391963</v>
      </c>
      <c r="L1255">
        <v>0</v>
      </c>
      <c r="M1255" t="str">
        <f>VLOOKUP(fact_daily_prices[[#This Row],[Ticker]], dim_company[], 2, FALSE)</f>
        <v>Microsoft Corp.</v>
      </c>
      <c r="N1255" t="str">
        <f>VLOOKUP(fact_daily_prices[[#This Row],[Ticker]], dim_company[], 3, FALSE)</f>
        <v>Technology</v>
      </c>
    </row>
    <row r="1256" spans="1:14" x14ac:dyDescent="0.3">
      <c r="A1256" s="1">
        <v>45846</v>
      </c>
      <c r="B1256">
        <v>492.68466186523438</v>
      </c>
      <c r="C1256">
        <v>494.2521585292929</v>
      </c>
      <c r="D1256">
        <v>490.1945420053533</v>
      </c>
      <c r="E1256">
        <v>493.29974399578282</v>
      </c>
      <c r="F1256">
        <v>11846600</v>
      </c>
      <c r="G1256" s="2" t="s">
        <v>14</v>
      </c>
      <c r="H1256">
        <v>-0.22100673360095913</v>
      </c>
      <c r="I1256">
        <v>108.6068137572699</v>
      </c>
      <c r="J1256">
        <v>456.74335205078125</v>
      </c>
      <c r="K1256">
        <v>0.81783592193009447</v>
      </c>
      <c r="L1256">
        <v>0</v>
      </c>
      <c r="M1256" t="str">
        <f>VLOOKUP(fact_daily_prices[[#This Row],[Ticker]], dim_company[], 2, FALSE)</f>
        <v>Microsoft Corp.</v>
      </c>
      <c r="N1256" t="str">
        <f>VLOOKUP(fact_daily_prices[[#This Row],[Ticker]], dim_company[], 3, FALSE)</f>
        <v>Technology</v>
      </c>
    </row>
    <row r="1257" spans="1:14" x14ac:dyDescent="0.3">
      <c r="A1257" s="1">
        <v>45847</v>
      </c>
      <c r="B1257">
        <v>499.52008056640631</v>
      </c>
      <c r="C1257">
        <v>502.76415743455226</v>
      </c>
      <c r="D1257">
        <v>495.77993553758449</v>
      </c>
      <c r="E1257">
        <v>496.3354955466416</v>
      </c>
      <c r="F1257">
        <v>18659500</v>
      </c>
      <c r="G1257" s="2" t="s">
        <v>14</v>
      </c>
      <c r="H1257">
        <v>1.3873820782839053</v>
      </c>
      <c r="I1257">
        <v>110.11360522713345</v>
      </c>
      <c r="J1257">
        <v>458.97310363769532</v>
      </c>
      <c r="K1257">
        <v>0.80163430526432067</v>
      </c>
      <c r="L1257">
        <v>0</v>
      </c>
      <c r="M1257" t="str">
        <f>VLOOKUP(fact_daily_prices[[#This Row],[Ticker]], dim_company[], 2, FALSE)</f>
        <v>Microsoft Corp.</v>
      </c>
      <c r="N1257" t="str">
        <f>VLOOKUP(fact_daily_prices[[#This Row],[Ticker]], dim_company[], 3, FALSE)</f>
        <v>Technology</v>
      </c>
    </row>
    <row r="1258" spans="1:14" x14ac:dyDescent="0.3">
      <c r="A1258" s="1">
        <v>45848</v>
      </c>
      <c r="B1258">
        <v>497.50613403320313</v>
      </c>
      <c r="C1258">
        <v>500.44266963447433</v>
      </c>
      <c r="D1258">
        <v>493.80568076476749</v>
      </c>
      <c r="E1258">
        <v>499.06366987607214</v>
      </c>
      <c r="F1258">
        <v>16492100</v>
      </c>
      <c r="G1258" s="2" t="s">
        <v>14</v>
      </c>
      <c r="H1258">
        <v>-0.40317629091498608</v>
      </c>
      <c r="I1258">
        <v>109.66965327778591</v>
      </c>
      <c r="J1258">
        <v>461.17624145507813</v>
      </c>
      <c r="K1258">
        <v>0.72307504186051685</v>
      </c>
      <c r="L1258">
        <v>0</v>
      </c>
      <c r="M1258" t="str">
        <f>VLOOKUP(fact_daily_prices[[#This Row],[Ticker]], dim_company[], 2, FALSE)</f>
        <v>Microsoft Corp.</v>
      </c>
      <c r="N1258" t="str">
        <f>VLOOKUP(fact_daily_prices[[#This Row],[Ticker]], dim_company[], 3, FALSE)</f>
        <v>Technology</v>
      </c>
    </row>
    <row r="1259" spans="1:14" x14ac:dyDescent="0.3">
      <c r="A1259" s="1">
        <v>45849</v>
      </c>
      <c r="B1259">
        <v>499.33157348632813</v>
      </c>
      <c r="C1259">
        <v>501.02801454070158</v>
      </c>
      <c r="D1259">
        <v>493.85529597280816</v>
      </c>
      <c r="E1259">
        <v>494.5200000462786</v>
      </c>
      <c r="F1259">
        <v>16459500</v>
      </c>
      <c r="G1259" s="2" t="s">
        <v>14</v>
      </c>
      <c r="H1259">
        <v>0.36691797914660818</v>
      </c>
      <c r="I1259">
        <v>110.07205095332986</v>
      </c>
      <c r="J1259">
        <v>463.35884948730467</v>
      </c>
      <c r="K1259">
        <v>0.6975854654223953</v>
      </c>
      <c r="L1259">
        <v>0</v>
      </c>
      <c r="M1259" t="str">
        <f>VLOOKUP(fact_daily_prices[[#This Row],[Ticker]], dim_company[], 2, FALSE)</f>
        <v>Microsoft Corp.</v>
      </c>
      <c r="N1259" t="str">
        <f>VLOOKUP(fact_daily_prices[[#This Row],[Ticker]], dim_company[], 3, FALSE)</f>
        <v>Technology</v>
      </c>
    </row>
    <row r="1260" spans="1:14" x14ac:dyDescent="0.3">
      <c r="A1260" s="1">
        <v>45852</v>
      </c>
      <c r="B1260">
        <v>499.03390502929688</v>
      </c>
      <c r="C1260">
        <v>499.97638904952419</v>
      </c>
      <c r="D1260">
        <v>497.05968408515992</v>
      </c>
      <c r="E1260">
        <v>497.54579148730483</v>
      </c>
      <c r="F1260">
        <v>12058800</v>
      </c>
      <c r="G1260" s="2" t="s">
        <v>14</v>
      </c>
      <c r="H1260">
        <v>-5.9613385741452696E-2</v>
      </c>
      <c r="I1260">
        <v>110.00643327700152</v>
      </c>
      <c r="J1260">
        <v>465.51134155273439</v>
      </c>
      <c r="K1260">
        <v>0.70104939121386023</v>
      </c>
      <c r="L1260">
        <v>0</v>
      </c>
      <c r="M1260" t="str">
        <f>VLOOKUP(fact_daily_prices[[#This Row],[Ticker]], dim_company[], 2, FALSE)</f>
        <v>Microsoft Corp.</v>
      </c>
      <c r="N1260" t="str">
        <f>VLOOKUP(fact_daily_prices[[#This Row],[Ticker]], dim_company[], 3, FALSE)</f>
        <v>Technology</v>
      </c>
    </row>
    <row r="1261" spans="1:14" x14ac:dyDescent="0.3">
      <c r="A1261" s="1">
        <v>45853</v>
      </c>
      <c r="B1261">
        <v>501.811767578125</v>
      </c>
      <c r="C1261">
        <v>504.27209608344839</v>
      </c>
      <c r="D1261">
        <v>498.80577924001648</v>
      </c>
      <c r="E1261">
        <v>499.03393728805895</v>
      </c>
      <c r="F1261">
        <v>14927200</v>
      </c>
      <c r="G1261" s="2" t="s">
        <v>14</v>
      </c>
      <c r="H1261">
        <v>0.55664805954718233</v>
      </c>
      <c r="I1261">
        <v>110.61878195321502</v>
      </c>
      <c r="J1261">
        <v>467.12246398925782</v>
      </c>
      <c r="K1261">
        <v>0.70243262065717982</v>
      </c>
      <c r="L1261">
        <v>0</v>
      </c>
      <c r="M1261" t="str">
        <f>VLOOKUP(fact_daily_prices[[#This Row],[Ticker]], dim_company[], 2, FALSE)</f>
        <v>Microsoft Corp.</v>
      </c>
      <c r="N1261" t="str">
        <f>VLOOKUP(fact_daily_prices[[#This Row],[Ticker]], dim_company[], 3, FALSE)</f>
        <v>Technology</v>
      </c>
    </row>
    <row r="1262" spans="1:14" x14ac:dyDescent="0.3">
      <c r="A1262" s="1">
        <v>45854</v>
      </c>
      <c r="B1262">
        <v>501.61331176757813</v>
      </c>
      <c r="C1262">
        <v>502.70460109528977</v>
      </c>
      <c r="D1262">
        <v>497.9128887743687</v>
      </c>
      <c r="E1262">
        <v>501.17679603649344</v>
      </c>
      <c r="F1262">
        <v>15154400</v>
      </c>
      <c r="G1262" s="2" t="s">
        <v>14</v>
      </c>
      <c r="H1262">
        <v>-3.9547859051747292E-2</v>
      </c>
      <c r="I1262">
        <v>110.5750345932434</v>
      </c>
      <c r="J1262">
        <v>468.53394226074221</v>
      </c>
      <c r="K1262">
        <v>0.70539215783106934</v>
      </c>
      <c r="L1262">
        <v>0</v>
      </c>
      <c r="M1262" t="str">
        <f>VLOOKUP(fact_daily_prices[[#This Row],[Ticker]], dim_company[], 2, FALSE)</f>
        <v>Microsoft Corp.</v>
      </c>
      <c r="N1262" t="str">
        <f>VLOOKUP(fact_daily_prices[[#This Row],[Ticker]], dim_company[], 3, FALSE)</f>
        <v>Technology</v>
      </c>
    </row>
    <row r="1263" spans="1:14" x14ac:dyDescent="0.3">
      <c r="A1263" s="1">
        <v>45855</v>
      </c>
      <c r="B1263">
        <v>507.6451416015625</v>
      </c>
      <c r="C1263">
        <v>509.30189104591358</v>
      </c>
      <c r="D1263">
        <v>501.61330446479718</v>
      </c>
      <c r="E1263">
        <v>501.67282658401052</v>
      </c>
      <c r="F1263">
        <v>17503100</v>
      </c>
      <c r="G1263" s="2" t="s">
        <v>14</v>
      </c>
      <c r="H1263">
        <v>1.2024859971776936</v>
      </c>
      <c r="I1263">
        <v>111.90468390060153</v>
      </c>
      <c r="J1263">
        <v>470.04843017578128</v>
      </c>
      <c r="K1263">
        <v>0.72391097216067335</v>
      </c>
      <c r="L1263">
        <v>0</v>
      </c>
      <c r="M1263" t="str">
        <f>VLOOKUP(fact_daily_prices[[#This Row],[Ticker]], dim_company[], 2, FALSE)</f>
        <v>Microsoft Corp.</v>
      </c>
      <c r="N1263" t="str">
        <f>VLOOKUP(fact_daily_prices[[#This Row],[Ticker]], dim_company[], 3, FALSE)</f>
        <v>Technology</v>
      </c>
    </row>
    <row r="1264" spans="1:14" x14ac:dyDescent="0.3">
      <c r="A1264" s="1">
        <v>45856</v>
      </c>
      <c r="B1264">
        <v>506.00820922851563</v>
      </c>
      <c r="C1264">
        <v>510.56186342914918</v>
      </c>
      <c r="D1264">
        <v>503.40897568442313</v>
      </c>
      <c r="E1264">
        <v>510.40309740500038</v>
      </c>
      <c r="F1264">
        <v>21209700</v>
      </c>
      <c r="G1264" s="2" t="s">
        <v>14</v>
      </c>
      <c r="H1264">
        <v>-0.32245603058123073</v>
      </c>
      <c r="I1264">
        <v>111.54384049886117</v>
      </c>
      <c r="J1264">
        <v>471.58682250976563</v>
      </c>
      <c r="K1264">
        <v>0.73350045675219244</v>
      </c>
      <c r="L1264">
        <v>0</v>
      </c>
      <c r="M1264" t="str">
        <f>VLOOKUP(fact_daily_prices[[#This Row],[Ticker]], dim_company[], 2, FALSE)</f>
        <v>Microsoft Corp.</v>
      </c>
      <c r="N1264" t="str">
        <f>VLOOKUP(fact_daily_prices[[#This Row],[Ticker]], dim_company[], 3, FALSE)</f>
        <v>Technology</v>
      </c>
    </row>
    <row r="1265" spans="1:14" x14ac:dyDescent="0.3">
      <c r="A1265" s="1">
        <v>45859</v>
      </c>
      <c r="B1265">
        <v>506.01815795898438</v>
      </c>
      <c r="C1265">
        <v>508.03210080948105</v>
      </c>
      <c r="D1265">
        <v>501.54388660874696</v>
      </c>
      <c r="E1265">
        <v>502.69469811942383</v>
      </c>
      <c r="F1265">
        <v>14066800</v>
      </c>
      <c r="G1265" s="2" t="s">
        <v>14</v>
      </c>
      <c r="H1265">
        <v>1.9661203686682782E-3</v>
      </c>
      <c r="I1265">
        <v>111.54603358502922</v>
      </c>
      <c r="J1265">
        <v>473.12462158203124</v>
      </c>
      <c r="K1265">
        <v>0.72941080150228466</v>
      </c>
      <c r="L1265">
        <v>0</v>
      </c>
      <c r="M1265" t="str">
        <f>VLOOKUP(fact_daily_prices[[#This Row],[Ticker]], dim_company[], 2, FALSE)</f>
        <v>Microsoft Corp.</v>
      </c>
      <c r="N1265" t="str">
        <f>VLOOKUP(fact_daily_prices[[#This Row],[Ticker]], dim_company[], 3, FALSE)</f>
        <v>Technology</v>
      </c>
    </row>
    <row r="1266" spans="1:14" x14ac:dyDescent="0.3">
      <c r="A1266" s="1">
        <v>45860</v>
      </c>
      <c r="B1266">
        <v>501.26608276367188</v>
      </c>
      <c r="C1266">
        <v>507.14911472968191</v>
      </c>
      <c r="D1266">
        <v>501.26608276367188</v>
      </c>
      <c r="E1266">
        <v>506.92092641726231</v>
      </c>
      <c r="F1266">
        <v>13868600</v>
      </c>
      <c r="G1266" s="2" t="s">
        <v>14</v>
      </c>
      <c r="H1266">
        <v>-0.93911159522019894</v>
      </c>
      <c r="I1266">
        <v>110.49849184962399</v>
      </c>
      <c r="J1266">
        <v>474.4719177246094</v>
      </c>
      <c r="K1266">
        <v>0.76083269743702509</v>
      </c>
      <c r="L1266">
        <v>0</v>
      </c>
      <c r="M1266" t="str">
        <f>VLOOKUP(fact_daily_prices[[#This Row],[Ticker]], dim_company[], 2, FALSE)</f>
        <v>Microsoft Corp.</v>
      </c>
      <c r="N1266" t="str">
        <f>VLOOKUP(fact_daily_prices[[#This Row],[Ticker]], dim_company[], 3, FALSE)</f>
        <v>Technology</v>
      </c>
    </row>
    <row r="1267" spans="1:14" x14ac:dyDescent="0.3">
      <c r="A1267" s="1">
        <v>45861</v>
      </c>
      <c r="B1267">
        <v>501.861328125</v>
      </c>
      <c r="C1267">
        <v>502.7740510878013</v>
      </c>
      <c r="D1267">
        <v>496.73231372462322</v>
      </c>
      <c r="E1267">
        <v>502.73435958270181</v>
      </c>
      <c r="F1267">
        <v>16396600</v>
      </c>
      <c r="G1267" s="2" t="s">
        <v>14</v>
      </c>
      <c r="H1267">
        <v>0.1187483817070456</v>
      </c>
      <c r="I1267">
        <v>110.62970702050609</v>
      </c>
      <c r="J1267">
        <v>475.82002868652341</v>
      </c>
      <c r="K1267">
        <v>0.75950254828077823</v>
      </c>
      <c r="L1267">
        <v>0</v>
      </c>
      <c r="M1267" t="str">
        <f>VLOOKUP(fact_daily_prices[[#This Row],[Ticker]], dim_company[], 2, FALSE)</f>
        <v>Microsoft Corp.</v>
      </c>
      <c r="N1267" t="str">
        <f>VLOOKUP(fact_daily_prices[[#This Row],[Ticker]], dim_company[], 3, FALSE)</f>
        <v>Technology</v>
      </c>
    </row>
    <row r="1268" spans="1:14" x14ac:dyDescent="0.3">
      <c r="A1268" s="1">
        <v>45862</v>
      </c>
      <c r="B1268">
        <v>506.8316650390625</v>
      </c>
      <c r="C1268">
        <v>509.59953458867511</v>
      </c>
      <c r="D1268">
        <v>503.28001689239056</v>
      </c>
      <c r="E1268">
        <v>504.73836945889838</v>
      </c>
      <c r="F1268">
        <v>16107000</v>
      </c>
      <c r="G1268" s="2" t="s">
        <v>14</v>
      </c>
      <c r="H1268">
        <v>0.99038053651834268</v>
      </c>
      <c r="I1268">
        <v>111.72536210644446</v>
      </c>
      <c r="J1268">
        <v>477.05899719238283</v>
      </c>
      <c r="K1268">
        <v>0.76261939887439079</v>
      </c>
      <c r="L1268">
        <v>0</v>
      </c>
      <c r="M1268" t="str">
        <f>VLOOKUP(fact_daily_prices[[#This Row],[Ticker]], dim_company[], 2, FALSE)</f>
        <v>Microsoft Corp.</v>
      </c>
      <c r="N1268" t="str">
        <f>VLOOKUP(fact_daily_prices[[#This Row],[Ticker]], dim_company[], 3, FALSE)</f>
        <v>Technology</v>
      </c>
    </row>
    <row r="1269" spans="1:14" x14ac:dyDescent="0.3">
      <c r="A1269" s="1">
        <v>45863</v>
      </c>
      <c r="B1269">
        <v>509.63925170898438</v>
      </c>
      <c r="C1269">
        <v>514.18291501461329</v>
      </c>
      <c r="D1269">
        <v>506.31576163920568</v>
      </c>
      <c r="E1269">
        <v>508.409026924469</v>
      </c>
      <c r="F1269">
        <v>19125700</v>
      </c>
      <c r="G1269" s="2" t="s">
        <v>14</v>
      </c>
      <c r="H1269">
        <v>0.55394855207113736</v>
      </c>
      <c r="I1269">
        <v>112.34426313212933</v>
      </c>
      <c r="J1269">
        <v>478.35649414062499</v>
      </c>
      <c r="K1269">
        <v>0.76418469912577636</v>
      </c>
      <c r="L1269">
        <v>0</v>
      </c>
      <c r="M1269" t="str">
        <f>VLOOKUP(fact_daily_prices[[#This Row],[Ticker]], dim_company[], 2, FALSE)</f>
        <v>Microsoft Corp.</v>
      </c>
      <c r="N1269" t="str">
        <f>VLOOKUP(fact_daily_prices[[#This Row],[Ticker]], dim_company[], 3, FALSE)</f>
        <v>Technology</v>
      </c>
    </row>
    <row r="1270" spans="1:14" x14ac:dyDescent="0.3">
      <c r="A1270" s="1">
        <v>45866</v>
      </c>
      <c r="B1270">
        <v>508.4388427734375</v>
      </c>
      <c r="C1270">
        <v>510.91903225038106</v>
      </c>
      <c r="D1270">
        <v>506.07769754726712</v>
      </c>
      <c r="E1270">
        <v>510.00633947728608</v>
      </c>
      <c r="F1270">
        <v>14308000</v>
      </c>
      <c r="G1270" s="2" t="s">
        <v>14</v>
      </c>
      <c r="H1270">
        <v>-0.23554091085439266</v>
      </c>
      <c r="I1270">
        <v>112.07964643145527</v>
      </c>
      <c r="J1270">
        <v>479.55472412109373</v>
      </c>
      <c r="K1270">
        <v>0.74363992395180345</v>
      </c>
      <c r="L1270">
        <v>0</v>
      </c>
      <c r="M1270" t="str">
        <f>VLOOKUP(fact_daily_prices[[#This Row],[Ticker]], dim_company[], 2, FALSE)</f>
        <v>Microsoft Corp.</v>
      </c>
      <c r="N1270" t="str">
        <f>VLOOKUP(fact_daily_prices[[#This Row],[Ticker]], dim_company[], 3, FALSE)</f>
        <v>Technology</v>
      </c>
    </row>
    <row r="1271" spans="1:14" x14ac:dyDescent="0.3">
      <c r="A1271" s="1">
        <v>45867</v>
      </c>
      <c r="B1271">
        <v>508.50827026367188</v>
      </c>
      <c r="C1271">
        <v>513.51824064968957</v>
      </c>
      <c r="D1271">
        <v>507.5062640761688</v>
      </c>
      <c r="E1271">
        <v>511.44483625807231</v>
      </c>
      <c r="F1271">
        <v>16469200</v>
      </c>
      <c r="G1271" s="2" t="s">
        <v>14</v>
      </c>
      <c r="H1271">
        <v>1.365503269885604E-2</v>
      </c>
      <c r="I1271">
        <v>112.09495094382422</v>
      </c>
      <c r="J1271">
        <v>480.73410400390622</v>
      </c>
      <c r="K1271">
        <v>0.71840490085342201</v>
      </c>
      <c r="L1271">
        <v>0</v>
      </c>
      <c r="M1271" t="str">
        <f>VLOOKUP(fact_daily_prices[[#This Row],[Ticker]], dim_company[], 2, FALSE)</f>
        <v>Microsoft Corp.</v>
      </c>
      <c r="N1271" t="str">
        <f>VLOOKUP(fact_daily_prices[[#This Row],[Ticker]], dim_company[], 3, FALSE)</f>
        <v>Technology</v>
      </c>
    </row>
    <row r="1272" spans="1:14" x14ac:dyDescent="0.3">
      <c r="A1272" s="1">
        <v>45868</v>
      </c>
      <c r="B1272">
        <v>509.1729736328125</v>
      </c>
      <c r="C1272">
        <v>511.86152084792241</v>
      </c>
      <c r="D1272">
        <v>505.40309770511885</v>
      </c>
      <c r="E1272">
        <v>511.08767265961347</v>
      </c>
      <c r="F1272">
        <v>26380400</v>
      </c>
      <c r="G1272" s="2" t="s">
        <v>14</v>
      </c>
      <c r="H1272">
        <v>0.13071633403247684</v>
      </c>
      <c r="I1272">
        <v>112.2414773543335</v>
      </c>
      <c r="J1272">
        <v>481.90415893554689</v>
      </c>
      <c r="K1272">
        <v>0.70895294160546829</v>
      </c>
      <c r="L1272">
        <v>0</v>
      </c>
      <c r="M1272" t="str">
        <f>VLOOKUP(fact_daily_prices[[#This Row],[Ticker]], dim_company[], 2, FALSE)</f>
        <v>Microsoft Corp.</v>
      </c>
      <c r="N1272" t="str">
        <f>VLOOKUP(fact_daily_prices[[#This Row],[Ticker]], dim_company[], 3, FALSE)</f>
        <v>Technology</v>
      </c>
    </row>
    <row r="1273" spans="1:14" x14ac:dyDescent="0.3">
      <c r="A1273" s="1">
        <v>45869</v>
      </c>
      <c r="B1273">
        <v>529.27239990234375</v>
      </c>
      <c r="C1273">
        <v>551.04847420168994</v>
      </c>
      <c r="D1273">
        <v>527.68510296109855</v>
      </c>
      <c r="E1273">
        <v>550.83018605515792</v>
      </c>
      <c r="F1273">
        <v>51617300</v>
      </c>
      <c r="G1273" s="2" t="s">
        <v>14</v>
      </c>
      <c r="H1273">
        <v>3.9474652643338937</v>
      </c>
      <c r="I1273">
        <v>116.67217068507101</v>
      </c>
      <c r="J1273">
        <v>483.38493103027344</v>
      </c>
      <c r="K1273">
        <v>0.97533534128886312</v>
      </c>
      <c r="L1273">
        <v>1</v>
      </c>
      <c r="M1273" t="str">
        <f>VLOOKUP(fact_daily_prices[[#This Row],[Ticker]], dim_company[], 2, FALSE)</f>
        <v>Microsoft Corp.</v>
      </c>
      <c r="N1273" t="str">
        <f>VLOOKUP(fact_daily_prices[[#This Row],[Ticker]], dim_company[], 3, FALSE)</f>
        <v>Technology</v>
      </c>
    </row>
    <row r="1274" spans="1:14" x14ac:dyDescent="0.3">
      <c r="A1274" s="1">
        <v>45870</v>
      </c>
      <c r="B1274">
        <v>519.95684814453125</v>
      </c>
      <c r="C1274">
        <v>531.55421700625652</v>
      </c>
      <c r="D1274">
        <v>516.73260170065521</v>
      </c>
      <c r="E1274">
        <v>530.7605684534492</v>
      </c>
      <c r="F1274">
        <v>28977600</v>
      </c>
      <c r="G1274" s="2" t="s">
        <v>14</v>
      </c>
      <c r="H1274">
        <v>-1.7600675492489892</v>
      </c>
      <c r="I1274">
        <v>114.61866166983867</v>
      </c>
      <c r="J1274">
        <v>484.69328063964844</v>
      </c>
      <c r="K1274">
        <v>1.0497395403704877</v>
      </c>
      <c r="L1274">
        <v>0</v>
      </c>
      <c r="M1274" t="str">
        <f>VLOOKUP(fact_daily_prices[[#This Row],[Ticker]], dim_company[], 2, FALSE)</f>
        <v>Microsoft Corp.</v>
      </c>
      <c r="N1274" t="str">
        <f>VLOOKUP(fact_daily_prices[[#This Row],[Ticker]], dim_company[], 3, FALSE)</f>
        <v>Technology</v>
      </c>
    </row>
    <row r="1275" spans="1:14" x14ac:dyDescent="0.3">
      <c r="A1275" s="1">
        <v>45873</v>
      </c>
      <c r="B1275">
        <v>531.39544677734375</v>
      </c>
      <c r="C1275">
        <v>533.98474984292261</v>
      </c>
      <c r="D1275">
        <v>523.94494852185812</v>
      </c>
      <c r="E1275">
        <v>524.08385365334016</v>
      </c>
      <c r="F1275">
        <v>25349000</v>
      </c>
      <c r="G1275" s="2" t="s">
        <v>14</v>
      </c>
      <c r="H1275">
        <v>2.1999130646381815</v>
      </c>
      <c r="I1275">
        <v>117.1401725824269</v>
      </c>
      <c r="J1275">
        <v>486.34151550292967</v>
      </c>
      <c r="K1275">
        <v>1.0911616101455317</v>
      </c>
      <c r="L1275">
        <v>0</v>
      </c>
      <c r="M1275" t="str">
        <f>VLOOKUP(fact_daily_prices[[#This Row],[Ticker]], dim_company[], 2, FALSE)</f>
        <v>Microsoft Corp.</v>
      </c>
      <c r="N1275" t="str">
        <f>VLOOKUP(fact_daily_prices[[#This Row],[Ticker]], dim_company[], 3, FALSE)</f>
        <v>Technology</v>
      </c>
    </row>
    <row r="1276" spans="1:14" x14ac:dyDescent="0.3">
      <c r="A1276" s="1">
        <v>45874</v>
      </c>
      <c r="B1276">
        <v>523.56793212890625</v>
      </c>
      <c r="C1276">
        <v>533.04224261800323</v>
      </c>
      <c r="D1276">
        <v>523.06196385158967</v>
      </c>
      <c r="E1276">
        <v>532.92319838233971</v>
      </c>
      <c r="F1276">
        <v>19171600</v>
      </c>
      <c r="G1276" s="2" t="s">
        <v>14</v>
      </c>
      <c r="H1276">
        <v>-1.4730112378469884</v>
      </c>
      <c r="I1276">
        <v>115.4146846762544</v>
      </c>
      <c r="J1276">
        <v>487.78776306152344</v>
      </c>
      <c r="K1276">
        <v>1.1087496094511613</v>
      </c>
      <c r="L1276">
        <v>0</v>
      </c>
      <c r="M1276" t="str">
        <f>VLOOKUP(fact_daily_prices[[#This Row],[Ticker]], dim_company[], 2, FALSE)</f>
        <v>Microsoft Corp.</v>
      </c>
      <c r="N1276" t="str">
        <f>VLOOKUP(fact_daily_prices[[#This Row],[Ticker]], dim_company[], 3, FALSE)</f>
        <v>Technology</v>
      </c>
    </row>
    <row r="1277" spans="1:14" x14ac:dyDescent="0.3">
      <c r="A1277" s="1">
        <v>45875</v>
      </c>
      <c r="B1277">
        <v>520.78021240234375</v>
      </c>
      <c r="C1277">
        <v>527.4866537198485</v>
      </c>
      <c r="D1277">
        <v>519.8774501718309</v>
      </c>
      <c r="E1277">
        <v>526.69300528230531</v>
      </c>
      <c r="F1277">
        <v>21355700</v>
      </c>
      <c r="G1277" s="2" t="s">
        <v>14</v>
      </c>
      <c r="H1277">
        <v>-0.532446613990889</v>
      </c>
      <c r="I1277">
        <v>114.80016309564742</v>
      </c>
      <c r="J1277">
        <v>489.27111450195315</v>
      </c>
      <c r="K1277">
        <v>1.1130867477777895</v>
      </c>
      <c r="L1277">
        <v>0</v>
      </c>
      <c r="M1277" t="str">
        <f>VLOOKUP(fact_daily_prices[[#This Row],[Ticker]], dim_company[], 2, FALSE)</f>
        <v>Microsoft Corp.</v>
      </c>
      <c r="N1277" t="str">
        <f>VLOOKUP(fact_daily_prices[[#This Row],[Ticker]], dim_company[], 3, FALSE)</f>
        <v>Technology</v>
      </c>
    </row>
    <row r="1278" spans="1:14" x14ac:dyDescent="0.3">
      <c r="A1278" s="1">
        <v>45876</v>
      </c>
      <c r="B1278">
        <v>516.7127685546875</v>
      </c>
      <c r="C1278">
        <v>523.9053178574718</v>
      </c>
      <c r="D1278">
        <v>513.44880053191264</v>
      </c>
      <c r="E1278">
        <v>522.62550136649952</v>
      </c>
      <c r="F1278">
        <v>16079100</v>
      </c>
      <c r="G1278" s="2" t="s">
        <v>14</v>
      </c>
      <c r="H1278">
        <v>-0.78102887759372575</v>
      </c>
      <c r="I1278">
        <v>113.90354067034572</v>
      </c>
      <c r="J1278">
        <v>490.46458251953123</v>
      </c>
      <c r="K1278">
        <v>1.1275579462105318</v>
      </c>
      <c r="L1278">
        <v>0</v>
      </c>
      <c r="M1278" t="str">
        <f>VLOOKUP(fact_daily_prices[[#This Row],[Ticker]], dim_company[], 2, FALSE)</f>
        <v>Microsoft Corp.</v>
      </c>
      <c r="N1278" t="str">
        <f>VLOOKUP(fact_daily_prices[[#This Row],[Ticker]], dim_company[], 3, FALSE)</f>
        <v>Technology</v>
      </c>
    </row>
    <row r="1279" spans="1:14" x14ac:dyDescent="0.3">
      <c r="A1279" s="1">
        <v>45877</v>
      </c>
      <c r="B1279">
        <v>517.9031982421875</v>
      </c>
      <c r="C1279">
        <v>520.50243184053704</v>
      </c>
      <c r="D1279">
        <v>515.29403419818425</v>
      </c>
      <c r="E1279">
        <v>518.45875823531185</v>
      </c>
      <c r="F1279">
        <v>21697800</v>
      </c>
      <c r="G1279" s="2" t="s">
        <v>14</v>
      </c>
      <c r="H1279">
        <v>0.23038518882159131</v>
      </c>
      <c r="I1279">
        <v>114.16595755759357</v>
      </c>
      <c r="J1279">
        <v>491.74793151855471</v>
      </c>
      <c r="K1279">
        <v>1.1159177908799385</v>
      </c>
      <c r="L1279">
        <v>0</v>
      </c>
      <c r="M1279" t="str">
        <f>VLOOKUP(fact_daily_prices[[#This Row],[Ticker]], dim_company[], 2, FALSE)</f>
        <v>Microsoft Corp.</v>
      </c>
      <c r="N1279" t="str">
        <f>VLOOKUP(fact_daily_prices[[#This Row],[Ticker]], dim_company[], 3, FALSE)</f>
        <v>Technology</v>
      </c>
    </row>
    <row r="1280" spans="1:14" x14ac:dyDescent="0.3">
      <c r="A1280" s="1">
        <v>45880</v>
      </c>
      <c r="B1280">
        <v>517.63531494140625</v>
      </c>
      <c r="C1280">
        <v>523.40920230837253</v>
      </c>
      <c r="D1280">
        <v>515.60151148189527</v>
      </c>
      <c r="E1280">
        <v>518.16108353253799</v>
      </c>
      <c r="F1280">
        <v>20194400</v>
      </c>
      <c r="G1280" s="2" t="s">
        <v>14</v>
      </c>
      <c r="H1280">
        <v>-5.1724589014023881E-2</v>
      </c>
      <c r="I1280">
        <v>114.106905685253</v>
      </c>
      <c r="J1280">
        <v>492.99973144531248</v>
      </c>
      <c r="K1280">
        <v>1.1132006608501137</v>
      </c>
      <c r="L1280">
        <v>0</v>
      </c>
      <c r="M1280" t="str">
        <f>VLOOKUP(fact_daily_prices[[#This Row],[Ticker]], dim_company[], 2, FALSE)</f>
        <v>Microsoft Corp.</v>
      </c>
      <c r="N1280" t="str">
        <f>VLOOKUP(fact_daily_prices[[#This Row],[Ticker]], dim_company[], 3, FALSE)</f>
        <v>Technology</v>
      </c>
    </row>
    <row r="1281" spans="1:14" x14ac:dyDescent="0.3">
      <c r="A1281" s="1">
        <v>45881</v>
      </c>
      <c r="B1281">
        <v>525.046142578125</v>
      </c>
      <c r="C1281">
        <v>526.77234463681225</v>
      </c>
      <c r="D1281">
        <v>518.55798918993935</v>
      </c>
      <c r="E1281">
        <v>519.5996565820958</v>
      </c>
      <c r="F1281">
        <v>18667000</v>
      </c>
      <c r="G1281" s="2" t="s">
        <v>14</v>
      </c>
      <c r="H1281">
        <v>1.4316696374468973</v>
      </c>
      <c r="I1281">
        <v>115.74053960817892</v>
      </c>
      <c r="J1281">
        <v>494.36641540527341</v>
      </c>
      <c r="K1281">
        <v>1.136511258524409</v>
      </c>
      <c r="L1281">
        <v>0</v>
      </c>
      <c r="M1281" t="str">
        <f>VLOOKUP(fact_daily_prices[[#This Row],[Ticker]], dim_company[], 2, FALSE)</f>
        <v>Microsoft Corp.</v>
      </c>
      <c r="N1281" t="str">
        <f>VLOOKUP(fact_daily_prices[[#This Row],[Ticker]], dim_company[], 3, FALSE)</f>
        <v>Technology</v>
      </c>
    </row>
    <row r="1282" spans="1:14" x14ac:dyDescent="0.3">
      <c r="A1282" s="1">
        <v>45882</v>
      </c>
      <c r="B1282">
        <v>516.454833984375</v>
      </c>
      <c r="C1282">
        <v>528.47878776794528</v>
      </c>
      <c r="D1282">
        <v>515.25440047465429</v>
      </c>
      <c r="E1282">
        <v>527.89343640661014</v>
      </c>
      <c r="F1282">
        <v>19619200</v>
      </c>
      <c r="G1282" s="2" t="s">
        <v>14</v>
      </c>
      <c r="H1282">
        <v>-1.636295917072017</v>
      </c>
      <c r="I1282">
        <v>113.84668188417318</v>
      </c>
      <c r="J1282">
        <v>495.52932739257813</v>
      </c>
      <c r="K1282">
        <v>1.1626682660635956</v>
      </c>
      <c r="L1282">
        <v>0</v>
      </c>
      <c r="M1282" t="str">
        <f>VLOOKUP(fact_daily_prices[[#This Row],[Ticker]], dim_company[], 2, FALSE)</f>
        <v>Microsoft Corp.</v>
      </c>
      <c r="N1282" t="str">
        <f>VLOOKUP(fact_daily_prices[[#This Row],[Ticker]], dim_company[], 3, FALSE)</f>
        <v>Technology</v>
      </c>
    </row>
    <row r="1283" spans="1:14" x14ac:dyDescent="0.3">
      <c r="A1283" s="1">
        <v>45883</v>
      </c>
      <c r="B1283">
        <v>518.3397216796875</v>
      </c>
      <c r="C1283">
        <v>521.78225604019383</v>
      </c>
      <c r="D1283">
        <v>516.01829831921236</v>
      </c>
      <c r="E1283">
        <v>518.41910469459651</v>
      </c>
      <c r="F1283">
        <v>20269100</v>
      </c>
      <c r="G1283" s="2" t="s">
        <v>14</v>
      </c>
      <c r="H1283">
        <v>0.36496660913614143</v>
      </c>
      <c r="I1283">
        <v>114.26218425865984</v>
      </c>
      <c r="J1283">
        <v>496.71009582519531</v>
      </c>
      <c r="K1283">
        <v>1.1606911178811337</v>
      </c>
      <c r="L1283">
        <v>0</v>
      </c>
      <c r="M1283" t="str">
        <f>VLOOKUP(fact_daily_prices[[#This Row],[Ticker]], dim_company[], 2, FALSE)</f>
        <v>Microsoft Corp.</v>
      </c>
      <c r="N1283" t="str">
        <f>VLOOKUP(fact_daily_prices[[#This Row],[Ticker]], dim_company[], 3, FALSE)</f>
        <v>Technology</v>
      </c>
    </row>
    <row r="1284" spans="1:14" x14ac:dyDescent="0.3">
      <c r="A1284" s="1">
        <v>45884</v>
      </c>
      <c r="B1284">
        <v>516.0479736328125</v>
      </c>
      <c r="C1284">
        <v>521.93097496801818</v>
      </c>
      <c r="D1284">
        <v>514.96664508372078</v>
      </c>
      <c r="E1284">
        <v>518.62740665234196</v>
      </c>
      <c r="F1284">
        <v>25213300</v>
      </c>
      <c r="G1284" s="2" t="s">
        <v>14</v>
      </c>
      <c r="H1284">
        <v>-0.44213243767013966</v>
      </c>
      <c r="I1284">
        <v>113.75699407806191</v>
      </c>
      <c r="J1284">
        <v>497.82717163085937</v>
      </c>
      <c r="K1284">
        <v>1.1371361863907083</v>
      </c>
      <c r="L1284">
        <v>0</v>
      </c>
      <c r="M1284" t="str">
        <f>VLOOKUP(fact_daily_prices[[#This Row],[Ticker]], dim_company[], 2, FALSE)</f>
        <v>Microsoft Corp.</v>
      </c>
      <c r="N1284" t="str">
        <f>VLOOKUP(fact_daily_prices[[#This Row],[Ticker]], dim_company[], 3, FALSE)</f>
        <v>Technology</v>
      </c>
    </row>
    <row r="1285" spans="1:14" x14ac:dyDescent="0.3">
      <c r="A1285" s="1">
        <v>45887</v>
      </c>
      <c r="B1285">
        <v>513.00238037109375</v>
      </c>
      <c r="C1285">
        <v>518.67708552692261</v>
      </c>
      <c r="D1285">
        <v>509.94683045407294</v>
      </c>
      <c r="E1285">
        <v>517.45685164939482</v>
      </c>
      <c r="F1285">
        <v>23760600</v>
      </c>
      <c r="G1285" s="2" t="s">
        <v>14</v>
      </c>
      <c r="H1285">
        <v>-0.59017638230003389</v>
      </c>
      <c r="I1285">
        <v>113.08562716579873</v>
      </c>
      <c r="J1285">
        <v>498.80773986816405</v>
      </c>
      <c r="K1285">
        <v>1.143186549575629</v>
      </c>
      <c r="L1285">
        <v>0</v>
      </c>
      <c r="M1285" t="str">
        <f>VLOOKUP(fact_daily_prices[[#This Row],[Ticker]], dim_company[], 2, FALSE)</f>
        <v>Microsoft Corp.</v>
      </c>
      <c r="N1285" t="str">
        <f>VLOOKUP(fact_daily_prices[[#This Row],[Ticker]], dim_company[], 3, FALSE)</f>
        <v>Technology</v>
      </c>
    </row>
    <row r="1286" spans="1:14" x14ac:dyDescent="0.3">
      <c r="A1286" s="1">
        <v>45888</v>
      </c>
      <c r="B1286">
        <v>505.73040771484375</v>
      </c>
      <c r="C1286">
        <v>511.07767987841351</v>
      </c>
      <c r="D1286">
        <v>504.52007417607939</v>
      </c>
      <c r="E1286">
        <v>510.91897441251552</v>
      </c>
      <c r="F1286">
        <v>21481000</v>
      </c>
      <c r="G1286" s="2" t="s">
        <v>14</v>
      </c>
      <c r="H1286">
        <v>-1.4175319519939888</v>
      </c>
      <c r="I1286">
        <v>111.48260226761073</v>
      </c>
      <c r="J1286">
        <v>499.589296875</v>
      </c>
      <c r="K1286">
        <v>1.1763778957523783</v>
      </c>
      <c r="L1286">
        <v>0</v>
      </c>
      <c r="M1286" t="str">
        <f>VLOOKUP(fact_daily_prices[[#This Row],[Ticker]], dim_company[], 2, FALSE)</f>
        <v>Microsoft Corp.</v>
      </c>
      <c r="N1286" t="str">
        <f>VLOOKUP(fact_daily_prices[[#This Row],[Ticker]], dim_company[], 3, FALSE)</f>
        <v>Technology</v>
      </c>
    </row>
    <row r="1287" spans="1:14" x14ac:dyDescent="0.3">
      <c r="A1287" s="1">
        <v>45889</v>
      </c>
      <c r="B1287">
        <v>501.71255493164063</v>
      </c>
      <c r="C1287">
        <v>506.95071373730929</v>
      </c>
      <c r="D1287">
        <v>500.44269916892551</v>
      </c>
      <c r="E1287">
        <v>505.82966328355502</v>
      </c>
      <c r="F1287">
        <v>27723000</v>
      </c>
      <c r="G1287" s="2" t="s">
        <v>14</v>
      </c>
      <c r="H1287">
        <v>-0.79446533605876946</v>
      </c>
      <c r="I1287">
        <v>110.59691163685829</v>
      </c>
      <c r="J1287">
        <v>500.2434716796875</v>
      </c>
      <c r="K1287">
        <v>1.1609890744100726</v>
      </c>
      <c r="L1287">
        <v>0</v>
      </c>
      <c r="M1287" t="str">
        <f>VLOOKUP(fact_daily_prices[[#This Row],[Ticker]], dim_company[], 2, FALSE)</f>
        <v>Microsoft Corp.</v>
      </c>
      <c r="N1287" t="str">
        <f>VLOOKUP(fact_daily_prices[[#This Row],[Ticker]], dim_company[], 3, FALSE)</f>
        <v>Technology</v>
      </c>
    </row>
    <row r="1288" spans="1:14" x14ac:dyDescent="0.3">
      <c r="A1288" s="1">
        <v>45890</v>
      </c>
      <c r="B1288">
        <v>501.06658935546881</v>
      </c>
      <c r="C1288">
        <v>504.43526917193498</v>
      </c>
      <c r="D1288">
        <v>499.55616629167258</v>
      </c>
      <c r="E1288">
        <v>500.5200628741361</v>
      </c>
      <c r="F1288">
        <v>18443300</v>
      </c>
      <c r="G1288" s="2" t="s">
        <v>14</v>
      </c>
      <c r="H1288">
        <v>-0.12875212506089362</v>
      </c>
      <c r="I1288">
        <v>110.45451576287412</v>
      </c>
      <c r="J1288">
        <v>500.92103759765632</v>
      </c>
      <c r="K1288">
        <v>1.1586099729242765</v>
      </c>
      <c r="L1288">
        <v>0</v>
      </c>
      <c r="M1288" t="str">
        <f>VLOOKUP(fact_daily_prices[[#This Row],[Ticker]], dim_company[], 2, FALSE)</f>
        <v>Microsoft Corp.</v>
      </c>
      <c r="N1288" t="str">
        <f>VLOOKUP(fact_daily_prices[[#This Row],[Ticker]], dim_company[], 3, FALSE)</f>
        <v>Technology</v>
      </c>
    </row>
    <row r="1289" spans="1:14" x14ac:dyDescent="0.3">
      <c r="A1289" s="1">
        <v>45891</v>
      </c>
      <c r="B1289">
        <v>504.037841796875</v>
      </c>
      <c r="C1289">
        <v>507.51581511879778</v>
      </c>
      <c r="D1289">
        <v>499.24816840113061</v>
      </c>
      <c r="E1289">
        <v>501.07658502273608</v>
      </c>
      <c r="F1289">
        <v>24324200</v>
      </c>
      <c r="G1289" s="2" t="s">
        <v>14</v>
      </c>
      <c r="H1289">
        <v>0.59298554414257687</v>
      </c>
      <c r="I1289">
        <v>111.10949507420065</v>
      </c>
      <c r="J1289">
        <v>501.62429748535163</v>
      </c>
      <c r="K1289">
        <v>1.1616068029386712</v>
      </c>
      <c r="L1289">
        <v>0</v>
      </c>
      <c r="M1289" t="str">
        <f>VLOOKUP(fact_daily_prices[[#This Row],[Ticker]], dim_company[], 2, FALSE)</f>
        <v>Microsoft Corp.</v>
      </c>
      <c r="N1289" t="str">
        <f>VLOOKUP(fact_daily_prices[[#This Row],[Ticker]], dim_company[], 3, FALSE)</f>
        <v>Technology</v>
      </c>
    </row>
    <row r="1290" spans="1:14" x14ac:dyDescent="0.3">
      <c r="A1290" s="1">
        <v>45894</v>
      </c>
      <c r="B1290">
        <v>501.08651733398438</v>
      </c>
      <c r="C1290">
        <v>504.99177713035527</v>
      </c>
      <c r="D1290">
        <v>500.94738384887239</v>
      </c>
      <c r="E1290">
        <v>503.44159720621536</v>
      </c>
      <c r="F1290">
        <v>21638600</v>
      </c>
      <c r="G1290" s="2" t="s">
        <v>14</v>
      </c>
      <c r="H1290">
        <v>-0.58553628679332004</v>
      </c>
      <c r="I1290">
        <v>110.45890866246837</v>
      </c>
      <c r="J1290">
        <v>502.14452148437505</v>
      </c>
      <c r="K1290">
        <v>1.1670822812548975</v>
      </c>
      <c r="L1290">
        <v>0</v>
      </c>
      <c r="M1290" t="str">
        <f>VLOOKUP(fact_daily_prices[[#This Row],[Ticker]], dim_company[], 2, FALSE)</f>
        <v>Microsoft Corp.</v>
      </c>
      <c r="N1290" t="str">
        <f>VLOOKUP(fact_daily_prices[[#This Row],[Ticker]], dim_company[], 3, FALSE)</f>
        <v>Technology</v>
      </c>
    </row>
    <row r="1291" spans="1:14" x14ac:dyDescent="0.3">
      <c r="A1291" s="1">
        <v>45895</v>
      </c>
      <c r="B1291">
        <v>498.8804931640625</v>
      </c>
      <c r="C1291">
        <v>501.80199313001799</v>
      </c>
      <c r="D1291">
        <v>495.37270991589418</v>
      </c>
      <c r="E1291">
        <v>501.18586953591893</v>
      </c>
      <c r="F1291">
        <v>30835700</v>
      </c>
      <c r="G1291" s="2" t="s">
        <v>14</v>
      </c>
      <c r="H1291">
        <v>-0.44024815947133478</v>
      </c>
      <c r="I1291">
        <v>109.97261535010972</v>
      </c>
      <c r="J1291">
        <v>502.69820556640633</v>
      </c>
      <c r="K1291">
        <v>1.1654726280549947</v>
      </c>
      <c r="L1291">
        <v>0</v>
      </c>
      <c r="M1291" t="str">
        <f>VLOOKUP(fact_daily_prices[[#This Row],[Ticker]], dim_company[], 2, FALSE)</f>
        <v>Microsoft Corp.</v>
      </c>
      <c r="N1291" t="str">
        <f>VLOOKUP(fact_daily_prices[[#This Row],[Ticker]], dim_company[], 3, FALSE)</f>
        <v>Technology</v>
      </c>
    </row>
    <row r="1292" spans="1:14" x14ac:dyDescent="0.3">
      <c r="A1292" s="1">
        <v>45896</v>
      </c>
      <c r="B1292">
        <v>503.5509033203125</v>
      </c>
      <c r="C1292">
        <v>504.09746017877256</v>
      </c>
      <c r="D1292">
        <v>496.75395340313815</v>
      </c>
      <c r="E1292">
        <v>498.84074345480622</v>
      </c>
      <c r="F1292">
        <v>17277900</v>
      </c>
      <c r="G1292" s="2" t="s">
        <v>14</v>
      </c>
      <c r="H1292">
        <v>0.93617814692026347</v>
      </c>
      <c r="I1292">
        <v>111.00215494261414</v>
      </c>
      <c r="J1292">
        <v>503.26236022949229</v>
      </c>
      <c r="K1292">
        <v>1.178251449150576</v>
      </c>
      <c r="L1292">
        <v>0</v>
      </c>
      <c r="M1292" t="str">
        <f>VLOOKUP(fact_daily_prices[[#This Row],[Ticker]], dim_company[], 2, FALSE)</f>
        <v>Microsoft Corp.</v>
      </c>
      <c r="N1292" t="str">
        <f>VLOOKUP(fact_daily_prices[[#This Row],[Ticker]], dim_company[], 3, FALSE)</f>
        <v>Technology</v>
      </c>
    </row>
    <row r="1293" spans="1:14" x14ac:dyDescent="0.3">
      <c r="A1293" s="1">
        <v>45897</v>
      </c>
      <c r="B1293">
        <v>506.43267822265625</v>
      </c>
      <c r="C1293">
        <v>507.8735346885091</v>
      </c>
      <c r="D1293">
        <v>502.31871808211361</v>
      </c>
      <c r="E1293">
        <v>503.89870803701859</v>
      </c>
      <c r="F1293">
        <v>18015600</v>
      </c>
      <c r="G1293" s="2" t="s">
        <v>14</v>
      </c>
      <c r="H1293">
        <v>0.57229068269799566</v>
      </c>
      <c r="I1293">
        <v>111.63740993294471</v>
      </c>
      <c r="J1293">
        <v>503.90597656250009</v>
      </c>
      <c r="K1293">
        <v>1.1619380172590257</v>
      </c>
      <c r="L1293">
        <v>0</v>
      </c>
      <c r="M1293" t="str">
        <f>VLOOKUP(fact_daily_prices[[#This Row],[Ticker]], dim_company[], 2, FALSE)</f>
        <v>Microsoft Corp.</v>
      </c>
      <c r="N1293" t="str">
        <f>VLOOKUP(fact_daily_prices[[#This Row],[Ticker]], dim_company[], 3, FALSE)</f>
        <v>Technology</v>
      </c>
    </row>
    <row r="1294" spans="1:14" x14ac:dyDescent="0.3">
      <c r="A1294" s="1">
        <v>45898</v>
      </c>
      <c r="B1294">
        <v>503.501220703125</v>
      </c>
      <c r="C1294">
        <v>506.39291066950057</v>
      </c>
      <c r="D1294">
        <v>501.31505396120252</v>
      </c>
      <c r="E1294">
        <v>505.45882400027187</v>
      </c>
      <c r="F1294">
        <v>20961600</v>
      </c>
      <c r="G1294" s="2" t="s">
        <v>14</v>
      </c>
      <c r="H1294">
        <v>-0.57884446355620511</v>
      </c>
      <c r="I1294">
        <v>110.99120296629033</v>
      </c>
      <c r="J1294">
        <v>504.44731201171885</v>
      </c>
      <c r="K1294">
        <v>1.1653180270349803</v>
      </c>
      <c r="L1294">
        <v>0</v>
      </c>
      <c r="M1294" t="str">
        <f>VLOOKUP(fact_daily_prices[[#This Row],[Ticker]], dim_company[], 2, FALSE)</f>
        <v>Microsoft Corp.</v>
      </c>
      <c r="N1294" t="str">
        <f>VLOOKUP(fact_daily_prices[[#This Row],[Ticker]], dim_company[], 3, FALSE)</f>
        <v>Technology</v>
      </c>
    </row>
    <row r="1295" spans="1:14" x14ac:dyDescent="0.3">
      <c r="A1295" s="1">
        <v>45902</v>
      </c>
      <c r="B1295">
        <v>501.94107055664063</v>
      </c>
      <c r="C1295">
        <v>502.81553721257154</v>
      </c>
      <c r="D1295">
        <v>493.68337117589061</v>
      </c>
      <c r="E1295">
        <v>497.32034095368414</v>
      </c>
      <c r="F1295">
        <v>18128000</v>
      </c>
      <c r="G1295" s="2" t="s">
        <v>14</v>
      </c>
      <c r="H1295">
        <v>-0.3098602510448023</v>
      </c>
      <c r="I1295">
        <v>110.64728534614132</v>
      </c>
      <c r="J1295">
        <v>505.01379455566416</v>
      </c>
      <c r="K1295">
        <v>1.1665970939453203</v>
      </c>
      <c r="L1295">
        <v>0</v>
      </c>
      <c r="M1295" t="str">
        <f>VLOOKUP(fact_daily_prices[[#This Row],[Ticker]], dim_company[], 2, FALSE)</f>
        <v>Microsoft Corp.</v>
      </c>
      <c r="N1295" t="str">
        <f>VLOOKUP(fact_daily_prices[[#This Row],[Ticker]], dim_company[], 3, FALSE)</f>
        <v>Technology</v>
      </c>
    </row>
    <row r="1296" spans="1:14" x14ac:dyDescent="0.3">
      <c r="A1296" s="1">
        <v>45903</v>
      </c>
      <c r="B1296">
        <v>502.16964721679688</v>
      </c>
      <c r="C1296">
        <v>504.59429379918578</v>
      </c>
      <c r="D1296">
        <v>499.1587173668126</v>
      </c>
      <c r="E1296">
        <v>500.61946731337048</v>
      </c>
      <c r="F1296">
        <v>16345100</v>
      </c>
      <c r="G1296" s="2" t="s">
        <v>14</v>
      </c>
      <c r="H1296">
        <v>4.5538544973577899E-2</v>
      </c>
      <c r="I1296">
        <v>110.69767250994069</v>
      </c>
      <c r="J1296">
        <v>505.41421142578133</v>
      </c>
      <c r="K1296">
        <v>1.1536390735650184</v>
      </c>
      <c r="L1296">
        <v>0</v>
      </c>
      <c r="M1296" t="str">
        <f>VLOOKUP(fact_daily_prices[[#This Row],[Ticker]], dim_company[], 2, FALSE)</f>
        <v>Microsoft Corp.</v>
      </c>
      <c r="N1296" t="str">
        <f>VLOOKUP(fact_daily_prices[[#This Row],[Ticker]], dim_company[], 3, FALSE)</f>
        <v>Technology</v>
      </c>
    </row>
    <row r="1297" spans="1:14" x14ac:dyDescent="0.3">
      <c r="A1297" s="1">
        <v>45904</v>
      </c>
      <c r="B1297">
        <v>504.77316284179688</v>
      </c>
      <c r="C1297">
        <v>504.95202275876863</v>
      </c>
      <c r="D1297">
        <v>499.98348956164301</v>
      </c>
      <c r="E1297">
        <v>501.12624613187791</v>
      </c>
      <c r="F1297">
        <v>15509500</v>
      </c>
      <c r="G1297" s="2" t="s">
        <v>14</v>
      </c>
      <c r="H1297">
        <v>0.5184534030341359</v>
      </c>
      <c r="I1297">
        <v>111.27158836014807</v>
      </c>
      <c r="J1297">
        <v>505.785150756836</v>
      </c>
      <c r="K1297">
        <v>1.1572125656415073</v>
      </c>
      <c r="L1297">
        <v>0</v>
      </c>
      <c r="M1297" t="str">
        <f>VLOOKUP(fact_daily_prices[[#This Row],[Ticker]], dim_company[], 2, FALSE)</f>
        <v>Microsoft Corp.</v>
      </c>
      <c r="N1297" t="str">
        <f>VLOOKUP(fact_daily_prices[[#This Row],[Ticker]], dim_company[], 3, FALSE)</f>
        <v>Technology</v>
      </c>
    </row>
    <row r="1298" spans="1:14" x14ac:dyDescent="0.3">
      <c r="A1298" s="1">
        <v>45905</v>
      </c>
      <c r="B1298">
        <v>491.88479614257813</v>
      </c>
      <c r="C1298">
        <v>508.74799935668892</v>
      </c>
      <c r="D1298">
        <v>489.27134277765646</v>
      </c>
      <c r="E1298">
        <v>505.86625611105882</v>
      </c>
      <c r="F1298">
        <v>31994800</v>
      </c>
      <c r="G1298" s="2" t="s">
        <v>14</v>
      </c>
      <c r="H1298">
        <v>-2.5532987187074641</v>
      </c>
      <c r="I1298">
        <v>108.43049232026296</v>
      </c>
      <c r="J1298">
        <v>505.85546447753916</v>
      </c>
      <c r="K1298">
        <v>1.233681011479018</v>
      </c>
      <c r="L1298">
        <v>0</v>
      </c>
      <c r="M1298" t="str">
        <f>VLOOKUP(fact_daily_prices[[#This Row],[Ticker]], dim_company[], 2, FALSE)</f>
        <v>Microsoft Corp.</v>
      </c>
      <c r="N1298" t="str">
        <f>VLOOKUP(fact_daily_prices[[#This Row],[Ticker]], dim_company[], 3, FALSE)</f>
        <v>Technology</v>
      </c>
    </row>
    <row r="1299" spans="1:14" x14ac:dyDescent="0.3">
      <c r="A1299" s="1">
        <v>45908</v>
      </c>
      <c r="B1299">
        <v>495.06463623046881</v>
      </c>
      <c r="C1299">
        <v>498.04575600626322</v>
      </c>
      <c r="D1299">
        <v>491.91457299081776</v>
      </c>
      <c r="E1299">
        <v>494.97517595073856</v>
      </c>
      <c r="F1299">
        <v>16771000</v>
      </c>
      <c r="G1299" s="2" t="s">
        <v>14</v>
      </c>
      <c r="H1299">
        <v>0.64646033234354583</v>
      </c>
      <c r="I1299">
        <v>109.13145244127828</v>
      </c>
      <c r="J1299">
        <v>505.88659545898446</v>
      </c>
      <c r="K1299">
        <v>1.2354667423407952</v>
      </c>
      <c r="L1299">
        <v>0</v>
      </c>
      <c r="M1299" t="str">
        <f>VLOOKUP(fact_daily_prices[[#This Row],[Ticker]], dim_company[], 2, FALSE)</f>
        <v>Microsoft Corp.</v>
      </c>
      <c r="N1299" t="str">
        <f>VLOOKUP(fact_daily_prices[[#This Row],[Ticker]], dim_company[], 3, FALSE)</f>
        <v>Technology</v>
      </c>
    </row>
    <row r="1300" spans="1:14" x14ac:dyDescent="0.3">
      <c r="A1300" s="1">
        <v>45909</v>
      </c>
      <c r="B1300">
        <v>495.2733154296875</v>
      </c>
      <c r="C1300">
        <v>499.0891451753406</v>
      </c>
      <c r="D1300">
        <v>494.56779222730472</v>
      </c>
      <c r="E1300">
        <v>498.27429847652161</v>
      </c>
      <c r="F1300">
        <v>14410500</v>
      </c>
      <c r="G1300" s="2" t="s">
        <v>14</v>
      </c>
      <c r="H1300">
        <v>4.2151909861232184E-2</v>
      </c>
      <c r="I1300">
        <v>109.17745343274159</v>
      </c>
      <c r="J1300">
        <v>505.95186096191412</v>
      </c>
      <c r="K1300">
        <v>1.2353738872766209</v>
      </c>
      <c r="L1300">
        <v>0</v>
      </c>
      <c r="M1300" t="str">
        <f>VLOOKUP(fact_daily_prices[[#This Row],[Ticker]], dim_company[], 2, FALSE)</f>
        <v>Microsoft Corp.</v>
      </c>
      <c r="N1300" t="str">
        <f>VLOOKUP(fact_daily_prices[[#This Row],[Ticker]], dim_company[], 3, FALSE)</f>
        <v>Technology</v>
      </c>
    </row>
    <row r="1301" spans="1:14" x14ac:dyDescent="0.3">
      <c r="A1301" s="1">
        <v>45910</v>
      </c>
      <c r="B1301">
        <v>497.22097778320313</v>
      </c>
      <c r="C1301">
        <v>500.06299449245154</v>
      </c>
      <c r="D1301">
        <v>493.59395467665649</v>
      </c>
      <c r="E1301">
        <v>499.81456783685911</v>
      </c>
      <c r="F1301">
        <v>21611800</v>
      </c>
      <c r="G1301" s="2" t="s">
        <v>14</v>
      </c>
      <c r="H1301">
        <v>0.39325000819514511</v>
      </c>
      <c r="I1301">
        <v>109.60679377731309</v>
      </c>
      <c r="J1301">
        <v>506.02691284179696</v>
      </c>
      <c r="K1301">
        <v>1.2383076243104405</v>
      </c>
      <c r="L1301">
        <v>0</v>
      </c>
      <c r="M1301" t="str">
        <f>VLOOKUP(fact_daily_prices[[#This Row],[Ticker]], dim_company[], 2, FALSE)</f>
        <v>Microsoft Corp.</v>
      </c>
      <c r="N1301" t="str">
        <f>VLOOKUP(fact_daily_prices[[#This Row],[Ticker]], dim_company[], 3, FALSE)</f>
        <v>Technology</v>
      </c>
    </row>
    <row r="1302" spans="1:14" x14ac:dyDescent="0.3">
      <c r="A1302" s="1">
        <v>45911</v>
      </c>
      <c r="B1302">
        <v>497.85696411132813</v>
      </c>
      <c r="C1302">
        <v>500.0033740526988</v>
      </c>
      <c r="D1302">
        <v>494.74665753414092</v>
      </c>
      <c r="E1302">
        <v>499.08915061774633</v>
      </c>
      <c r="F1302">
        <v>18881600</v>
      </c>
      <c r="G1302" s="2" t="s">
        <v>14</v>
      </c>
      <c r="H1302">
        <v>0.12790818500065804</v>
      </c>
      <c r="I1302">
        <v>109.74698983787106</v>
      </c>
      <c r="J1302">
        <v>506.22103515625008</v>
      </c>
      <c r="K1302">
        <v>1.2382922355251338</v>
      </c>
      <c r="L1302">
        <v>0</v>
      </c>
      <c r="M1302" t="str">
        <f>VLOOKUP(fact_daily_prices[[#This Row],[Ticker]], dim_company[], 2, FALSE)</f>
        <v>Microsoft Corp.</v>
      </c>
      <c r="N1302" t="str">
        <f>VLOOKUP(fact_daily_prices[[#This Row],[Ticker]], dim_company[], 3, FALSE)</f>
        <v>Technology</v>
      </c>
    </row>
    <row r="1303" spans="1:14" x14ac:dyDescent="0.3">
      <c r="A1303" s="1">
        <v>45912</v>
      </c>
      <c r="B1303">
        <v>506.69100952148438</v>
      </c>
      <c r="C1303">
        <v>509.32432605160392</v>
      </c>
      <c r="D1303">
        <v>500.67909648146514</v>
      </c>
      <c r="E1303">
        <v>503.4614629424367</v>
      </c>
      <c r="F1303">
        <v>23624900</v>
      </c>
      <c r="G1303" s="2" t="s">
        <v>14</v>
      </c>
      <c r="H1303">
        <v>1.7744143492950837</v>
      </c>
      <c r="I1303">
        <v>111.69435617347365</v>
      </c>
      <c r="J1303">
        <v>506.61088623046885</v>
      </c>
      <c r="K1303">
        <v>1.0435820773584636</v>
      </c>
      <c r="L1303">
        <v>0</v>
      </c>
      <c r="M1303" t="str">
        <f>VLOOKUP(fact_daily_prices[[#This Row],[Ticker]], dim_company[], 2, FALSE)</f>
        <v>Microsoft Corp.</v>
      </c>
      <c r="N1303" t="str">
        <f>VLOOKUP(fact_daily_prices[[#This Row],[Ticker]], dim_company[], 3, FALSE)</f>
        <v>Technology</v>
      </c>
    </row>
    <row r="1304" spans="1:14" x14ac:dyDescent="0.3">
      <c r="A1304" s="1">
        <v>45915</v>
      </c>
      <c r="B1304">
        <v>512.11663818359375</v>
      </c>
      <c r="C1304">
        <v>512.22593135747718</v>
      </c>
      <c r="D1304">
        <v>503.80926524972944</v>
      </c>
      <c r="E1304">
        <v>505.58800862213138</v>
      </c>
      <c r="F1304">
        <v>17143800</v>
      </c>
      <c r="G1304" s="2" t="s">
        <v>14</v>
      </c>
      <c r="H1304">
        <v>1.0707963157335909</v>
      </c>
      <c r="I1304">
        <v>112.89037522426155</v>
      </c>
      <c r="J1304">
        <v>506.95547790527348</v>
      </c>
      <c r="K1304">
        <v>1.0197516515154696</v>
      </c>
      <c r="L1304">
        <v>0</v>
      </c>
      <c r="M1304" t="str">
        <f>VLOOKUP(fact_daily_prices[[#This Row],[Ticker]], dim_company[], 2, FALSE)</f>
        <v>Microsoft Corp.</v>
      </c>
      <c r="N1304" t="str">
        <f>VLOOKUP(fact_daily_prices[[#This Row],[Ticker]], dim_company[], 3, FALSE)</f>
        <v>Technology</v>
      </c>
    </row>
    <row r="1305" spans="1:14" x14ac:dyDescent="0.3">
      <c r="A1305" s="1">
        <v>45916</v>
      </c>
      <c r="B1305">
        <v>505.83642578125</v>
      </c>
      <c r="C1305">
        <v>513.97485509064768</v>
      </c>
      <c r="D1305">
        <v>505.39919244288791</v>
      </c>
      <c r="E1305">
        <v>513.62708203444447</v>
      </c>
      <c r="F1305">
        <v>19711900</v>
      </c>
      <c r="G1305" s="2" t="s">
        <v>14</v>
      </c>
      <c r="H1305">
        <v>-1.2263246171065223</v>
      </c>
      <c r="I1305">
        <v>111.50597276254253</v>
      </c>
      <c r="J1305">
        <v>507.19668762207039</v>
      </c>
      <c r="K1305">
        <v>0.94899928527873334</v>
      </c>
      <c r="L1305">
        <v>0</v>
      </c>
      <c r="M1305" t="str">
        <f>VLOOKUP(fact_daily_prices[[#This Row],[Ticker]], dim_company[], 2, FALSE)</f>
        <v>Microsoft Corp.</v>
      </c>
      <c r="N1305" t="str">
        <f>VLOOKUP(fact_daily_prices[[#This Row],[Ticker]], dim_company[], 3, FALSE)</f>
        <v>Technology</v>
      </c>
    </row>
    <row r="1306" spans="1:14" x14ac:dyDescent="0.3">
      <c r="A1306" s="1">
        <v>45917</v>
      </c>
      <c r="B1306">
        <v>506.81024169921881</v>
      </c>
      <c r="C1306">
        <v>508.07226852063866</v>
      </c>
      <c r="D1306">
        <v>502.74598524416496</v>
      </c>
      <c r="E1306">
        <v>507.40647173900959</v>
      </c>
      <c r="F1306">
        <v>15816600</v>
      </c>
      <c r="G1306" s="2" t="s">
        <v>14</v>
      </c>
      <c r="H1306">
        <v>0.19251597321501279</v>
      </c>
      <c r="I1306">
        <v>111.7206395711992</v>
      </c>
      <c r="J1306">
        <v>507.47919921875007</v>
      </c>
      <c r="K1306">
        <v>0.91772867787090362</v>
      </c>
      <c r="L1306">
        <v>0</v>
      </c>
      <c r="M1306" t="str">
        <f>VLOOKUP(fact_daily_prices[[#This Row],[Ticker]], dim_company[], 2, FALSE)</f>
        <v>Microsoft Corp.</v>
      </c>
      <c r="N1306" t="str">
        <f>VLOOKUP(fact_daily_prices[[#This Row],[Ticker]], dim_company[], 3, FALSE)</f>
        <v>Technology</v>
      </c>
    </row>
    <row r="1307" spans="1:14" x14ac:dyDescent="0.3">
      <c r="A1307" s="1">
        <v>45918</v>
      </c>
      <c r="B1307">
        <v>505.25015258789063</v>
      </c>
      <c r="C1307">
        <v>509.8410724066984</v>
      </c>
      <c r="D1307">
        <v>504.46511585215541</v>
      </c>
      <c r="E1307">
        <v>508.27099893522802</v>
      </c>
      <c r="F1307">
        <v>18913700</v>
      </c>
      <c r="G1307" s="2" t="s">
        <v>14</v>
      </c>
      <c r="H1307">
        <v>-0.30782509566057437</v>
      </c>
      <c r="I1307">
        <v>111.37673540556654</v>
      </c>
      <c r="J1307">
        <v>507.59380065917969</v>
      </c>
      <c r="K1307">
        <v>0.91502738812084738</v>
      </c>
      <c r="L1307">
        <v>0</v>
      </c>
      <c r="M1307" t="str">
        <f>VLOOKUP(fact_daily_prices[[#This Row],[Ticker]], dim_company[], 2, FALSE)</f>
        <v>Microsoft Corp.</v>
      </c>
      <c r="N1307" t="str">
        <f>VLOOKUP(fact_daily_prices[[#This Row],[Ticker]], dim_company[], 3, FALSE)</f>
        <v>Technology</v>
      </c>
    </row>
    <row r="1308" spans="1:14" x14ac:dyDescent="0.3">
      <c r="A1308" s="1">
        <v>45919</v>
      </c>
      <c r="B1308">
        <v>514.67047119140625</v>
      </c>
      <c r="C1308">
        <v>516.03184443192879</v>
      </c>
      <c r="D1308">
        <v>507.09843147001845</v>
      </c>
      <c r="E1308">
        <v>507.34685812925306</v>
      </c>
      <c r="F1308">
        <v>52474100</v>
      </c>
      <c r="G1308" s="2" t="s">
        <v>14</v>
      </c>
      <c r="H1308">
        <v>1.8644860482010195</v>
      </c>
      <c r="I1308">
        <v>113.45333909814512</v>
      </c>
      <c r="J1308">
        <v>507.93708740234376</v>
      </c>
      <c r="K1308">
        <v>0.97248658976018321</v>
      </c>
      <c r="L1308">
        <v>1</v>
      </c>
      <c r="M1308" t="str">
        <f>VLOOKUP(fact_daily_prices[[#This Row],[Ticker]], dim_company[], 2, FALSE)</f>
        <v>Microsoft Corp.</v>
      </c>
      <c r="N1308" t="str">
        <f>VLOOKUP(fact_daily_prices[[#This Row],[Ticker]], dim_company[], 3, FALSE)</f>
        <v>Technology</v>
      </c>
    </row>
    <row r="1309" spans="1:14" x14ac:dyDescent="0.3">
      <c r="A1309" s="1">
        <v>45922</v>
      </c>
      <c r="B1309">
        <v>511.21240234375</v>
      </c>
      <c r="C1309">
        <v>514.48167541423004</v>
      </c>
      <c r="D1309">
        <v>509.31438866236681</v>
      </c>
      <c r="E1309">
        <v>512.34524249013191</v>
      </c>
      <c r="F1309">
        <v>20009300</v>
      </c>
      <c r="G1309" s="2" t="s">
        <v>14</v>
      </c>
      <c r="H1309">
        <v>-0.67189960202130861</v>
      </c>
      <c r="I1309">
        <v>112.69104656426478</v>
      </c>
      <c r="J1309">
        <v>508.17470397949216</v>
      </c>
      <c r="K1309">
        <v>0.97877220796517062</v>
      </c>
      <c r="L1309">
        <v>0</v>
      </c>
      <c r="M1309" t="str">
        <f>VLOOKUP(fact_daily_prices[[#This Row],[Ticker]], dim_company[], 2, FALSE)</f>
        <v>Microsoft Corp.</v>
      </c>
      <c r="N1309" t="str">
        <f>VLOOKUP(fact_daily_prices[[#This Row],[Ticker]], dim_company[], 3, FALSE)</f>
        <v>Technology</v>
      </c>
    </row>
    <row r="1310" spans="1:14" x14ac:dyDescent="0.3">
      <c r="A1310" s="1">
        <v>45923</v>
      </c>
      <c r="B1310">
        <v>506.0252685546875</v>
      </c>
      <c r="C1310">
        <v>511.35155218118825</v>
      </c>
      <c r="D1310">
        <v>504.11733836707731</v>
      </c>
      <c r="E1310">
        <v>510.56648507959318</v>
      </c>
      <c r="F1310">
        <v>19799600</v>
      </c>
      <c r="G1310" s="2" t="s">
        <v>14</v>
      </c>
      <c r="H1310">
        <v>-1.0146729158528101</v>
      </c>
      <c r="I1310">
        <v>111.54760103618612</v>
      </c>
      <c r="J1310">
        <v>508.31453125000002</v>
      </c>
      <c r="K1310">
        <v>0.99487150688634107</v>
      </c>
      <c r="L1310">
        <v>0</v>
      </c>
      <c r="M1310" t="str">
        <f>VLOOKUP(fact_daily_prices[[#This Row],[Ticker]], dim_company[], 2, FALSE)</f>
        <v>Microsoft Corp.</v>
      </c>
      <c r="N1310" t="str">
        <f>VLOOKUP(fact_daily_prices[[#This Row],[Ticker]], dim_company[], 3, FALSE)</f>
        <v>Technology</v>
      </c>
    </row>
    <row r="1311" spans="1:14" x14ac:dyDescent="0.3">
      <c r="A1311" s="1">
        <v>45924</v>
      </c>
      <c r="B1311">
        <v>506.93942260742188</v>
      </c>
      <c r="C1311">
        <v>509.25474567271442</v>
      </c>
      <c r="D1311">
        <v>503.72976965544393</v>
      </c>
      <c r="E1311">
        <v>507.1679860456216</v>
      </c>
      <c r="F1311">
        <v>13533700</v>
      </c>
      <c r="G1311" s="2" t="s">
        <v>14</v>
      </c>
      <c r="H1311">
        <v>0.18065383480658781</v>
      </c>
      <c r="I1311">
        <v>111.74911605509274</v>
      </c>
      <c r="J1311">
        <v>508.41708435058592</v>
      </c>
      <c r="K1311">
        <v>0.95514889509644851</v>
      </c>
      <c r="L1311">
        <v>0</v>
      </c>
      <c r="M1311" t="str">
        <f>VLOOKUP(fact_daily_prices[[#This Row],[Ticker]], dim_company[], 2, FALSE)</f>
        <v>Microsoft Corp.</v>
      </c>
      <c r="N1311" t="str">
        <f>VLOOKUP(fact_daily_prices[[#This Row],[Ticker]], dim_company[], 3, FALSE)</f>
        <v>Technology</v>
      </c>
    </row>
    <row r="1312" spans="1:14" x14ac:dyDescent="0.3">
      <c r="A1312" s="1">
        <v>45925</v>
      </c>
      <c r="B1312">
        <v>503.83908081054688</v>
      </c>
      <c r="C1312">
        <v>506.80033754046758</v>
      </c>
      <c r="D1312">
        <v>501.86161428406251</v>
      </c>
      <c r="E1312">
        <v>505.10107733704126</v>
      </c>
      <c r="F1312">
        <v>15786500</v>
      </c>
      <c r="G1312" s="2" t="s">
        <v>14</v>
      </c>
      <c r="H1312">
        <v>-0.61158033062974626</v>
      </c>
      <c r="I1312">
        <v>111.0656804416472</v>
      </c>
      <c r="J1312">
        <v>508.46159973144529</v>
      </c>
      <c r="K1312">
        <v>0.91630980380156801</v>
      </c>
      <c r="L1312">
        <v>0</v>
      </c>
      <c r="M1312" t="str">
        <f>VLOOKUP(fact_daily_prices[[#This Row],[Ticker]], dim_company[], 2, FALSE)</f>
        <v>Microsoft Corp.</v>
      </c>
      <c r="N1312" t="str">
        <f>VLOOKUP(fact_daily_prices[[#This Row],[Ticker]], dim_company[], 3, FALSE)</f>
        <v>Technology</v>
      </c>
    </row>
    <row r="1313" spans="1:14" x14ac:dyDescent="0.3">
      <c r="A1313" s="1">
        <v>45926</v>
      </c>
      <c r="B1313">
        <v>508.24114990234375</v>
      </c>
      <c r="C1313">
        <v>510.70555309422582</v>
      </c>
      <c r="D1313">
        <v>503.4316137794998</v>
      </c>
      <c r="E1313">
        <v>506.84996678011908</v>
      </c>
      <c r="F1313">
        <v>16213100</v>
      </c>
      <c r="G1313" s="2" t="s">
        <v>14</v>
      </c>
      <c r="H1313">
        <v>0.8737053673397277</v>
      </c>
      <c r="I1313">
        <v>112.03606725293824</v>
      </c>
      <c r="J1313">
        <v>508.47351989746096</v>
      </c>
      <c r="K1313">
        <v>0.92941073411497732</v>
      </c>
      <c r="L1313">
        <v>0</v>
      </c>
      <c r="M1313" t="str">
        <f>VLOOKUP(fact_daily_prices[[#This Row],[Ticker]], dim_company[], 2, FALSE)</f>
        <v>Microsoft Corp.</v>
      </c>
      <c r="N1313" t="str">
        <f>VLOOKUP(fact_daily_prices[[#This Row],[Ticker]], dim_company[], 3, FALSE)</f>
        <v>Technology</v>
      </c>
    </row>
    <row r="1314" spans="1:14" x14ac:dyDescent="0.3">
      <c r="A1314" s="1">
        <v>45929</v>
      </c>
      <c r="B1314">
        <v>511.36138916015625</v>
      </c>
      <c r="C1314">
        <v>513.59722899730411</v>
      </c>
      <c r="D1314">
        <v>505.67741655332713</v>
      </c>
      <c r="E1314">
        <v>508.28092297827857</v>
      </c>
      <c r="F1314">
        <v>17617800</v>
      </c>
      <c r="G1314" s="2" t="s">
        <v>14</v>
      </c>
      <c r="H1314">
        <v>0.61392889151381524</v>
      </c>
      <c r="I1314">
        <v>112.72388903871988</v>
      </c>
      <c r="J1314">
        <v>508.58058349609377</v>
      </c>
      <c r="K1314">
        <v>0.93447784454173444</v>
      </c>
      <c r="L1314">
        <v>0</v>
      </c>
      <c r="M1314" t="str">
        <f>VLOOKUP(fact_daily_prices[[#This Row],[Ticker]], dim_company[], 2, FALSE)</f>
        <v>Microsoft Corp.</v>
      </c>
      <c r="N1314" t="str">
        <f>VLOOKUP(fact_daily_prices[[#This Row],[Ticker]], dim_company[], 3, FALSE)</f>
        <v>Technology</v>
      </c>
    </row>
    <row r="1315" spans="1:14" x14ac:dyDescent="0.3">
      <c r="A1315" s="1">
        <v>45930</v>
      </c>
      <c r="B1315">
        <v>514.69036865234375</v>
      </c>
      <c r="C1315">
        <v>514.89900823102437</v>
      </c>
      <c r="D1315">
        <v>506.45253207823936</v>
      </c>
      <c r="E1315">
        <v>510.00998852234369</v>
      </c>
      <c r="F1315">
        <v>19728200</v>
      </c>
      <c r="G1315" s="2" t="s">
        <v>14</v>
      </c>
      <c r="H1315">
        <v>0.65100329488210207</v>
      </c>
      <c r="I1315">
        <v>113.45772527048119</v>
      </c>
      <c r="J1315">
        <v>508.75402770996095</v>
      </c>
      <c r="K1315">
        <v>0.9361208003018523</v>
      </c>
      <c r="L1315">
        <v>0</v>
      </c>
      <c r="M1315" t="str">
        <f>VLOOKUP(fact_daily_prices[[#This Row],[Ticker]], dim_company[], 2, FALSE)</f>
        <v>Microsoft Corp.</v>
      </c>
      <c r="N1315" t="str">
        <f>VLOOKUP(fact_daily_prices[[#This Row],[Ticker]], dim_company[], 3, FALSE)</f>
        <v>Technology</v>
      </c>
    </row>
    <row r="1316" spans="1:14" x14ac:dyDescent="0.3">
      <c r="A1316" s="1">
        <v>45931</v>
      </c>
      <c r="B1316">
        <v>516.43927001953125</v>
      </c>
      <c r="C1316">
        <v>517.23422315562266</v>
      </c>
      <c r="D1316">
        <v>508.46972381655451</v>
      </c>
      <c r="E1316">
        <v>511.56013673304216</v>
      </c>
      <c r="F1316">
        <v>22632300</v>
      </c>
      <c r="G1316" s="2" t="s">
        <v>14</v>
      </c>
      <c r="H1316">
        <v>0.33979679312181599</v>
      </c>
      <c r="I1316">
        <v>113.84325098249923</v>
      </c>
      <c r="J1316">
        <v>509.05749145507815</v>
      </c>
      <c r="K1316">
        <v>0.89756487541719732</v>
      </c>
      <c r="L1316">
        <v>0</v>
      </c>
      <c r="M1316" t="str">
        <f>VLOOKUP(fact_daily_prices[[#This Row],[Ticker]], dim_company[], 2, FALSE)</f>
        <v>Microsoft Corp.</v>
      </c>
      <c r="N1316" t="str">
        <f>VLOOKUP(fact_daily_prices[[#This Row],[Ticker]], dim_company[], 3, FALSE)</f>
        <v>Technology</v>
      </c>
    </row>
    <row r="1317" spans="1:14" x14ac:dyDescent="0.3">
      <c r="A1317" s="1">
        <v>45932</v>
      </c>
      <c r="B1317">
        <v>512.49420166015625</v>
      </c>
      <c r="C1317">
        <v>518.31730743313392</v>
      </c>
      <c r="D1317">
        <v>507.46604898963056</v>
      </c>
      <c r="E1317">
        <v>514.38226834813452</v>
      </c>
      <c r="F1317">
        <v>21222900</v>
      </c>
      <c r="G1317" s="2" t="s">
        <v>14</v>
      </c>
      <c r="H1317">
        <v>-0.76389782659745942</v>
      </c>
      <c r="I1317">
        <v>112.97360486251604</v>
      </c>
      <c r="J1317">
        <v>509.27014892578126</v>
      </c>
      <c r="K1317">
        <v>0.89656205203796013</v>
      </c>
      <c r="L1317">
        <v>0</v>
      </c>
      <c r="M1317" t="str">
        <f>VLOOKUP(fact_daily_prices[[#This Row],[Ticker]], dim_company[], 2, FALSE)</f>
        <v>Microsoft Corp.</v>
      </c>
      <c r="N1317" t="str">
        <f>VLOOKUP(fact_daily_prices[[#This Row],[Ticker]], dim_company[], 3, FALSE)</f>
        <v>Technology</v>
      </c>
    </row>
    <row r="1318" spans="1:14" x14ac:dyDescent="0.3">
      <c r="A1318" s="1">
        <v>45933</v>
      </c>
      <c r="B1318">
        <v>514.09405517578125</v>
      </c>
      <c r="C1318">
        <v>517.21430827349968</v>
      </c>
      <c r="D1318">
        <v>511.75886906280152</v>
      </c>
      <c r="E1318">
        <v>513.8456285403139</v>
      </c>
      <c r="F1318">
        <v>15112300</v>
      </c>
      <c r="G1318" s="2" t="s">
        <v>14</v>
      </c>
      <c r="H1318">
        <v>0.31217007147446019</v>
      </c>
      <c r="I1318">
        <v>113.32627464556262</v>
      </c>
      <c r="J1318">
        <v>509.41539672851565</v>
      </c>
      <c r="K1318">
        <v>0.89672428969453755</v>
      </c>
      <c r="L1318">
        <v>0</v>
      </c>
      <c r="M1318" t="str">
        <f>VLOOKUP(fact_daily_prices[[#This Row],[Ticker]], dim_company[], 2, FALSE)</f>
        <v>Microsoft Corp.</v>
      </c>
      <c r="N1318" t="str">
        <f>VLOOKUP(fact_daily_prices[[#This Row],[Ticker]], dim_company[], 3, FALSE)</f>
        <v>Technology</v>
      </c>
    </row>
    <row r="1319" spans="1:14" x14ac:dyDescent="0.3">
      <c r="A1319" s="1">
        <v>45936</v>
      </c>
      <c r="B1319">
        <v>525.2435302734375</v>
      </c>
      <c r="C1319">
        <v>527.68807046218046</v>
      </c>
      <c r="D1319">
        <v>514.93879718454525</v>
      </c>
      <c r="E1319">
        <v>515.34619022381548</v>
      </c>
      <c r="F1319">
        <v>21388600</v>
      </c>
      <c r="G1319" s="2" t="s">
        <v>14</v>
      </c>
      <c r="H1319">
        <v>2.1687617247089008</v>
      </c>
      <c r="I1319">
        <v>115.78405151411408</v>
      </c>
      <c r="J1319">
        <v>509.72748229980471</v>
      </c>
      <c r="K1319">
        <v>0.97036099367318773</v>
      </c>
      <c r="L1319">
        <v>0</v>
      </c>
      <c r="M1319" t="str">
        <f>VLOOKUP(fact_daily_prices[[#This Row],[Ticker]], dim_company[], 2, FALSE)</f>
        <v>Microsoft Corp.</v>
      </c>
      <c r="N1319" t="str">
        <f>VLOOKUP(fact_daily_prices[[#This Row],[Ticker]], dim_company[], 3, FALSE)</f>
        <v>Technology</v>
      </c>
    </row>
    <row r="1320" spans="1:14" x14ac:dyDescent="0.3">
      <c r="A1320" s="1">
        <v>45937</v>
      </c>
      <c r="B1320">
        <v>520.682373046875</v>
      </c>
      <c r="C1320">
        <v>526.46575282793731</v>
      </c>
      <c r="D1320">
        <v>518.15838007756122</v>
      </c>
      <c r="E1320">
        <v>524.96524613417739</v>
      </c>
      <c r="F1320">
        <v>14615200</v>
      </c>
      <c r="G1320" s="2" t="s">
        <v>14</v>
      </c>
      <c r="H1320">
        <v>-0.86838903549901758</v>
      </c>
      <c r="I1320">
        <v>114.77859550590898</v>
      </c>
      <c r="J1320">
        <v>509.97235290527345</v>
      </c>
      <c r="K1320">
        <v>0.97900956901164693</v>
      </c>
      <c r="L1320">
        <v>0</v>
      </c>
      <c r="M1320" t="str">
        <f>VLOOKUP(fact_daily_prices[[#This Row],[Ticker]], dim_company[], 2, FALSE)</f>
        <v>Microsoft Corp.</v>
      </c>
      <c r="N1320" t="str">
        <f>VLOOKUP(fact_daily_prices[[#This Row],[Ticker]], dim_company[], 3, FALSE)</f>
        <v>Technology</v>
      </c>
    </row>
    <row r="1321" spans="1:14" x14ac:dyDescent="0.3">
      <c r="A1321" s="1">
        <v>45938</v>
      </c>
      <c r="B1321">
        <v>521.546875</v>
      </c>
      <c r="C1321">
        <v>523.63369521161235</v>
      </c>
      <c r="D1321">
        <v>519.79800236356425</v>
      </c>
      <c r="E1321">
        <v>519.98680904007631</v>
      </c>
      <c r="F1321">
        <v>13363400</v>
      </c>
      <c r="G1321" s="2" t="s">
        <v>14</v>
      </c>
      <c r="H1321">
        <v>0.16603249848197166</v>
      </c>
      <c r="I1321">
        <v>114.96916527574999</v>
      </c>
      <c r="J1321">
        <v>510.23312499999997</v>
      </c>
      <c r="K1321">
        <v>0.97301624487055716</v>
      </c>
      <c r="L1321">
        <v>0</v>
      </c>
      <c r="M1321" t="str">
        <f>VLOOKUP(fact_daily_prices[[#This Row],[Ticker]], dim_company[], 2, FALSE)</f>
        <v>Microsoft Corp.</v>
      </c>
      <c r="N1321" t="str">
        <f>VLOOKUP(fact_daily_prices[[#This Row],[Ticker]], dim_company[], 3, FALSE)</f>
        <v>Technology</v>
      </c>
    </row>
    <row r="1322" spans="1:14" x14ac:dyDescent="0.3">
      <c r="A1322" s="1">
        <v>45939</v>
      </c>
      <c r="B1322">
        <v>519.11236572265625</v>
      </c>
      <c r="C1322">
        <v>521.03021223285873</v>
      </c>
      <c r="D1322">
        <v>514.14383259227486</v>
      </c>
      <c r="E1322">
        <v>519.05274575113322</v>
      </c>
      <c r="F1322">
        <v>18343600</v>
      </c>
      <c r="G1322" s="2" t="s">
        <v>14</v>
      </c>
      <c r="H1322">
        <v>-0.46678628404086542</v>
      </c>
      <c r="I1322">
        <v>114.43250498136651</v>
      </c>
      <c r="J1322">
        <v>510.43191284179687</v>
      </c>
      <c r="K1322">
        <v>0.96776750347248319</v>
      </c>
      <c r="L1322">
        <v>0</v>
      </c>
      <c r="M1322" t="str">
        <f>VLOOKUP(fact_daily_prices[[#This Row],[Ticker]], dim_company[], 2, FALSE)</f>
        <v>Microsoft Corp.</v>
      </c>
      <c r="N1322" t="str">
        <f>VLOOKUP(fact_daily_prices[[#This Row],[Ticker]], dim_company[], 3, FALSE)</f>
        <v>Technology</v>
      </c>
    </row>
    <row r="1323" spans="1:14" x14ac:dyDescent="0.3">
      <c r="A1323" s="1">
        <v>45940</v>
      </c>
      <c r="B1323">
        <v>507.74432373046881</v>
      </c>
      <c r="C1323">
        <v>520.28492669066861</v>
      </c>
      <c r="D1323">
        <v>506.42270727517138</v>
      </c>
      <c r="E1323">
        <v>516.36972019982124</v>
      </c>
      <c r="F1323">
        <v>24133800</v>
      </c>
      <c r="G1323" s="2" t="s">
        <v>14</v>
      </c>
      <c r="H1323">
        <v>-2.1899000568714966</v>
      </c>
      <c r="I1323">
        <v>111.92654748970008</v>
      </c>
      <c r="J1323">
        <v>510.00135131835935</v>
      </c>
      <c r="K1323">
        <v>1.0497984047233593</v>
      </c>
      <c r="L1323">
        <v>0</v>
      </c>
      <c r="M1323" t="str">
        <f>VLOOKUP(fact_daily_prices[[#This Row],[Ticker]], dim_company[], 2, FALSE)</f>
        <v>Microsoft Corp.</v>
      </c>
      <c r="N1323" t="str">
        <f>VLOOKUP(fact_daily_prices[[#This Row],[Ticker]], dim_company[], 3, FALSE)</f>
        <v>Technology</v>
      </c>
    </row>
    <row r="1324" spans="1:14" x14ac:dyDescent="0.3">
      <c r="A1324" s="1">
        <v>45943</v>
      </c>
      <c r="B1324">
        <v>510.81491088867188</v>
      </c>
      <c r="C1324">
        <v>513.16004411634253</v>
      </c>
      <c r="D1324">
        <v>508.45983088995337</v>
      </c>
      <c r="E1324">
        <v>513.16004411634253</v>
      </c>
      <c r="F1324">
        <v>14284200</v>
      </c>
      <c r="G1324" s="2" t="s">
        <v>14</v>
      </c>
      <c r="H1324">
        <v>0.60475066183764969</v>
      </c>
      <c r="I1324">
        <v>112.60342402641605</v>
      </c>
      <c r="J1324">
        <v>509.81851257324217</v>
      </c>
      <c r="K1324">
        <v>1.0489920941693192</v>
      </c>
      <c r="L1324">
        <v>0</v>
      </c>
      <c r="M1324" t="str">
        <f>VLOOKUP(fact_daily_prices[[#This Row],[Ticker]], dim_company[], 2, FALSE)</f>
        <v>Microsoft Corp.</v>
      </c>
      <c r="N1324" t="str">
        <f>VLOOKUP(fact_daily_prices[[#This Row],[Ticker]], dim_company[], 3, FALSE)</f>
        <v>Technology</v>
      </c>
    </row>
    <row r="1325" spans="1:14" x14ac:dyDescent="0.3">
      <c r="A1325" s="1">
        <v>45944</v>
      </c>
      <c r="B1325">
        <v>510.33786010742188</v>
      </c>
      <c r="C1325">
        <v>512.03712007552031</v>
      </c>
      <c r="D1325">
        <v>502.81549454139611</v>
      </c>
      <c r="E1325">
        <v>507.01888399990622</v>
      </c>
      <c r="F1325">
        <v>14684300</v>
      </c>
      <c r="G1325" s="2" t="s">
        <v>14</v>
      </c>
      <c r="H1325">
        <v>-9.3390144077831749E-2</v>
      </c>
      <c r="I1325">
        <v>112.49826352648122</v>
      </c>
      <c r="J1325">
        <v>509.39736083984377</v>
      </c>
      <c r="K1325">
        <v>1.047149997455729</v>
      </c>
      <c r="L1325">
        <v>0</v>
      </c>
      <c r="M1325" t="str">
        <f>VLOOKUP(fact_daily_prices[[#This Row],[Ticker]], dim_company[], 2, FALSE)</f>
        <v>Microsoft Corp.</v>
      </c>
      <c r="N1325" t="str">
        <f>VLOOKUP(fact_daily_prices[[#This Row],[Ticker]], dim_company[], 3, FALSE)</f>
        <v>Technology</v>
      </c>
    </row>
    <row r="1326" spans="1:14" x14ac:dyDescent="0.3">
      <c r="A1326" s="1">
        <v>45945</v>
      </c>
      <c r="B1326">
        <v>510.19879150390631</v>
      </c>
      <c r="C1326">
        <v>513.93513816427003</v>
      </c>
      <c r="D1326">
        <v>506.7903850161382</v>
      </c>
      <c r="E1326">
        <v>511.71919177145378</v>
      </c>
      <c r="F1326">
        <v>14694700</v>
      </c>
      <c r="G1326" s="2" t="s">
        <v>14</v>
      </c>
      <c r="H1326">
        <v>-2.7250301101766627E-2</v>
      </c>
      <c r="I1326">
        <v>112.467607410936</v>
      </c>
      <c r="J1326">
        <v>509.12997802734372</v>
      </c>
      <c r="K1326">
        <v>1.0472704845540053</v>
      </c>
      <c r="L1326">
        <v>0</v>
      </c>
      <c r="M1326" t="str">
        <f>VLOOKUP(fact_daily_prices[[#This Row],[Ticker]], dim_company[], 2, FALSE)</f>
        <v>Microsoft Corp.</v>
      </c>
      <c r="N1326" t="str">
        <f>VLOOKUP(fact_daily_prices[[#This Row],[Ticker]], dim_company[], 3, FALSE)</f>
        <v>Technology</v>
      </c>
    </row>
    <row r="1327" spans="1:14" x14ac:dyDescent="0.3">
      <c r="A1327" s="1">
        <v>45946</v>
      </c>
      <c r="B1327">
        <v>508.39022827148438</v>
      </c>
      <c r="C1327">
        <v>513.59724124556396</v>
      </c>
      <c r="D1327">
        <v>504.93214864922606</v>
      </c>
      <c r="E1327">
        <v>509.35415522947079</v>
      </c>
      <c r="F1327">
        <v>15559600</v>
      </c>
      <c r="G1327" s="2" t="s">
        <v>14</v>
      </c>
      <c r="H1327">
        <v>-0.35448206905603907</v>
      </c>
      <c r="I1327">
        <v>112.06892990916788</v>
      </c>
      <c r="J1327">
        <v>508.88217834472658</v>
      </c>
      <c r="K1327">
        <v>1.0461680941727531</v>
      </c>
      <c r="L1327">
        <v>0</v>
      </c>
      <c r="M1327" t="str">
        <f>VLOOKUP(fact_daily_prices[[#This Row],[Ticker]], dim_company[], 2, FALSE)</f>
        <v>Microsoft Corp.</v>
      </c>
      <c r="N1327" t="str">
        <f>VLOOKUP(fact_daily_prices[[#This Row],[Ticker]], dim_company[], 3, FALSE)</f>
        <v>Technology</v>
      </c>
    </row>
    <row r="1328" spans="1:14" x14ac:dyDescent="0.3">
      <c r="A1328" s="1">
        <v>45947</v>
      </c>
      <c r="B1328">
        <v>510.34786987304688</v>
      </c>
      <c r="C1328">
        <v>512.23587608628702</v>
      </c>
      <c r="D1328">
        <v>504.11730987196319</v>
      </c>
      <c r="E1328">
        <v>505.83643326530012</v>
      </c>
      <c r="F1328">
        <v>19867800</v>
      </c>
      <c r="G1328" s="2" t="s">
        <v>14</v>
      </c>
      <c r="H1328">
        <v>0.38506672486968707</v>
      </c>
      <c r="I1328">
        <v>112.50047006716561</v>
      </c>
      <c r="J1328">
        <v>508.75488037109375</v>
      </c>
      <c r="K1328">
        <v>0.92679787480853637</v>
      </c>
      <c r="L1328">
        <v>0</v>
      </c>
      <c r="M1328" t="str">
        <f>VLOOKUP(fact_daily_prices[[#This Row],[Ticker]], dim_company[], 2, FALSE)</f>
        <v>Microsoft Corp.</v>
      </c>
      <c r="N1328" t="str">
        <f>VLOOKUP(fact_daily_prices[[#This Row],[Ticker]], dim_company[], 3, FALSE)</f>
        <v>Technology</v>
      </c>
    </row>
    <row r="1329" spans="1:14" x14ac:dyDescent="0.3">
      <c r="A1329" s="1">
        <v>45950</v>
      </c>
      <c r="B1329">
        <v>513.53759765625</v>
      </c>
      <c r="C1329">
        <v>515.43561117389243</v>
      </c>
      <c r="D1329">
        <v>510.19875812962448</v>
      </c>
      <c r="E1329">
        <v>511.37132460679527</v>
      </c>
      <c r="F1329">
        <v>14665600</v>
      </c>
      <c r="G1329" s="2" t="s">
        <v>14</v>
      </c>
      <c r="H1329">
        <v>0.62501050195362673</v>
      </c>
      <c r="I1329">
        <v>113.20360981983259</v>
      </c>
      <c r="J1329">
        <v>508.66756835937503</v>
      </c>
      <c r="K1329">
        <v>0.92639153278809472</v>
      </c>
      <c r="L1329">
        <v>0</v>
      </c>
      <c r="M1329" t="str">
        <f>VLOOKUP(fact_daily_prices[[#This Row],[Ticker]], dim_company[], 2, FALSE)</f>
        <v>Microsoft Corp.</v>
      </c>
      <c r="N1329" t="str">
        <f>VLOOKUP(fact_daily_prices[[#This Row],[Ticker]], dim_company[], 3, FALSE)</f>
        <v>Technology</v>
      </c>
    </row>
    <row r="1330" spans="1:14" x14ac:dyDescent="0.3">
      <c r="A1330" s="1">
        <v>45951</v>
      </c>
      <c r="B1330">
        <v>514.40216064453125</v>
      </c>
      <c r="C1330">
        <v>515.42570761228524</v>
      </c>
      <c r="D1330">
        <v>509.81124074780416</v>
      </c>
      <c r="E1330">
        <v>514.24319426609543</v>
      </c>
      <c r="F1330">
        <v>15586200</v>
      </c>
      <c r="G1330" s="2" t="s">
        <v>14</v>
      </c>
      <c r="H1330">
        <v>0.16835437020132904</v>
      </c>
      <c r="I1330">
        <v>113.39419304418993</v>
      </c>
      <c r="J1330">
        <v>508.6029052734375</v>
      </c>
      <c r="K1330">
        <v>0.92628261869220274</v>
      </c>
      <c r="L1330">
        <v>0</v>
      </c>
      <c r="M1330" t="str">
        <f>VLOOKUP(fact_daily_prices[[#This Row],[Ticker]], dim_company[], 2, FALSE)</f>
        <v>Microsoft Corp.</v>
      </c>
      <c r="N1330" t="str">
        <f>VLOOKUP(fact_daily_prices[[#This Row],[Ticker]], dim_company[], 3, FALSE)</f>
        <v>Technology</v>
      </c>
    </row>
    <row r="1331" spans="1:14" x14ac:dyDescent="0.3">
      <c r="A1331" s="1">
        <v>45952</v>
      </c>
      <c r="B1331">
        <v>517.26397705078125</v>
      </c>
      <c r="C1331">
        <v>521.92446311837057</v>
      </c>
      <c r="D1331">
        <v>514.45183123006257</v>
      </c>
      <c r="E1331">
        <v>517.87018413092801</v>
      </c>
      <c r="F1331">
        <v>18962700</v>
      </c>
      <c r="G1331" s="2" t="s">
        <v>14</v>
      </c>
      <c r="H1331">
        <v>0.55633833315633652</v>
      </c>
      <c r="I1331">
        <v>114.02504840766807</v>
      </c>
      <c r="J1331">
        <v>508.44726196289065</v>
      </c>
      <c r="K1331">
        <v>0.92835386757875005</v>
      </c>
      <c r="L1331">
        <v>0</v>
      </c>
      <c r="M1331" t="str">
        <f>VLOOKUP(fact_daily_prices[[#This Row],[Ticker]], dim_company[], 2, FALSE)</f>
        <v>Microsoft Corp.</v>
      </c>
      <c r="N1331" t="str">
        <f>VLOOKUP(fact_daily_prices[[#This Row],[Ticker]], dim_company[], 3, FALSE)</f>
        <v>Technology</v>
      </c>
    </row>
    <row r="1332" spans="1:14" x14ac:dyDescent="0.3">
      <c r="A1332" s="1">
        <v>45953</v>
      </c>
      <c r="B1332">
        <v>517.283935546875</v>
      </c>
      <c r="C1332">
        <v>520.65261567429479</v>
      </c>
      <c r="D1332">
        <v>515.3461954332505</v>
      </c>
      <c r="E1332">
        <v>519.17200245779964</v>
      </c>
      <c r="F1332">
        <v>21697800</v>
      </c>
      <c r="G1332" s="2" t="s">
        <v>14</v>
      </c>
      <c r="H1332">
        <v>3.8584740053915212E-3</v>
      </c>
      <c r="I1332">
        <v>114.02944803452053</v>
      </c>
      <c r="J1332">
        <v>508.46384399414063</v>
      </c>
      <c r="K1332">
        <v>0.92866725669748396</v>
      </c>
      <c r="L1332">
        <v>0</v>
      </c>
      <c r="M1332" t="str">
        <f>VLOOKUP(fact_daily_prices[[#This Row],[Ticker]], dim_company[], 2, FALSE)</f>
        <v>Microsoft Corp.</v>
      </c>
      <c r="N1332" t="str">
        <f>VLOOKUP(fact_daily_prices[[#This Row],[Ticker]], dim_company[], 3, FALSE)</f>
        <v>Technology</v>
      </c>
    </row>
    <row r="1333" spans="1:14" x14ac:dyDescent="0.3">
      <c r="A1333" s="1">
        <v>45954</v>
      </c>
      <c r="B1333">
        <v>520.314697265625</v>
      </c>
      <c r="C1333">
        <v>522.04373704212219</v>
      </c>
      <c r="D1333">
        <v>517.43298452180875</v>
      </c>
      <c r="E1333">
        <v>519.49985057707295</v>
      </c>
      <c r="F1333">
        <v>15532400</v>
      </c>
      <c r="G1333" s="2" t="s">
        <v>14</v>
      </c>
      <c r="H1333">
        <v>0.58589906055093177</v>
      </c>
      <c r="I1333">
        <v>114.69754549930617</v>
      </c>
      <c r="J1333">
        <v>508.50334350585939</v>
      </c>
      <c r="K1333">
        <v>0.88026838569614319</v>
      </c>
      <c r="L1333">
        <v>0</v>
      </c>
      <c r="M1333" t="str">
        <f>VLOOKUP(fact_daily_prices[[#This Row],[Ticker]], dim_company[], 2, FALSE)</f>
        <v>Microsoft Corp.</v>
      </c>
      <c r="N1333" t="str">
        <f>VLOOKUP(fact_daily_prices[[#This Row],[Ticker]], dim_company[], 3, FALSE)</f>
        <v>Technology</v>
      </c>
    </row>
    <row r="1334" spans="1:14" x14ac:dyDescent="0.3">
      <c r="A1334" s="1">
        <v>45957</v>
      </c>
      <c r="B1334">
        <v>528.17498779296875</v>
      </c>
      <c r="C1334">
        <v>531.21572777221184</v>
      </c>
      <c r="D1334">
        <v>525.68077435113378</v>
      </c>
      <c r="E1334">
        <v>528.43336123091774</v>
      </c>
      <c r="F1334">
        <v>18734700</v>
      </c>
      <c r="G1334" s="2" t="s">
        <v>14</v>
      </c>
      <c r="H1334">
        <v>1.5106800881565352</v>
      </c>
      <c r="I1334">
        <v>116.43025848076849</v>
      </c>
      <c r="J1334">
        <v>508.74588378906247</v>
      </c>
      <c r="K1334">
        <v>0.90056044149219017</v>
      </c>
      <c r="L1334">
        <v>0</v>
      </c>
      <c r="M1334" t="str">
        <f>VLOOKUP(fact_daily_prices[[#This Row],[Ticker]], dim_company[], 2, FALSE)</f>
        <v>Microsoft Corp.</v>
      </c>
      <c r="N1334" t="str">
        <f>VLOOKUP(fact_daily_prices[[#This Row],[Ticker]], dim_company[], 3, FALSE)</f>
        <v>Technology</v>
      </c>
    </row>
    <row r="1335" spans="1:14" x14ac:dyDescent="0.3">
      <c r="A1335" s="1">
        <v>45958</v>
      </c>
      <c r="B1335">
        <v>538.65850830078125</v>
      </c>
      <c r="C1335">
        <v>550.23515303421141</v>
      </c>
      <c r="D1335">
        <v>537.36670193645875</v>
      </c>
      <c r="E1335">
        <v>546.53859383928545</v>
      </c>
      <c r="F1335">
        <v>29986700</v>
      </c>
      <c r="G1335" s="2" t="s">
        <v>14</v>
      </c>
      <c r="H1335">
        <v>1.9848574336355673</v>
      </c>
      <c r="I1335">
        <v>118.74123312122514</v>
      </c>
      <c r="J1335">
        <v>509.25900634765622</v>
      </c>
      <c r="K1335">
        <v>0.92708032486140002</v>
      </c>
      <c r="L1335">
        <v>0</v>
      </c>
      <c r="M1335" t="str">
        <f>VLOOKUP(fact_daily_prices[[#This Row],[Ticker]], dim_company[], 2, FALSE)</f>
        <v>Microsoft Corp.</v>
      </c>
      <c r="N1335" t="str">
        <f>VLOOKUP(fact_daily_prices[[#This Row],[Ticker]], dim_company[], 3, FALSE)</f>
        <v>Technology</v>
      </c>
    </row>
    <row r="1336" spans="1:14" x14ac:dyDescent="0.3">
      <c r="A1336" s="1">
        <v>45959</v>
      </c>
      <c r="B1336">
        <v>538.14178466796875</v>
      </c>
      <c r="C1336">
        <v>542.83211125015521</v>
      </c>
      <c r="D1336">
        <v>533.3521116884923</v>
      </c>
      <c r="E1336">
        <v>541.51046452039657</v>
      </c>
      <c r="F1336">
        <v>36023000</v>
      </c>
      <c r="G1336" s="2" t="s">
        <v>14</v>
      </c>
      <c r="H1336">
        <v>-9.5927869856271553E-2</v>
      </c>
      <c r="I1336">
        <v>118.62732718565086</v>
      </c>
      <c r="J1336">
        <v>509.90723388671876</v>
      </c>
      <c r="K1336">
        <v>0.92880416171338442</v>
      </c>
      <c r="L1336">
        <v>0</v>
      </c>
      <c r="M1336" t="str">
        <f>VLOOKUP(fact_daily_prices[[#This Row],[Ticker]], dim_company[], 2, FALSE)</f>
        <v>Microsoft Corp.</v>
      </c>
      <c r="N1336" t="str">
        <f>VLOOKUP(fact_daily_prices[[#This Row],[Ticker]], dim_company[], 3, FALSE)</f>
        <v>Technology</v>
      </c>
    </row>
    <row r="1337" spans="1:14" x14ac:dyDescent="0.3">
      <c r="A1337" s="1">
        <v>45960</v>
      </c>
      <c r="B1337">
        <v>522.451171875</v>
      </c>
      <c r="C1337">
        <v>531.60317049669982</v>
      </c>
      <c r="D1337">
        <v>518.83406543214574</v>
      </c>
      <c r="E1337">
        <v>527.14143773634351</v>
      </c>
      <c r="F1337">
        <v>41023100</v>
      </c>
      <c r="G1337" s="2" t="s">
        <v>14</v>
      </c>
      <c r="H1337">
        <v>-2.9157023743565658</v>
      </c>
      <c r="I1337">
        <v>115.16850739026312</v>
      </c>
      <c r="J1337">
        <v>510.32200622558594</v>
      </c>
      <c r="K1337">
        <v>1.0869625690522755</v>
      </c>
      <c r="L1337">
        <v>0</v>
      </c>
      <c r="M1337" t="str">
        <f>VLOOKUP(fact_daily_prices[[#This Row],[Ticker]], dim_company[], 2, FALSE)</f>
        <v>Microsoft Corp.</v>
      </c>
      <c r="N1337" t="str">
        <f>VLOOKUP(fact_daily_prices[[#This Row],[Ticker]], dim_company[], 3, FALSE)</f>
        <v>Technology</v>
      </c>
    </row>
    <row r="1338" spans="1:14" x14ac:dyDescent="0.3">
      <c r="A1338" s="1">
        <v>45961</v>
      </c>
      <c r="B1338">
        <v>514.55120849609375</v>
      </c>
      <c r="C1338">
        <v>525.98878108570761</v>
      </c>
      <c r="D1338">
        <v>511.85824179468608</v>
      </c>
      <c r="E1338">
        <v>525.55154775874541</v>
      </c>
      <c r="F1338">
        <v>34006400</v>
      </c>
      <c r="G1338" s="2" t="s">
        <v>14</v>
      </c>
      <c r="H1338">
        <v>-1.5120960204863643</v>
      </c>
      <c r="I1338">
        <v>113.4270489731614</v>
      </c>
      <c r="J1338">
        <v>510.59169860839842</v>
      </c>
      <c r="K1338">
        <v>1.0745636988308116</v>
      </c>
      <c r="L1338">
        <v>0</v>
      </c>
      <c r="M1338" t="str">
        <f>VLOOKUP(fact_daily_prices[[#This Row],[Ticker]], dim_company[], 2, FALSE)</f>
        <v>Microsoft Corp.</v>
      </c>
      <c r="N1338" t="str">
        <f>VLOOKUP(fact_daily_prices[[#This Row],[Ticker]], dim_company[], 3, FALSE)</f>
        <v>Technology</v>
      </c>
    </row>
    <row r="1339" spans="1:14" x14ac:dyDescent="0.3">
      <c r="A1339" s="1">
        <v>45964</v>
      </c>
      <c r="B1339">
        <v>513.776123046875</v>
      </c>
      <c r="C1339">
        <v>521.65620865484959</v>
      </c>
      <c r="D1339">
        <v>511.35147665588022</v>
      </c>
      <c r="E1339">
        <v>516.53859569791541</v>
      </c>
      <c r="F1339">
        <v>22374700</v>
      </c>
      <c r="G1339" s="2" t="s">
        <v>14</v>
      </c>
      <c r="H1339">
        <v>-0.15063329682659665</v>
      </c>
      <c r="I1339">
        <v>113.25619006980001</v>
      </c>
      <c r="J1339">
        <v>510.78646423339842</v>
      </c>
      <c r="K1339">
        <v>1.0674345004952654</v>
      </c>
      <c r="L1339">
        <v>0</v>
      </c>
      <c r="M1339" t="str">
        <f>VLOOKUP(fact_daily_prices[[#This Row],[Ticker]], dim_company[], 2, FALSE)</f>
        <v>Microsoft Corp.</v>
      </c>
      <c r="N1339" t="str">
        <f>VLOOKUP(fact_daily_prices[[#This Row],[Ticker]], dim_company[], 3, FALSE)</f>
        <v>Technology</v>
      </c>
    </row>
    <row r="1340" spans="1:14" x14ac:dyDescent="0.3">
      <c r="A1340" s="1">
        <v>45965</v>
      </c>
      <c r="B1340">
        <v>511.09317016601563</v>
      </c>
      <c r="C1340">
        <v>512.30546319471694</v>
      </c>
      <c r="D1340">
        <v>504.6439932361389</v>
      </c>
      <c r="E1340">
        <v>508.53933673798258</v>
      </c>
      <c r="F1340">
        <v>20958700</v>
      </c>
      <c r="G1340" s="2" t="s">
        <v>14</v>
      </c>
      <c r="H1340">
        <v>-0.52220271836466159</v>
      </c>
      <c r="I1340">
        <v>112.66476316653926</v>
      </c>
      <c r="J1340">
        <v>510.98659729003913</v>
      </c>
      <c r="K1340">
        <v>1.0546490735033325</v>
      </c>
      <c r="L1340">
        <v>0</v>
      </c>
      <c r="M1340" t="str">
        <f>VLOOKUP(fact_daily_prices[[#This Row],[Ticker]], dim_company[], 2, FALSE)</f>
        <v>Microsoft Corp.</v>
      </c>
      <c r="N1340" t="str">
        <f>VLOOKUP(fact_daily_prices[[#This Row],[Ticker]], dim_company[], 3, FALSE)</f>
        <v>Technology</v>
      </c>
    </row>
    <row r="1341" spans="1:14" x14ac:dyDescent="0.3">
      <c r="A1341" s="1">
        <v>45966</v>
      </c>
      <c r="B1341">
        <v>503.96823120117188</v>
      </c>
      <c r="C1341">
        <v>511.58997398954807</v>
      </c>
      <c r="D1341">
        <v>503.39186440425522</v>
      </c>
      <c r="E1341">
        <v>510.06957381432881</v>
      </c>
      <c r="F1341">
        <v>23024300</v>
      </c>
      <c r="G1341" s="2" t="s">
        <v>14</v>
      </c>
      <c r="H1341">
        <v>-1.3940587315086628</v>
      </c>
      <c r="I1341">
        <v>111.09415019828258</v>
      </c>
      <c r="J1341">
        <v>511.08835205078122</v>
      </c>
      <c r="K1341">
        <v>1.0860557539885727</v>
      </c>
      <c r="L1341">
        <v>0</v>
      </c>
      <c r="M1341" t="str">
        <f>VLOOKUP(fact_daily_prices[[#This Row],[Ticker]], dim_company[], 2, FALSE)</f>
        <v>Microsoft Corp.</v>
      </c>
      <c r="N1341" t="str">
        <f>VLOOKUP(fact_daily_prices[[#This Row],[Ticker]], dim_company[], 3, FALSE)</f>
        <v>Technology</v>
      </c>
    </row>
    <row r="1342" spans="1:14" x14ac:dyDescent="0.3">
      <c r="A1342" s="1">
        <v>45967</v>
      </c>
      <c r="B1342">
        <v>493.9715576171875</v>
      </c>
      <c r="C1342">
        <v>502.51744045426449</v>
      </c>
      <c r="D1342">
        <v>492.6896676102462</v>
      </c>
      <c r="E1342">
        <v>502.47768369906362</v>
      </c>
      <c r="F1342">
        <v>27406500</v>
      </c>
      <c r="G1342" s="2" t="s">
        <v>14</v>
      </c>
      <c r="H1342">
        <v>-1.9835920133612461</v>
      </c>
      <c r="I1342">
        <v>108.89049550763789</v>
      </c>
      <c r="J1342">
        <v>510.89676513671873</v>
      </c>
      <c r="K1342">
        <v>1.1396581076415335</v>
      </c>
      <c r="L1342">
        <v>0</v>
      </c>
      <c r="M1342" t="str">
        <f>VLOOKUP(fact_daily_prices[[#This Row],[Ticker]], dim_company[], 2, FALSE)</f>
        <v>Microsoft Corp.</v>
      </c>
      <c r="N1342" t="str">
        <f>VLOOKUP(fact_daily_prices[[#This Row],[Ticker]], dim_company[], 3, FALSE)</f>
        <v>Technology</v>
      </c>
    </row>
    <row r="1343" spans="1:14" x14ac:dyDescent="0.3">
      <c r="A1343" s="1">
        <v>45968</v>
      </c>
      <c r="B1343">
        <v>493.69332885742188</v>
      </c>
      <c r="C1343">
        <v>496.23721537152568</v>
      </c>
      <c r="D1343">
        <v>490.14578895573521</v>
      </c>
      <c r="E1343">
        <v>493.82251556974671</v>
      </c>
      <c r="F1343">
        <v>24019800</v>
      </c>
      <c r="G1343" s="2" t="s">
        <v>14</v>
      </c>
      <c r="H1343">
        <v>-5.6324854230016541E-2</v>
      </c>
      <c r="I1343">
        <v>108.82916309477287</v>
      </c>
      <c r="J1343">
        <v>510.64197814941406</v>
      </c>
      <c r="K1343">
        <v>1.1259618348858351</v>
      </c>
      <c r="L1343">
        <v>0</v>
      </c>
      <c r="M1343" t="str">
        <f>VLOOKUP(fact_daily_prices[[#This Row],[Ticker]], dim_company[], 2, FALSE)</f>
        <v>Microsoft Corp.</v>
      </c>
      <c r="N1343" t="str">
        <f>VLOOKUP(fact_daily_prices[[#This Row],[Ticker]], dim_company[], 3, FALSE)</f>
        <v>Technology</v>
      </c>
    </row>
    <row r="1344" spans="1:14" x14ac:dyDescent="0.3">
      <c r="A1344" s="1">
        <v>45971</v>
      </c>
      <c r="B1344">
        <v>502.8155517578125</v>
      </c>
      <c r="C1344">
        <v>503.66020845333969</v>
      </c>
      <c r="D1344">
        <v>495.66085193460816</v>
      </c>
      <c r="E1344">
        <v>496.8930687697553</v>
      </c>
      <c r="F1344">
        <v>26101500</v>
      </c>
      <c r="G1344" s="2" t="s">
        <v>14</v>
      </c>
      <c r="H1344">
        <v>1.8477508945690335</v>
      </c>
      <c r="I1344">
        <v>110.84005492940851</v>
      </c>
      <c r="J1344">
        <v>510.62826477050783</v>
      </c>
      <c r="K1344">
        <v>1.1740883646222429</v>
      </c>
      <c r="L1344">
        <v>0</v>
      </c>
      <c r="M1344" t="str">
        <f>VLOOKUP(fact_daily_prices[[#This Row],[Ticker]], dim_company[], 2, FALSE)</f>
        <v>Microsoft Corp.</v>
      </c>
      <c r="N1344" t="str">
        <f>VLOOKUP(fact_daily_prices[[#This Row],[Ticker]], dim_company[], 3, FALSE)</f>
        <v>Technology</v>
      </c>
    </row>
    <row r="1345" spans="1:14" x14ac:dyDescent="0.3">
      <c r="A1345" s="1">
        <v>45972</v>
      </c>
      <c r="B1345">
        <v>505.47866821289063</v>
      </c>
      <c r="C1345">
        <v>506.39289163210333</v>
      </c>
      <c r="D1345">
        <v>499.1885187507047</v>
      </c>
      <c r="E1345">
        <v>501.62308173600388</v>
      </c>
      <c r="F1345">
        <v>17980000</v>
      </c>
      <c r="G1345" s="2" t="s">
        <v>14</v>
      </c>
      <c r="H1345">
        <v>0.52964082868320883</v>
      </c>
      <c r="I1345">
        <v>111.42710911484957</v>
      </c>
      <c r="J1345">
        <v>510.69901672363284</v>
      </c>
      <c r="K1345">
        <v>1.1717984271751316</v>
      </c>
      <c r="L1345">
        <v>0</v>
      </c>
      <c r="M1345" t="str">
        <f>VLOOKUP(fact_daily_prices[[#This Row],[Ticker]], dim_company[], 2, FALSE)</f>
        <v>Microsoft Corp.</v>
      </c>
      <c r="N1345" t="str">
        <f>VLOOKUP(fact_daily_prices[[#This Row],[Ticker]], dim_company[], 3, FALSE)</f>
        <v>Technology</v>
      </c>
    </row>
    <row r="1346" spans="1:14" x14ac:dyDescent="0.3">
      <c r="A1346" s="1">
        <v>45973</v>
      </c>
      <c r="B1346">
        <v>507.9232177734375</v>
      </c>
      <c r="C1346">
        <v>508.44988107054138</v>
      </c>
      <c r="D1346">
        <v>495.97884475812731</v>
      </c>
      <c r="E1346">
        <v>506.1543908722183</v>
      </c>
      <c r="F1346">
        <v>26574900</v>
      </c>
      <c r="G1346" s="2" t="s">
        <v>14</v>
      </c>
      <c r="H1346">
        <v>0.48361082559418289</v>
      </c>
      <c r="I1346">
        <v>111.96598267717563</v>
      </c>
      <c r="J1346">
        <v>510.8140881347656</v>
      </c>
      <c r="K1346">
        <v>1.1737555067134837</v>
      </c>
      <c r="L1346">
        <v>0</v>
      </c>
      <c r="M1346" t="str">
        <f>VLOOKUP(fact_daily_prices[[#This Row],[Ticker]], dim_company[], 2, FALSE)</f>
        <v>Microsoft Corp.</v>
      </c>
      <c r="N1346" t="str">
        <f>VLOOKUP(fact_daily_prices[[#This Row],[Ticker]], dim_company[], 3, FALSE)</f>
        <v>Technology</v>
      </c>
    </row>
    <row r="1347" spans="1:14" x14ac:dyDescent="0.3">
      <c r="A1347" s="1">
        <v>45974</v>
      </c>
      <c r="B1347">
        <v>500.12258911132813</v>
      </c>
      <c r="C1347">
        <v>510.26832472026871</v>
      </c>
      <c r="D1347">
        <v>498.13517596733487</v>
      </c>
      <c r="E1347">
        <v>507.09839832955799</v>
      </c>
      <c r="F1347">
        <v>25273100</v>
      </c>
      <c r="G1347" s="2" t="s">
        <v>14</v>
      </c>
      <c r="H1347">
        <v>-1.5357889517838341</v>
      </c>
      <c r="I1347">
        <v>110.24642148546337</v>
      </c>
      <c r="J1347">
        <v>510.72107666015626</v>
      </c>
      <c r="K1347">
        <v>1.1981793514412213</v>
      </c>
      <c r="L1347">
        <v>0</v>
      </c>
      <c r="M1347" t="str">
        <f>VLOOKUP(fact_daily_prices[[#This Row],[Ticker]], dim_company[], 2, FALSE)</f>
        <v>Microsoft Corp.</v>
      </c>
      <c r="N1347" t="str">
        <f>VLOOKUP(fact_daily_prices[[#This Row],[Ticker]], dim_company[], 3, FALSE)</f>
        <v>Technology</v>
      </c>
    </row>
    <row r="1348" spans="1:14" x14ac:dyDescent="0.3">
      <c r="A1348" s="1">
        <v>45975</v>
      </c>
      <c r="B1348">
        <v>506.96926879882813</v>
      </c>
      <c r="C1348">
        <v>508.38034563343172</v>
      </c>
      <c r="D1348">
        <v>494.30945534799008</v>
      </c>
      <c r="E1348">
        <v>495.09449211954848</v>
      </c>
      <c r="F1348">
        <v>28505700</v>
      </c>
      <c r="G1348" s="2" t="s">
        <v>14</v>
      </c>
      <c r="H1348">
        <v>1.3690002884424679</v>
      </c>
      <c r="I1348">
        <v>111.75569531359686</v>
      </c>
      <c r="J1348">
        <v>511.02276611328125</v>
      </c>
      <c r="K1348">
        <v>1.225170502420498</v>
      </c>
      <c r="L1348">
        <v>0</v>
      </c>
      <c r="M1348" t="str">
        <f>VLOOKUP(fact_daily_prices[[#This Row],[Ticker]], dim_company[], 2, FALSE)</f>
        <v>Microsoft Corp.</v>
      </c>
      <c r="N1348" t="str">
        <f>VLOOKUP(fact_daily_prices[[#This Row],[Ticker]], dim_company[], 3, FALSE)</f>
        <v>Technology</v>
      </c>
    </row>
    <row r="1349" spans="1:14" x14ac:dyDescent="0.3">
      <c r="A1349" s="1">
        <v>45978</v>
      </c>
      <c r="B1349">
        <v>504.29617309570313</v>
      </c>
      <c r="C1349">
        <v>508.89703969159092</v>
      </c>
      <c r="D1349">
        <v>501.73242330739504</v>
      </c>
      <c r="E1349">
        <v>505.25015330460292</v>
      </c>
      <c r="F1349">
        <v>19092800</v>
      </c>
      <c r="G1349" s="2" t="s">
        <v>14</v>
      </c>
      <c r="H1349">
        <v>-0.52726977109646134</v>
      </c>
      <c r="I1349">
        <v>111.1664413147296</v>
      </c>
      <c r="J1349">
        <v>511.20739685058595</v>
      </c>
      <c r="K1349">
        <v>1.1544652000927216</v>
      </c>
      <c r="L1349">
        <v>0</v>
      </c>
      <c r="M1349" t="str">
        <f>VLOOKUP(fact_daily_prices[[#This Row],[Ticker]], dim_company[], 2, FALSE)</f>
        <v>Microsoft Corp.</v>
      </c>
      <c r="N1349" t="str">
        <f>VLOOKUP(fact_daily_prices[[#This Row],[Ticker]], dim_company[], 3, FALSE)</f>
        <v>Technology</v>
      </c>
    </row>
    <row r="1350" spans="1:14" x14ac:dyDescent="0.3">
      <c r="A1350" s="1">
        <v>45979</v>
      </c>
      <c r="B1350">
        <v>490.68240356445313</v>
      </c>
      <c r="C1350">
        <v>499.81456988754343</v>
      </c>
      <c r="D1350">
        <v>483.71651040889282</v>
      </c>
      <c r="E1350">
        <v>492.2524466910109</v>
      </c>
      <c r="F1350">
        <v>33815100</v>
      </c>
      <c r="G1350" s="2" t="s">
        <v>14</v>
      </c>
      <c r="H1350">
        <v>-2.6995583662036693</v>
      </c>
      <c r="I1350">
        <v>108.16543834780691</v>
      </c>
      <c r="J1350">
        <v>511.11557861328123</v>
      </c>
      <c r="K1350">
        <v>1.2401313775698259</v>
      </c>
      <c r="L1350">
        <v>0</v>
      </c>
      <c r="M1350" t="str">
        <f>VLOOKUP(fact_daily_prices[[#This Row],[Ticker]], dim_company[], 2, FALSE)</f>
        <v>Microsoft Corp.</v>
      </c>
      <c r="N1350" t="str">
        <f>VLOOKUP(fact_daily_prices[[#This Row],[Ticker]], dim_company[], 3, FALSE)</f>
        <v>Technology</v>
      </c>
    </row>
    <row r="1351" spans="1:14" x14ac:dyDescent="0.3">
      <c r="A1351" s="1">
        <v>45980</v>
      </c>
      <c r="B1351">
        <v>484.05438232421881</v>
      </c>
      <c r="C1351">
        <v>492.07360233126627</v>
      </c>
      <c r="D1351">
        <v>479.79137227085766</v>
      </c>
      <c r="E1351">
        <v>487.01563908182612</v>
      </c>
      <c r="F1351">
        <v>23245300</v>
      </c>
      <c r="G1351" s="2" t="s">
        <v>14</v>
      </c>
      <c r="H1351">
        <v>-1.3507762234974297</v>
      </c>
      <c r="I1351">
        <v>106.70436532456297</v>
      </c>
      <c r="J1351">
        <v>510.85224670410156</v>
      </c>
      <c r="K1351">
        <v>1.2559291833453448</v>
      </c>
      <c r="L1351">
        <v>0</v>
      </c>
      <c r="M1351" t="str">
        <f>VLOOKUP(fact_daily_prices[[#This Row],[Ticker]], dim_company[], 2, FALSE)</f>
        <v>Microsoft Corp.</v>
      </c>
      <c r="N1351" t="str">
        <f>VLOOKUP(fact_daily_prices[[#This Row],[Ticker]], dim_company[], 3, FALSE)</f>
        <v>Technology</v>
      </c>
    </row>
    <row r="1352" spans="1:14" x14ac:dyDescent="0.3">
      <c r="A1352" s="1">
        <v>45981</v>
      </c>
      <c r="B1352">
        <v>476.30886840820313</v>
      </c>
      <c r="C1352">
        <v>491.38175964679192</v>
      </c>
      <c r="D1352">
        <v>473.39186588492817</v>
      </c>
      <c r="E1352">
        <v>490.52555666680638</v>
      </c>
      <c r="F1352">
        <v>26802500</v>
      </c>
      <c r="G1352" s="2" t="s">
        <v>14</v>
      </c>
      <c r="H1352">
        <v>-1.6001330013427628</v>
      </c>
      <c r="I1352">
        <v>104.99695356113131</v>
      </c>
      <c r="J1352">
        <v>510.42128479003907</v>
      </c>
      <c r="K1352">
        <v>1.2797833662530067</v>
      </c>
      <c r="L1352">
        <v>0</v>
      </c>
      <c r="M1352" t="str">
        <f>VLOOKUP(fact_daily_prices[[#This Row],[Ticker]], dim_company[], 2, FALSE)</f>
        <v>Microsoft Corp.</v>
      </c>
      <c r="N1352" t="str">
        <f>VLOOKUP(fact_daily_prices[[#This Row],[Ticker]], dim_company[], 3, FALSE)</f>
        <v>Technology</v>
      </c>
    </row>
    <row r="1353" spans="1:14" x14ac:dyDescent="0.3">
      <c r="A1353" s="1">
        <v>45982</v>
      </c>
      <c r="B1353">
        <v>470.02682495117188</v>
      </c>
      <c r="C1353">
        <v>476.79669500364201</v>
      </c>
      <c r="D1353">
        <v>466.19388806310616</v>
      </c>
      <c r="E1353">
        <v>476.37854372871908</v>
      </c>
      <c r="F1353">
        <v>31769200</v>
      </c>
      <c r="G1353" s="2" t="s">
        <v>14</v>
      </c>
      <c r="H1353">
        <v>-1.3189012159327329</v>
      </c>
      <c r="I1353">
        <v>103.6121474639212</v>
      </c>
      <c r="J1353">
        <v>509.68800109863281</v>
      </c>
      <c r="K1353">
        <v>1.244313583517991</v>
      </c>
      <c r="L1353">
        <v>0</v>
      </c>
      <c r="M1353" t="str">
        <f>VLOOKUP(fact_daily_prices[[#This Row],[Ticker]], dim_company[], 2, FALSE)</f>
        <v>Microsoft Corp.</v>
      </c>
      <c r="N1353" t="str">
        <f>VLOOKUP(fact_daily_prices[[#This Row],[Ticker]], dim_company[], 3, FALSE)</f>
        <v>Technology</v>
      </c>
    </row>
    <row r="1354" spans="1:14" x14ac:dyDescent="0.3">
      <c r="A1354" s="1">
        <v>45985</v>
      </c>
      <c r="B1354">
        <v>471.89852905273438</v>
      </c>
      <c r="C1354">
        <v>474.78566587554639</v>
      </c>
      <c r="D1354">
        <v>465.94503034352039</v>
      </c>
      <c r="E1354">
        <v>472.89409556972328</v>
      </c>
      <c r="F1354">
        <v>34421000</v>
      </c>
      <c r="G1354" s="2" t="s">
        <v>14</v>
      </c>
      <c r="H1354">
        <v>0.39821218751865395</v>
      </c>
      <c r="I1354">
        <v>104.02474366287234</v>
      </c>
      <c r="J1354">
        <v>508.88363891601563</v>
      </c>
      <c r="K1354">
        <v>1.2399883384431536</v>
      </c>
      <c r="L1354">
        <v>0</v>
      </c>
      <c r="M1354" t="str">
        <f>VLOOKUP(fact_daily_prices[[#This Row],[Ticker]], dim_company[], 2, FALSE)</f>
        <v>Microsoft Corp.</v>
      </c>
      <c r="N1354" t="str">
        <f>VLOOKUP(fact_daily_prices[[#This Row],[Ticker]], dim_company[], 3, FALSE)</f>
        <v>Technology</v>
      </c>
    </row>
    <row r="1355" spans="1:14" x14ac:dyDescent="0.3">
      <c r="A1355" s="1">
        <v>45986</v>
      </c>
      <c r="B1355">
        <v>474.87521362304688</v>
      </c>
      <c r="C1355">
        <v>477.02564072103849</v>
      </c>
      <c r="D1355">
        <v>462.82888433135167</v>
      </c>
      <c r="E1355">
        <v>471.96817671110921</v>
      </c>
      <c r="F1355">
        <v>28019800</v>
      </c>
      <c r="G1355" s="2" t="s">
        <v>14</v>
      </c>
      <c r="H1355">
        <v>0.63078911822160855</v>
      </c>
      <c r="I1355">
        <v>104.68092042615567</v>
      </c>
      <c r="J1355">
        <v>508.26441467285156</v>
      </c>
      <c r="K1355">
        <v>1.2502759227239013</v>
      </c>
      <c r="L1355">
        <v>0</v>
      </c>
      <c r="M1355" t="str">
        <f>VLOOKUP(fact_daily_prices[[#This Row],[Ticker]], dim_company[], 2, FALSE)</f>
        <v>Microsoft Corp.</v>
      </c>
      <c r="N1355" t="str">
        <f>VLOOKUP(fact_daily_prices[[#This Row],[Ticker]], dim_company[], 3, FALSE)</f>
        <v>Technology</v>
      </c>
    </row>
    <row r="1356" spans="1:14" x14ac:dyDescent="0.3">
      <c r="A1356" s="1">
        <v>45987</v>
      </c>
      <c r="B1356">
        <v>483.34750366210938</v>
      </c>
      <c r="C1356">
        <v>486.14504291080738</v>
      </c>
      <c r="D1356">
        <v>479.0665801492176</v>
      </c>
      <c r="E1356">
        <v>484.15391004299232</v>
      </c>
      <c r="F1356">
        <v>25709100</v>
      </c>
      <c r="G1356" s="2" t="s">
        <v>14</v>
      </c>
      <c r="H1356">
        <v>1.7841087081432283</v>
      </c>
      <c r="I1356">
        <v>106.54854184324319</v>
      </c>
      <c r="J1356">
        <v>507.7951599121094</v>
      </c>
      <c r="K1356">
        <v>1.3031340313672353</v>
      </c>
      <c r="L1356">
        <v>0</v>
      </c>
      <c r="M1356" t="str">
        <f>VLOOKUP(fact_daily_prices[[#This Row],[Ticker]], dim_company[], 2, FALSE)</f>
        <v>Microsoft Corp.</v>
      </c>
      <c r="N1356" t="str">
        <f>VLOOKUP(fact_daily_prices[[#This Row],[Ticker]], dim_company[], 3, FALSE)</f>
        <v>Technology</v>
      </c>
    </row>
    <row r="1357" spans="1:14" x14ac:dyDescent="0.3">
      <c r="A1357" s="1">
        <v>45989</v>
      </c>
      <c r="B1357">
        <v>489.82867431640631</v>
      </c>
      <c r="C1357">
        <v>490.4459206738112</v>
      </c>
      <c r="D1357">
        <v>484.49242217644121</v>
      </c>
      <c r="E1357">
        <v>485.43822248683767</v>
      </c>
      <c r="F1357">
        <v>14386700</v>
      </c>
      <c r="G1357" s="2" t="s">
        <v>14</v>
      </c>
      <c r="H1357">
        <v>1.3408925473271216</v>
      </c>
      <c r="I1357">
        <v>107.97724330010494</v>
      </c>
      <c r="J1357">
        <v>507.48673034667968</v>
      </c>
      <c r="K1357">
        <v>1.3313938437961115</v>
      </c>
      <c r="L1357">
        <v>0</v>
      </c>
      <c r="M1357" t="str">
        <f>VLOOKUP(fact_daily_prices[[#This Row],[Ticker]], dim_company[], 2, FALSE)</f>
        <v>Microsoft Corp.</v>
      </c>
      <c r="N1357" t="str">
        <f>VLOOKUP(fact_daily_prices[[#This Row],[Ticker]], dim_company[], 3, FALSE)</f>
        <v>Technology</v>
      </c>
    </row>
    <row r="1358" spans="1:14" x14ac:dyDescent="0.3">
      <c r="A1358" s="1">
        <v>45992</v>
      </c>
      <c r="B1358">
        <v>484.58200073242188</v>
      </c>
      <c r="C1358">
        <v>487.68816317334665</v>
      </c>
      <c r="D1358">
        <v>482.50127051247262</v>
      </c>
      <c r="E1358">
        <v>486.27447583839381</v>
      </c>
      <c r="F1358">
        <v>23964000</v>
      </c>
      <c r="G1358" s="2" t="s">
        <v>14</v>
      </c>
      <c r="H1358">
        <v>-1.0711242234453855</v>
      </c>
      <c r="I1358">
        <v>106.82067289130896</v>
      </c>
      <c r="J1358">
        <v>506.88496093750001</v>
      </c>
      <c r="K1358">
        <v>1.3390454353520118</v>
      </c>
      <c r="L1358">
        <v>0</v>
      </c>
      <c r="M1358" t="str">
        <f>VLOOKUP(fact_daily_prices[[#This Row],[Ticker]], dim_company[], 2, FALSE)</f>
        <v>Microsoft Corp.</v>
      </c>
      <c r="N1358" t="str">
        <f>VLOOKUP(fact_daily_prices[[#This Row],[Ticker]], dim_company[], 3, FALSE)</f>
        <v>Technology</v>
      </c>
    </row>
    <row r="1359" spans="1:14" x14ac:dyDescent="0.3">
      <c r="A1359" s="1">
        <v>45993</v>
      </c>
      <c r="B1359">
        <v>487.82757568359375</v>
      </c>
      <c r="C1359">
        <v>491.312058367048</v>
      </c>
      <c r="D1359">
        <v>484.16389832530848</v>
      </c>
      <c r="E1359">
        <v>484.56211884124775</v>
      </c>
      <c r="F1359">
        <v>19562700</v>
      </c>
      <c r="G1359" s="2" t="s">
        <v>14</v>
      </c>
      <c r="H1359">
        <v>0.66976795387907462</v>
      </c>
      <c r="I1359">
        <v>107.53612352645297</v>
      </c>
      <c r="J1359">
        <v>506.41726440429687</v>
      </c>
      <c r="K1359">
        <v>1.3399792542392552</v>
      </c>
      <c r="L1359">
        <v>0</v>
      </c>
      <c r="M1359" t="str">
        <f>VLOOKUP(fact_daily_prices[[#This Row],[Ticker]], dim_company[], 2, FALSE)</f>
        <v>Microsoft Corp.</v>
      </c>
      <c r="N1359" t="str">
        <f>VLOOKUP(fact_daily_prices[[#This Row],[Ticker]], dim_company[], 3, FALSE)</f>
        <v>Technology</v>
      </c>
    </row>
    <row r="1360" spans="1:14" x14ac:dyDescent="0.3">
      <c r="A1360" s="1">
        <v>45994</v>
      </c>
      <c r="B1360">
        <v>475.61196899414063</v>
      </c>
      <c r="C1360">
        <v>482.09308589504877</v>
      </c>
      <c r="D1360">
        <v>473.0931871020635</v>
      </c>
      <c r="E1360">
        <v>474.2082166599713</v>
      </c>
      <c r="F1360">
        <v>34615100</v>
      </c>
      <c r="G1360" s="2" t="s">
        <v>14</v>
      </c>
      <c r="H1360">
        <v>-2.5040828559835693</v>
      </c>
      <c r="I1360">
        <v>104.84332989323775</v>
      </c>
      <c r="J1360">
        <v>505.80899841308593</v>
      </c>
      <c r="K1360">
        <v>1.4045136790839106</v>
      </c>
      <c r="L1360">
        <v>0</v>
      </c>
      <c r="M1360" t="str">
        <f>VLOOKUP(fact_daily_prices[[#This Row],[Ticker]], dim_company[], 2, FALSE)</f>
        <v>Microsoft Corp.</v>
      </c>
      <c r="N1360" t="str">
        <f>VLOOKUP(fact_daily_prices[[#This Row],[Ticker]], dim_company[], 3, FALSE)</f>
        <v>Technology</v>
      </c>
    </row>
    <row r="1361" spans="1:14" x14ac:dyDescent="0.3">
      <c r="A1361" s="1">
        <v>45995</v>
      </c>
      <c r="B1361">
        <v>478.70816040039063</v>
      </c>
      <c r="C1361">
        <v>479.18604322625202</v>
      </c>
      <c r="D1361">
        <v>474.37744033674369</v>
      </c>
      <c r="E1361">
        <v>477.63296202004813</v>
      </c>
      <c r="F1361">
        <v>22318200</v>
      </c>
      <c r="G1361" s="2" t="s">
        <v>14</v>
      </c>
      <c r="H1361">
        <v>0.65099106164170362</v>
      </c>
      <c r="I1361">
        <v>105.52585059957025</v>
      </c>
      <c r="J1361">
        <v>505.24437316894529</v>
      </c>
      <c r="K1361">
        <v>1.4064957209024915</v>
      </c>
      <c r="L1361">
        <v>0</v>
      </c>
      <c r="M1361" t="str">
        <f>VLOOKUP(fact_daily_prices[[#This Row],[Ticker]], dim_company[], 2, FALSE)</f>
        <v>Microsoft Corp.</v>
      </c>
      <c r="N1361" t="str">
        <f>VLOOKUP(fact_daily_prices[[#This Row],[Ticker]], dim_company[], 3, FALSE)</f>
        <v>Technology</v>
      </c>
    </row>
    <row r="1362" spans="1:14" x14ac:dyDescent="0.3">
      <c r="A1362" s="1">
        <v>45996</v>
      </c>
      <c r="B1362">
        <v>481.01788330078131</v>
      </c>
      <c r="C1362">
        <v>481.25680952330993</v>
      </c>
      <c r="D1362">
        <v>476.75686016611991</v>
      </c>
      <c r="E1362">
        <v>480.3807061976695</v>
      </c>
      <c r="F1362">
        <v>22608700</v>
      </c>
      <c r="G1362" s="2" t="s">
        <v>14</v>
      </c>
      <c r="H1362">
        <v>0.48249081412332639</v>
      </c>
      <c r="I1362">
        <v>106.03500313523868</v>
      </c>
      <c r="J1362">
        <v>504.78794921874999</v>
      </c>
      <c r="K1362">
        <v>1.4121575922215499</v>
      </c>
      <c r="L1362">
        <v>0</v>
      </c>
      <c r="M1362" t="str">
        <f>VLOOKUP(fact_daily_prices[[#This Row],[Ticker]], dim_company[], 2, FALSE)</f>
        <v>Microsoft Corp.</v>
      </c>
      <c r="N1362" t="str">
        <f>VLOOKUP(fact_daily_prices[[#This Row],[Ticker]], dim_company[], 3, FALSE)</f>
        <v>Technology</v>
      </c>
    </row>
    <row r="1363" spans="1:14" x14ac:dyDescent="0.3">
      <c r="A1363" s="1">
        <v>45999</v>
      </c>
      <c r="B1363">
        <v>488.84304809570313</v>
      </c>
      <c r="C1363">
        <v>490.11737199051481</v>
      </c>
      <c r="D1363">
        <v>482.23250238582978</v>
      </c>
      <c r="E1363">
        <v>482.74025101921535</v>
      </c>
      <c r="F1363">
        <v>21965900</v>
      </c>
      <c r="G1363" s="2" t="s">
        <v>14</v>
      </c>
      <c r="H1363">
        <v>1.6267929045017837</v>
      </c>
      <c r="I1363">
        <v>107.759973042531</v>
      </c>
      <c r="J1363">
        <v>504.39998718261717</v>
      </c>
      <c r="K1363">
        <v>1.4453513788286372</v>
      </c>
      <c r="L1363">
        <v>0</v>
      </c>
      <c r="M1363" t="str">
        <f>VLOOKUP(fact_daily_prices[[#This Row],[Ticker]], dim_company[], 2, FALSE)</f>
        <v>Microsoft Corp.</v>
      </c>
      <c r="N1363" t="str">
        <f>VLOOKUP(fact_daily_prices[[#This Row],[Ticker]], dim_company[], 3, FALSE)</f>
        <v>Technology</v>
      </c>
    </row>
    <row r="1364" spans="1:14" x14ac:dyDescent="0.3">
      <c r="A1364" s="1">
        <v>46000</v>
      </c>
      <c r="B1364">
        <v>489.83859252929688</v>
      </c>
      <c r="C1364">
        <v>489.93815525049575</v>
      </c>
      <c r="D1364">
        <v>486.33420957194568</v>
      </c>
      <c r="E1364">
        <v>486.93155551686198</v>
      </c>
      <c r="F1364">
        <v>14696100</v>
      </c>
      <c r="G1364" s="2" t="s">
        <v>14</v>
      </c>
      <c r="H1364">
        <v>0.20365318428314794</v>
      </c>
      <c r="I1364">
        <v>107.9794296590148</v>
      </c>
      <c r="J1364">
        <v>503.96953124999999</v>
      </c>
      <c r="K1364">
        <v>1.411381883206424</v>
      </c>
      <c r="L1364">
        <v>0</v>
      </c>
      <c r="M1364" t="str">
        <f>VLOOKUP(fact_daily_prices[[#This Row],[Ticker]], dim_company[], 2, FALSE)</f>
        <v>Microsoft Corp.</v>
      </c>
      <c r="N1364" t="str">
        <f>VLOOKUP(fact_daily_prices[[#This Row],[Ticker]], dim_company[], 3, FALSE)</f>
        <v>Technology</v>
      </c>
    </row>
    <row r="1365" spans="1:14" x14ac:dyDescent="0.3">
      <c r="A1365" s="1">
        <v>46001</v>
      </c>
      <c r="B1365">
        <v>476.43826293945313</v>
      </c>
      <c r="C1365">
        <v>482.10303829287767</v>
      </c>
      <c r="D1365">
        <v>472.97368086448898</v>
      </c>
      <c r="E1365">
        <v>481.88401246545567</v>
      </c>
      <c r="F1365">
        <v>35756200</v>
      </c>
      <c r="G1365" s="2" t="s">
        <v>14</v>
      </c>
      <c r="H1365">
        <v>-2.7356622761491201</v>
      </c>
      <c r="I1365">
        <v>105.02547713583215</v>
      </c>
      <c r="J1365">
        <v>503.20448913574216</v>
      </c>
      <c r="K1365">
        <v>1.4177729113418824</v>
      </c>
      <c r="L1365">
        <v>0</v>
      </c>
      <c r="M1365" t="str">
        <f>VLOOKUP(fact_daily_prices[[#This Row],[Ticker]], dim_company[], 2, FALSE)</f>
        <v>Microsoft Corp.</v>
      </c>
      <c r="N1365" t="str">
        <f>VLOOKUP(fact_daily_prices[[#This Row],[Ticker]], dim_company[], 3, FALSE)</f>
        <v>Technology</v>
      </c>
    </row>
    <row r="1366" spans="1:14" x14ac:dyDescent="0.3">
      <c r="A1366" s="1">
        <v>46002</v>
      </c>
      <c r="B1366">
        <v>481.32650756835938</v>
      </c>
      <c r="C1366">
        <v>483.87515522209242</v>
      </c>
      <c r="D1366">
        <v>473.75023116737299</v>
      </c>
      <c r="E1366">
        <v>474.51683677020287</v>
      </c>
      <c r="F1366">
        <v>24669200</v>
      </c>
      <c r="G1366" s="2" t="s">
        <v>14</v>
      </c>
      <c r="H1366">
        <v>1.0259974920459936</v>
      </c>
      <c r="I1366">
        <v>106.10303589725511</v>
      </c>
      <c r="J1366">
        <v>502.50223388671873</v>
      </c>
      <c r="K1366">
        <v>1.4406427155935833</v>
      </c>
      <c r="L1366">
        <v>0</v>
      </c>
      <c r="M1366" t="str">
        <f>VLOOKUP(fact_daily_prices[[#This Row],[Ticker]], dim_company[], 2, FALSE)</f>
        <v>Microsoft Corp.</v>
      </c>
      <c r="N1366" t="str">
        <f>VLOOKUP(fact_daily_prices[[#This Row],[Ticker]], dim_company[], 3, FALSE)</f>
        <v>Technology</v>
      </c>
    </row>
    <row r="1367" spans="1:14" x14ac:dyDescent="0.3">
      <c r="A1367" s="1">
        <v>46003</v>
      </c>
      <c r="B1367">
        <v>476.40841674804688</v>
      </c>
      <c r="C1367">
        <v>480.31105063829824</v>
      </c>
      <c r="D1367">
        <v>474.22812377070761</v>
      </c>
      <c r="E1367">
        <v>477.69270598810579</v>
      </c>
      <c r="F1367">
        <v>21248100</v>
      </c>
      <c r="G1367" s="2" t="s">
        <v>14</v>
      </c>
      <c r="H1367">
        <v>-1.0217785106327315</v>
      </c>
      <c r="I1367">
        <v>105.01889787732803</v>
      </c>
      <c r="J1367">
        <v>501.78051818847655</v>
      </c>
      <c r="K1367">
        <v>1.3643134183839547</v>
      </c>
      <c r="L1367">
        <v>0</v>
      </c>
      <c r="M1367" t="str">
        <f>VLOOKUP(fact_daily_prices[[#This Row],[Ticker]], dim_company[], 2, FALSE)</f>
        <v>Microsoft Corp.</v>
      </c>
      <c r="N1367" t="str">
        <f>VLOOKUP(fact_daily_prices[[#This Row],[Ticker]], dim_company[], 3, FALSE)</f>
        <v>Technology</v>
      </c>
    </row>
    <row r="1368" spans="1:14" x14ac:dyDescent="0.3">
      <c r="A1368" s="1">
        <v>46006</v>
      </c>
      <c r="B1368">
        <v>472.71487426757813</v>
      </c>
      <c r="C1368">
        <v>478.58871031057299</v>
      </c>
      <c r="D1368">
        <v>470.42505317808713</v>
      </c>
      <c r="E1368">
        <v>477.97146396596463</v>
      </c>
      <c r="F1368">
        <v>23727700</v>
      </c>
      <c r="G1368" s="2" t="s">
        <v>14</v>
      </c>
      <c r="H1368">
        <v>-0.77528909033152127</v>
      </c>
      <c r="I1368">
        <v>104.2046978192987</v>
      </c>
      <c r="J1368">
        <v>500.95293457031249</v>
      </c>
      <c r="K1368">
        <v>1.3482411984326266</v>
      </c>
      <c r="L1368">
        <v>0</v>
      </c>
      <c r="M1368" t="str">
        <f>VLOOKUP(fact_daily_prices[[#This Row],[Ticker]], dim_company[], 2, FALSE)</f>
        <v>Microsoft Corp.</v>
      </c>
      <c r="N1368" t="str">
        <f>VLOOKUP(fact_daily_prices[[#This Row],[Ticker]], dim_company[], 3, FALSE)</f>
        <v>Technology</v>
      </c>
    </row>
    <row r="1369" spans="1:14" x14ac:dyDescent="0.3">
      <c r="A1369" s="1">
        <v>46007</v>
      </c>
      <c r="B1369">
        <v>474.27792358398438</v>
      </c>
      <c r="C1369">
        <v>475.77127328381169</v>
      </c>
      <c r="D1369">
        <v>468.79234263095657</v>
      </c>
      <c r="E1369">
        <v>469.8177748762136</v>
      </c>
      <c r="F1369">
        <v>20705600</v>
      </c>
      <c r="G1369" s="2" t="s">
        <v>14</v>
      </c>
      <c r="H1369">
        <v>0.33065371992535564</v>
      </c>
      <c r="I1369">
        <v>104.54925452897521</v>
      </c>
      <c r="J1369">
        <v>499.93362243652342</v>
      </c>
      <c r="K1369">
        <v>1.3526093676077422</v>
      </c>
      <c r="L1369">
        <v>0</v>
      </c>
      <c r="M1369" t="str">
        <f>VLOOKUP(fact_daily_prices[[#This Row],[Ticker]], dim_company[], 2, FALSE)</f>
        <v>Microsoft Corp.</v>
      </c>
      <c r="N1369" t="str">
        <f>VLOOKUP(fact_daily_prices[[#This Row],[Ticker]], dim_company[], 3, FALSE)</f>
        <v>Technology</v>
      </c>
    </row>
    <row r="1370" spans="1:14" x14ac:dyDescent="0.3">
      <c r="A1370" s="1">
        <v>46008</v>
      </c>
      <c r="B1370">
        <v>474.00909423828131</v>
      </c>
      <c r="C1370">
        <v>477.87189693298723</v>
      </c>
      <c r="D1370">
        <v>472.89406467326859</v>
      </c>
      <c r="E1370">
        <v>474.7956002423544</v>
      </c>
      <c r="F1370">
        <v>24527200</v>
      </c>
      <c r="G1370" s="2" t="s">
        <v>14</v>
      </c>
      <c r="H1370">
        <v>-5.6681817207848706E-2</v>
      </c>
      <c r="I1370">
        <v>104.48999411163093</v>
      </c>
      <c r="J1370">
        <v>499.00015686035158</v>
      </c>
      <c r="K1370">
        <v>1.3521370122407306</v>
      </c>
      <c r="L1370">
        <v>0</v>
      </c>
      <c r="M1370" t="str">
        <f>VLOOKUP(fact_daily_prices[[#This Row],[Ticker]], dim_company[], 2, FALSE)</f>
        <v>Microsoft Corp.</v>
      </c>
      <c r="N1370" t="str">
        <f>VLOOKUP(fact_daily_prices[[#This Row],[Ticker]], dim_company[], 3, FALSE)</f>
        <v>Technology</v>
      </c>
    </row>
    <row r="1371" spans="1:14" x14ac:dyDescent="0.3">
      <c r="A1371" s="1">
        <v>46009</v>
      </c>
      <c r="B1371">
        <v>481.83425903320313</v>
      </c>
      <c r="C1371">
        <v>487.42933759345539</v>
      </c>
      <c r="D1371">
        <v>475.77126302846659</v>
      </c>
      <c r="E1371">
        <v>476.06992080908338</v>
      </c>
      <c r="F1371">
        <v>28573500</v>
      </c>
      <c r="G1371" s="2" t="s">
        <v>14</v>
      </c>
      <c r="H1371">
        <v>1.6508469753089061</v>
      </c>
      <c r="I1371">
        <v>106.21496401892323</v>
      </c>
      <c r="J1371">
        <v>498.20590454101563</v>
      </c>
      <c r="K1371">
        <v>1.3767260813924191</v>
      </c>
      <c r="L1371">
        <v>0</v>
      </c>
      <c r="M1371" t="str">
        <f>VLOOKUP(fact_daily_prices[[#This Row],[Ticker]], dim_company[], 2, FALSE)</f>
        <v>Microsoft Corp.</v>
      </c>
      <c r="N1371" t="str">
        <f>VLOOKUP(fact_daily_prices[[#This Row],[Ticker]], dim_company[], 3, FALSE)</f>
        <v>Technology</v>
      </c>
    </row>
    <row r="1372" spans="1:14" x14ac:dyDescent="0.3">
      <c r="A1372" s="1">
        <v>46010</v>
      </c>
      <c r="B1372">
        <v>483.76565551757813</v>
      </c>
      <c r="C1372">
        <v>485.68709144559688</v>
      </c>
      <c r="D1372">
        <v>480.35083955461562</v>
      </c>
      <c r="E1372">
        <v>485.1992432324443</v>
      </c>
      <c r="F1372">
        <v>70836100</v>
      </c>
      <c r="G1372" s="2" t="s">
        <v>14</v>
      </c>
      <c r="H1372">
        <v>0.40084249888132639</v>
      </c>
      <c r="I1372">
        <v>106.64071873488258</v>
      </c>
      <c r="J1372">
        <v>497.49897033691406</v>
      </c>
      <c r="K1372">
        <v>1.3348369120418004</v>
      </c>
      <c r="L1372">
        <v>1</v>
      </c>
      <c r="M1372" t="str">
        <f>VLOOKUP(fact_daily_prices[[#This Row],[Ticker]], dim_company[], 2, FALSE)</f>
        <v>Microsoft Corp.</v>
      </c>
      <c r="N1372" t="str">
        <f>VLOOKUP(fact_daily_prices[[#This Row],[Ticker]], dim_company[], 3, FALSE)</f>
        <v>Technology</v>
      </c>
    </row>
    <row r="1373" spans="1:14" x14ac:dyDescent="0.3">
      <c r="A1373" s="1">
        <v>46013</v>
      </c>
      <c r="B1373">
        <v>482.77011108398438</v>
      </c>
      <c r="C1373">
        <v>486.5632169440421</v>
      </c>
      <c r="D1373">
        <v>480.54998689488741</v>
      </c>
      <c r="E1373">
        <v>483.96477263119721</v>
      </c>
      <c r="F1373">
        <v>16963000</v>
      </c>
      <c r="G1373" s="2" t="s">
        <v>14</v>
      </c>
      <c r="H1373">
        <v>-0.20579063896725147</v>
      </c>
      <c r="I1373">
        <v>106.4212621183988</v>
      </c>
      <c r="J1373">
        <v>496.99948608398438</v>
      </c>
      <c r="K1373">
        <v>1.3350981145509278</v>
      </c>
      <c r="L1373">
        <v>0</v>
      </c>
      <c r="M1373" t="str">
        <f>VLOOKUP(fact_daily_prices[[#This Row],[Ticker]], dim_company[], 2, FALSE)</f>
        <v>Microsoft Corp.</v>
      </c>
      <c r="N1373" t="str">
        <f>VLOOKUP(fact_daily_prices[[#This Row],[Ticker]], dim_company[], 3, FALSE)</f>
        <v>Technology</v>
      </c>
    </row>
    <row r="1374" spans="1:14" x14ac:dyDescent="0.3">
      <c r="A1374" s="1">
        <v>46014</v>
      </c>
      <c r="B1374">
        <v>484.69155883789063</v>
      </c>
      <c r="C1374">
        <v>485.66719456773416</v>
      </c>
      <c r="D1374">
        <v>482.59089771441307</v>
      </c>
      <c r="E1374">
        <v>482.82985433546497</v>
      </c>
      <c r="F1374">
        <v>14683600</v>
      </c>
      <c r="G1374" s="2" t="s">
        <v>14</v>
      </c>
      <c r="H1374">
        <v>0.39800470447350911</v>
      </c>
      <c r="I1374">
        <v>106.84482374819011</v>
      </c>
      <c r="J1374">
        <v>496.47701904296878</v>
      </c>
      <c r="K1374">
        <v>1.2888812461804868</v>
      </c>
      <c r="L1374">
        <v>0</v>
      </c>
      <c r="M1374" t="str">
        <f>VLOOKUP(fact_daily_prices[[#This Row],[Ticker]], dim_company[], 2, FALSE)</f>
        <v>Microsoft Corp.</v>
      </c>
      <c r="N1374" t="str">
        <f>VLOOKUP(fact_daily_prices[[#This Row],[Ticker]], dim_company[], 3, FALSE)</f>
        <v>Technology</v>
      </c>
    </row>
    <row r="1375" spans="1:14" x14ac:dyDescent="0.3">
      <c r="A1375" s="1">
        <v>46015</v>
      </c>
      <c r="B1375">
        <v>485.8563232421875</v>
      </c>
      <c r="C1375">
        <v>486.99128356758632</v>
      </c>
      <c r="D1375">
        <v>482.680463867149</v>
      </c>
      <c r="E1375">
        <v>483.5267014178325</v>
      </c>
      <c r="F1375">
        <v>5855900</v>
      </c>
      <c r="G1375" s="2" t="s">
        <v>14</v>
      </c>
      <c r="H1375">
        <v>0.24031043723755641</v>
      </c>
      <c r="I1375">
        <v>107.10158301130508</v>
      </c>
      <c r="J1375">
        <v>495.98738830566407</v>
      </c>
      <c r="K1375">
        <v>1.2849738617112432</v>
      </c>
      <c r="L1375">
        <v>0</v>
      </c>
      <c r="M1375" t="str">
        <f>VLOOKUP(fact_daily_prices[[#This Row],[Ticker]], dim_company[], 2, FALSE)</f>
        <v>Microsoft Corp.</v>
      </c>
      <c r="N1375" t="str">
        <f>VLOOKUP(fact_daily_prices[[#This Row],[Ticker]], dim_company[], 3, FALSE)</f>
        <v>Technology</v>
      </c>
    </row>
    <row r="1376" spans="1:14" x14ac:dyDescent="0.3">
      <c r="A1376" s="1">
        <v>46017</v>
      </c>
      <c r="B1376">
        <v>485.5477294921875</v>
      </c>
      <c r="C1376">
        <v>485.95591540329991</v>
      </c>
      <c r="D1376">
        <v>483.80548811616762</v>
      </c>
      <c r="E1376">
        <v>484.55216299160469</v>
      </c>
      <c r="F1376">
        <v>8842200</v>
      </c>
      <c r="G1376" s="2" t="s">
        <v>14</v>
      </c>
      <c r="H1376">
        <v>-6.3515433521732501E-2</v>
      </c>
      <c r="I1376">
        <v>107.03355697654682</v>
      </c>
      <c r="J1376">
        <v>495.49436706542969</v>
      </c>
      <c r="K1376">
        <v>1.2799274864839725</v>
      </c>
      <c r="L1376">
        <v>0</v>
      </c>
      <c r="M1376" t="str">
        <f>VLOOKUP(fact_daily_prices[[#This Row],[Ticker]], dim_company[], 2, FALSE)</f>
        <v>Microsoft Corp.</v>
      </c>
      <c r="N1376" t="str">
        <f>VLOOKUP(fact_daily_prices[[#This Row],[Ticker]], dim_company[], 3, FALSE)</f>
        <v>Technology</v>
      </c>
    </row>
    <row r="1377" spans="1:14" x14ac:dyDescent="0.3">
      <c r="A1377" s="1">
        <v>46020</v>
      </c>
      <c r="B1377">
        <v>484.9404296875</v>
      </c>
      <c r="C1377">
        <v>486.18488776492518</v>
      </c>
      <c r="D1377">
        <v>482.03336225043279</v>
      </c>
      <c r="E1377">
        <v>482.7103401528056</v>
      </c>
      <c r="F1377">
        <v>10893400</v>
      </c>
      <c r="G1377" s="2" t="s">
        <v>14</v>
      </c>
      <c r="H1377">
        <v>-0.12507520225100155</v>
      </c>
      <c r="I1377">
        <v>106.89968453868197</v>
      </c>
      <c r="J1377">
        <v>495.02537109374998</v>
      </c>
      <c r="K1377">
        <v>1.2525807893314338</v>
      </c>
      <c r="L1377">
        <v>0</v>
      </c>
      <c r="M1377" t="str">
        <f>VLOOKUP(fact_daily_prices[[#This Row],[Ticker]], dim_company[], 2, FALSE)</f>
        <v>Microsoft Corp.</v>
      </c>
      <c r="N1377" t="str">
        <f>VLOOKUP(fact_daily_prices[[#This Row],[Ticker]], dim_company[], 3, FALSE)</f>
        <v>Technology</v>
      </c>
    </row>
    <row r="1378" spans="1:14" x14ac:dyDescent="0.3">
      <c r="A1378" s="1">
        <v>46021</v>
      </c>
      <c r="B1378">
        <v>485.31875610351563</v>
      </c>
      <c r="C1378">
        <v>487.50898411884617</v>
      </c>
      <c r="D1378">
        <v>483.3475235456682</v>
      </c>
      <c r="E1378">
        <v>483.77560983811242</v>
      </c>
      <c r="F1378">
        <v>13944500</v>
      </c>
      <c r="G1378" s="2" t="s">
        <v>14</v>
      </c>
      <c r="H1378">
        <v>7.8015028827227439E-2</v>
      </c>
      <c r="I1378">
        <v>106.98308235839104</v>
      </c>
      <c r="J1378">
        <v>494.52478881835935</v>
      </c>
      <c r="K1378">
        <v>1.2223590306503536</v>
      </c>
      <c r="L1378">
        <v>0</v>
      </c>
      <c r="M1378" t="str">
        <f>VLOOKUP(fact_daily_prices[[#This Row],[Ticker]], dim_company[], 2, FALSE)</f>
        <v>Microsoft Corp.</v>
      </c>
      <c r="N1378" t="str">
        <f>VLOOKUP(fact_daily_prices[[#This Row],[Ticker]], dim_company[], 3, FALSE)</f>
        <v>Technology</v>
      </c>
    </row>
    <row r="1379" spans="1:14" x14ac:dyDescent="0.3">
      <c r="A1379" s="1">
        <v>46022</v>
      </c>
      <c r="B1379">
        <v>481.47586059570313</v>
      </c>
      <c r="C1379">
        <v>485.97584057107753</v>
      </c>
      <c r="D1379">
        <v>481.15727202744552</v>
      </c>
      <c r="E1379">
        <v>485.67715239498159</v>
      </c>
      <c r="F1379">
        <v>15601600</v>
      </c>
      <c r="G1379" s="2" t="s">
        <v>14</v>
      </c>
      <c r="H1379">
        <v>-0.79182917607923953</v>
      </c>
      <c r="I1379">
        <v>106.13595909880841</v>
      </c>
      <c r="J1379">
        <v>493.88355407714846</v>
      </c>
      <c r="K1379">
        <v>1.2262116782155557</v>
      </c>
      <c r="L1379">
        <v>0</v>
      </c>
      <c r="M1379" t="str">
        <f>VLOOKUP(fact_daily_prices[[#This Row],[Ticker]], dim_company[], 2, FALSE)</f>
        <v>Microsoft Corp.</v>
      </c>
      <c r="N1379" t="str">
        <f>VLOOKUP(fact_daily_prices[[#This Row],[Ticker]], dim_company[], 3, FALSE)</f>
        <v>Technology</v>
      </c>
    </row>
    <row r="1380" spans="1:14" x14ac:dyDescent="0.3">
      <c r="A1380" s="1">
        <v>46024</v>
      </c>
      <c r="B1380">
        <v>470.84320068359375</v>
      </c>
      <c r="C1380">
        <v>482.51124072733091</v>
      </c>
      <c r="D1380">
        <v>468.07552715971417</v>
      </c>
      <c r="E1380">
        <v>482.24244872265706</v>
      </c>
      <c r="F1380">
        <v>25571600</v>
      </c>
      <c r="G1380" s="2" t="s">
        <v>14</v>
      </c>
      <c r="H1380">
        <v>-2.2083474546271464</v>
      </c>
      <c r="I1380">
        <v>103.79210834760578</v>
      </c>
      <c r="J1380">
        <v>493.01237487792969</v>
      </c>
      <c r="K1380">
        <v>1.1938021320852401</v>
      </c>
      <c r="L1380">
        <v>0</v>
      </c>
      <c r="M1380" t="str">
        <f>VLOOKUP(fact_daily_prices[[#This Row],[Ticker]], dim_company[], 2, FALSE)</f>
        <v>Microsoft Corp.</v>
      </c>
      <c r="N1380" t="str">
        <f>VLOOKUP(fact_daily_prices[[#This Row],[Ticker]], dim_company[], 3, FALSE)</f>
        <v>Technology</v>
      </c>
    </row>
    <row r="1381" spans="1:14" x14ac:dyDescent="0.3">
      <c r="A1381" s="1">
        <v>46027</v>
      </c>
      <c r="B1381">
        <v>470.75360107421881</v>
      </c>
      <c r="C1381">
        <v>473.95932625248497</v>
      </c>
      <c r="D1381">
        <v>467.41844739653146</v>
      </c>
      <c r="E1381">
        <v>471.95822796941729</v>
      </c>
      <c r="F1381">
        <v>25250300</v>
      </c>
      <c r="G1381" s="2" t="s">
        <v>14</v>
      </c>
      <c r="H1381">
        <v>-1.9029606723608428E-2</v>
      </c>
      <c r="I1381">
        <v>103.77235711757709</v>
      </c>
      <c r="J1381">
        <v>492.08216735839846</v>
      </c>
      <c r="K1381">
        <v>1.1714141071674942</v>
      </c>
      <c r="L1381">
        <v>0</v>
      </c>
      <c r="M1381" t="str">
        <f>VLOOKUP(fact_daily_prices[[#This Row],[Ticker]], dim_company[], 2, FALSE)</f>
        <v>Microsoft Corp.</v>
      </c>
      <c r="N1381" t="str">
        <f>VLOOKUP(fact_daily_prices[[#This Row],[Ticker]], dim_company[], 3, FALSE)</f>
        <v>Technology</v>
      </c>
    </row>
    <row r="1382" spans="1:14" x14ac:dyDescent="0.3">
      <c r="A1382" s="1">
        <v>46028</v>
      </c>
      <c r="B1382">
        <v>476.38851928710938</v>
      </c>
      <c r="C1382">
        <v>476.61748012959299</v>
      </c>
      <c r="D1382">
        <v>467.66734732410129</v>
      </c>
      <c r="E1382">
        <v>471.69937935780575</v>
      </c>
      <c r="F1382">
        <v>23037700</v>
      </c>
      <c r="G1382" s="2" t="s">
        <v>14</v>
      </c>
      <c r="H1382">
        <v>1.1969994918853866</v>
      </c>
      <c r="I1382">
        <v>105.01451170499196</v>
      </c>
      <c r="J1382">
        <v>491.26425903320313</v>
      </c>
      <c r="K1382">
        <v>1.1579964604178263</v>
      </c>
      <c r="L1382">
        <v>0</v>
      </c>
      <c r="M1382" t="str">
        <f>VLOOKUP(fact_daily_prices[[#This Row],[Ticker]], dim_company[], 2, FALSE)</f>
        <v>Microsoft Corp.</v>
      </c>
      <c r="N1382" t="str">
        <f>VLOOKUP(fact_daily_prices[[#This Row],[Ticker]], dim_company[], 3, FALSE)</f>
        <v>Technology</v>
      </c>
    </row>
    <row r="1383" spans="1:14" x14ac:dyDescent="0.3">
      <c r="A1383" s="1">
        <v>46029</v>
      </c>
      <c r="B1383">
        <v>481.32650756835938</v>
      </c>
      <c r="C1383">
        <v>487.52889742210527</v>
      </c>
      <c r="D1383">
        <v>475.8309917616744</v>
      </c>
      <c r="E1383">
        <v>477.63296458601815</v>
      </c>
      <c r="F1383">
        <v>25564200</v>
      </c>
      <c r="G1383" s="2" t="s">
        <v>14</v>
      </c>
      <c r="H1383">
        <v>1.0365464492384069</v>
      </c>
      <c r="I1383">
        <v>106.10303589725511</v>
      </c>
      <c r="J1383">
        <v>490.4844952392578</v>
      </c>
      <c r="K1383">
        <v>1.1447688704946382</v>
      </c>
      <c r="L1383">
        <v>0</v>
      </c>
      <c r="M1383" t="str">
        <f>VLOOKUP(fact_daily_prices[[#This Row],[Ticker]], dim_company[], 2, FALSE)</f>
        <v>Microsoft Corp.</v>
      </c>
      <c r="N1383" t="str">
        <f>VLOOKUP(fact_daily_prices[[#This Row],[Ticker]], dim_company[], 3, FALSE)</f>
        <v>Technology</v>
      </c>
    </row>
    <row r="1384" spans="1:14" x14ac:dyDescent="0.3">
      <c r="A1384" s="1">
        <v>46030</v>
      </c>
      <c r="B1384">
        <v>475.99026489257813</v>
      </c>
      <c r="C1384">
        <v>480.52011050814451</v>
      </c>
      <c r="D1384">
        <v>473.75024036094072</v>
      </c>
      <c r="E1384">
        <v>479.10639276886479</v>
      </c>
      <c r="F1384">
        <v>18162600</v>
      </c>
      <c r="G1384" s="2" t="s">
        <v>14</v>
      </c>
      <c r="H1384">
        <v>-1.1086533967845869</v>
      </c>
      <c r="I1384">
        <v>104.92672098568863</v>
      </c>
      <c r="J1384">
        <v>489.44080078125</v>
      </c>
      <c r="K1384">
        <v>1.1634842836544947</v>
      </c>
      <c r="L1384">
        <v>0</v>
      </c>
      <c r="M1384" t="str">
        <f>VLOOKUP(fact_daily_prices[[#This Row],[Ticker]], dim_company[], 2, FALSE)</f>
        <v>Microsoft Corp.</v>
      </c>
      <c r="N1384" t="str">
        <f>VLOOKUP(fact_daily_prices[[#This Row],[Ticker]], dim_company[], 3, FALSE)</f>
        <v>Technology</v>
      </c>
    </row>
    <row r="1385" spans="1:14" x14ac:dyDescent="0.3">
      <c r="A1385" s="1">
        <v>46031</v>
      </c>
      <c r="B1385">
        <v>477.15509033203131</v>
      </c>
      <c r="C1385">
        <v>477.69270472588983</v>
      </c>
      <c r="D1385">
        <v>470.10649318413601</v>
      </c>
      <c r="E1385">
        <v>471.95823221080411</v>
      </c>
      <c r="F1385">
        <v>18491000</v>
      </c>
      <c r="G1385" s="2" t="s">
        <v>14</v>
      </c>
      <c r="H1385">
        <v>0.24471623168933476</v>
      </c>
      <c r="I1385">
        <v>105.18349370331998</v>
      </c>
      <c r="J1385">
        <v>488.21073242187498</v>
      </c>
      <c r="K1385">
        <v>1.1587969620144019</v>
      </c>
      <c r="L1385">
        <v>0</v>
      </c>
      <c r="M1385" t="str">
        <f>VLOOKUP(fact_daily_prices[[#This Row],[Ticker]], dim_company[], 2, FALSE)</f>
        <v>Microsoft Corp.</v>
      </c>
      <c r="N1385" t="str">
        <f>VLOOKUP(fact_daily_prices[[#This Row],[Ticker]], dim_company[], 3, FALSE)</f>
        <v>Technology</v>
      </c>
    </row>
    <row r="1386" spans="1:14" x14ac:dyDescent="0.3">
      <c r="A1386" s="1">
        <v>46034</v>
      </c>
      <c r="B1386">
        <v>475.06439208984375</v>
      </c>
      <c r="C1386">
        <v>478.8574978399144</v>
      </c>
      <c r="D1386">
        <v>473.57104241242143</v>
      </c>
      <c r="E1386">
        <v>474.5566738594685</v>
      </c>
      <c r="F1386">
        <v>23519900</v>
      </c>
      <c r="G1386" s="2" t="s">
        <v>14</v>
      </c>
      <c r="H1386">
        <v>-0.43815905657272891</v>
      </c>
      <c r="I1386">
        <v>104.7226226996393</v>
      </c>
      <c r="J1386">
        <v>486.94918457031253</v>
      </c>
      <c r="K1386">
        <v>1.1124033209228394</v>
      </c>
      <c r="L1386">
        <v>0</v>
      </c>
      <c r="M1386" t="str">
        <f>VLOOKUP(fact_daily_prices[[#This Row],[Ticker]], dim_company[], 2, FALSE)</f>
        <v>Microsoft Corp.</v>
      </c>
      <c r="N1386" t="str">
        <f>VLOOKUP(fact_daily_prices[[#This Row],[Ticker]], dim_company[], 3, FALSE)</f>
        <v>Technology</v>
      </c>
    </row>
    <row r="1387" spans="1:14" x14ac:dyDescent="0.3">
      <c r="A1387" s="1">
        <v>46035</v>
      </c>
      <c r="B1387">
        <v>468.58328247070313</v>
      </c>
      <c r="C1387">
        <v>473.67061253444427</v>
      </c>
      <c r="D1387">
        <v>463.88420753037366</v>
      </c>
      <c r="E1387">
        <v>472.57548334410274</v>
      </c>
      <c r="F1387">
        <v>28545800</v>
      </c>
      <c r="G1387" s="2" t="s">
        <v>14</v>
      </c>
      <c r="H1387">
        <v>-1.3642591882396693</v>
      </c>
      <c r="I1387">
        <v>103.29393469729391</v>
      </c>
      <c r="J1387">
        <v>485.87182678222655</v>
      </c>
      <c r="K1387">
        <v>1.1052538236388614</v>
      </c>
      <c r="L1387">
        <v>0</v>
      </c>
      <c r="M1387" t="str">
        <f>VLOOKUP(fact_daily_prices[[#This Row],[Ticker]], dim_company[], 2, FALSE)</f>
        <v>Microsoft Corp.</v>
      </c>
      <c r="N1387" t="str">
        <f>VLOOKUP(fact_daily_prices[[#This Row],[Ticker]], dim_company[], 3, FALSE)</f>
        <v>Technology</v>
      </c>
    </row>
    <row r="1388" spans="1:14" x14ac:dyDescent="0.3">
      <c r="A1388" s="1">
        <v>46036</v>
      </c>
      <c r="B1388">
        <v>457.34335327148438</v>
      </c>
      <c r="C1388">
        <v>466.12425727832346</v>
      </c>
      <c r="D1388">
        <v>455.14315976714448</v>
      </c>
      <c r="E1388">
        <v>464.39195087185891</v>
      </c>
      <c r="F1388">
        <v>28184300</v>
      </c>
      <c r="G1388" s="2" t="s">
        <v>14</v>
      </c>
      <c r="H1388">
        <v>-2.3987046955567637</v>
      </c>
      <c r="I1388">
        <v>100.81621823548458</v>
      </c>
      <c r="J1388">
        <v>484.72766967773435</v>
      </c>
      <c r="K1388">
        <v>1.1685142392634689</v>
      </c>
      <c r="L1388">
        <v>0</v>
      </c>
      <c r="M1388" t="str">
        <f>VLOOKUP(fact_daily_prices[[#This Row],[Ticker]], dim_company[], 2, FALSE)</f>
        <v>Microsoft Corp.</v>
      </c>
      <c r="N1388" t="str">
        <f>VLOOKUP(fact_daily_prices[[#This Row],[Ticker]], dim_company[], 3, FALSE)</f>
        <v>Technology</v>
      </c>
    </row>
    <row r="1389" spans="1:14" x14ac:dyDescent="0.3">
      <c r="A1389" s="1">
        <v>46037</v>
      </c>
      <c r="B1389">
        <v>454.63540649414063</v>
      </c>
      <c r="C1389">
        <v>462.19175266567697</v>
      </c>
      <c r="D1389">
        <v>453.87876622355958</v>
      </c>
      <c r="E1389">
        <v>462.06232415810086</v>
      </c>
      <c r="F1389">
        <v>23225800</v>
      </c>
      <c r="G1389" s="2" t="s">
        <v>14</v>
      </c>
      <c r="H1389">
        <v>-0.59210366958941663</v>
      </c>
      <c r="I1389">
        <v>100.21928170777099</v>
      </c>
      <c r="J1389">
        <v>483.5448553466797</v>
      </c>
      <c r="K1389">
        <v>1.159322409967638</v>
      </c>
      <c r="L1389">
        <v>0</v>
      </c>
      <c r="M1389" t="str">
        <f>VLOOKUP(fact_daily_prices[[#This Row],[Ticker]], dim_company[], 2, FALSE)</f>
        <v>Microsoft Corp.</v>
      </c>
      <c r="N1389" t="str">
        <f>VLOOKUP(fact_daily_prices[[#This Row],[Ticker]], dim_company[], 3, FALSE)</f>
        <v>Technology</v>
      </c>
    </row>
    <row r="1390" spans="1:14" x14ac:dyDescent="0.3">
      <c r="A1390" s="1">
        <v>46038</v>
      </c>
      <c r="B1390">
        <v>457.82119750976563</v>
      </c>
      <c r="C1390">
        <v>461.13645097900303</v>
      </c>
      <c r="D1390">
        <v>454.45620825056551</v>
      </c>
      <c r="E1390">
        <v>455.8001987238622</v>
      </c>
      <c r="F1390">
        <v>34246700</v>
      </c>
      <c r="G1390" s="2" t="s">
        <v>14</v>
      </c>
      <c r="H1390">
        <v>0.70073535191457204</v>
      </c>
      <c r="I1390">
        <v>100.92155364413222</v>
      </c>
      <c r="J1390">
        <v>482.47941589355469</v>
      </c>
      <c r="K1390">
        <v>1.0878150856533302</v>
      </c>
      <c r="L1390">
        <v>0</v>
      </c>
      <c r="M1390" t="str">
        <f>VLOOKUP(fact_daily_prices[[#This Row],[Ticker]], dim_company[], 2, FALSE)</f>
        <v>Microsoft Corp.</v>
      </c>
      <c r="N1390" t="str">
        <f>VLOOKUP(fact_daily_prices[[#This Row],[Ticker]], dim_company[], 3, FALSE)</f>
        <v>Technology</v>
      </c>
    </row>
    <row r="1391" spans="1:14" x14ac:dyDescent="0.3">
      <c r="A1391" s="1">
        <v>46042</v>
      </c>
      <c r="B1391">
        <v>452.50485229492188</v>
      </c>
      <c r="C1391">
        <v>454.77474258752966</v>
      </c>
      <c r="D1391">
        <v>447.28809381488645</v>
      </c>
      <c r="E1391">
        <v>449.21949516008431</v>
      </c>
      <c r="F1391">
        <v>26130000</v>
      </c>
      <c r="G1391" s="2" t="s">
        <v>14</v>
      </c>
      <c r="H1391">
        <v>-1.1612274057560046</v>
      </c>
      <c r="I1391">
        <v>99.749624904901808</v>
      </c>
      <c r="J1391">
        <v>481.45014831542971</v>
      </c>
      <c r="K1391">
        <v>1.0937543685700597</v>
      </c>
      <c r="L1391">
        <v>0</v>
      </c>
      <c r="M1391" t="str">
        <f>VLOOKUP(fact_daily_prices[[#This Row],[Ticker]], dim_company[], 2, FALSE)</f>
        <v>Microsoft Corp.</v>
      </c>
      <c r="N1391" t="str">
        <f>VLOOKUP(fact_daily_prices[[#This Row],[Ticker]], dim_company[], 3, FALSE)</f>
        <v>Technology</v>
      </c>
    </row>
    <row r="1392" spans="1:14" x14ac:dyDescent="0.3">
      <c r="A1392" s="1">
        <v>46043</v>
      </c>
      <c r="B1392">
        <v>442.1409912109375</v>
      </c>
      <c r="C1392">
        <v>450.68296816672978</v>
      </c>
      <c r="D1392">
        <v>436.7350728053031</v>
      </c>
      <c r="E1392">
        <v>450.59337083419331</v>
      </c>
      <c r="F1392">
        <v>37980500</v>
      </c>
      <c r="G1392" s="2" t="s">
        <v>14</v>
      </c>
      <c r="H1392">
        <v>-2.2903314807395048</v>
      </c>
      <c r="I1392">
        <v>97.465027843785251</v>
      </c>
      <c r="J1392">
        <v>480.41353698730467</v>
      </c>
      <c r="K1392">
        <v>1.1513384936387947</v>
      </c>
      <c r="L1392">
        <v>0</v>
      </c>
      <c r="M1392" t="str">
        <f>VLOOKUP(fact_daily_prices[[#This Row],[Ticker]], dim_company[], 2, FALSE)</f>
        <v>Microsoft Corp.</v>
      </c>
      <c r="N1392" t="str">
        <f>VLOOKUP(fact_daily_prices[[#This Row],[Ticker]], dim_company[], 3, FALSE)</f>
        <v>Technology</v>
      </c>
    </row>
    <row r="1393" spans="1:14" x14ac:dyDescent="0.3">
      <c r="A1393" s="1">
        <v>46044</v>
      </c>
      <c r="B1393">
        <v>449.13986206054688</v>
      </c>
      <c r="C1393">
        <v>450.83230679325681</v>
      </c>
      <c r="D1393">
        <v>442.72841170304127</v>
      </c>
      <c r="E1393">
        <v>445.63544871794392</v>
      </c>
      <c r="F1393">
        <v>25349400</v>
      </c>
      <c r="G1393" s="2" t="s">
        <v>14</v>
      </c>
      <c r="H1393">
        <v>1.582950006612327</v>
      </c>
      <c r="I1393">
        <v>99.007850508483173</v>
      </c>
      <c r="J1393">
        <v>479.52246765136721</v>
      </c>
      <c r="K1393">
        <v>1.1488676325631371</v>
      </c>
      <c r="L1393">
        <v>0</v>
      </c>
      <c r="M1393" t="str">
        <f>VLOOKUP(fact_daily_prices[[#This Row],[Ticker]], dim_company[], 2, FALSE)</f>
        <v>Microsoft Corp.</v>
      </c>
      <c r="N1393" t="str">
        <f>VLOOKUP(fact_daily_prices[[#This Row],[Ticker]], dim_company[], 3, FALSE)</f>
        <v>Technology</v>
      </c>
    </row>
    <row r="1394" spans="1:14" x14ac:dyDescent="0.3">
      <c r="A1394" s="1">
        <v>46045</v>
      </c>
      <c r="B1394">
        <v>463.88418579101563</v>
      </c>
      <c r="C1394">
        <v>469.01134678020321</v>
      </c>
      <c r="D1394">
        <v>448.53253821850132</v>
      </c>
      <c r="E1394">
        <v>449.8665935761158</v>
      </c>
      <c r="F1394">
        <v>38000200</v>
      </c>
      <c r="G1394" s="2" t="s">
        <v>14</v>
      </c>
      <c r="H1394">
        <v>3.2827911695090473</v>
      </c>
      <c r="I1394">
        <v>102.25807148209638</v>
      </c>
      <c r="J1394">
        <v>478.74384033203125</v>
      </c>
      <c r="K1394">
        <v>1.3182153512069328</v>
      </c>
      <c r="L1394">
        <v>0</v>
      </c>
      <c r="M1394" t="str">
        <f>VLOOKUP(fact_daily_prices[[#This Row],[Ticker]], dim_company[], 2, FALSE)</f>
        <v>Microsoft Corp.</v>
      </c>
      <c r="N1394" t="str">
        <f>VLOOKUP(fact_daily_prices[[#This Row],[Ticker]], dim_company[], 3, FALSE)</f>
        <v>Technology</v>
      </c>
    </row>
    <row r="1395" spans="1:14" x14ac:dyDescent="0.3">
      <c r="A1395" s="1">
        <v>46048</v>
      </c>
      <c r="B1395">
        <v>468.19497680664063</v>
      </c>
      <c r="C1395">
        <v>472.1473767264207</v>
      </c>
      <c r="D1395">
        <v>459.95168802869023</v>
      </c>
      <c r="E1395">
        <v>463.24701046255609</v>
      </c>
      <c r="F1395">
        <v>29291200</v>
      </c>
      <c r="G1395" s="2" t="s">
        <v>14</v>
      </c>
      <c r="H1395">
        <v>0.92928173618900267</v>
      </c>
      <c r="I1395">
        <v>103.2083370641586</v>
      </c>
      <c r="J1395">
        <v>477.99816650390625</v>
      </c>
      <c r="K1395">
        <v>1.2400277189340734</v>
      </c>
      <c r="L1395">
        <v>0</v>
      </c>
      <c r="M1395" t="str">
        <f>VLOOKUP(fact_daily_prices[[#This Row],[Ticker]], dim_company[], 2, FALSE)</f>
        <v>Microsoft Corp.</v>
      </c>
      <c r="N1395" t="str">
        <f>VLOOKUP(fact_daily_prices[[#This Row],[Ticker]], dim_company[], 3, FALSE)</f>
        <v>Technology</v>
      </c>
    </row>
    <row r="1396" spans="1:14" x14ac:dyDescent="0.3">
      <c r="A1396" s="1">
        <v>46049</v>
      </c>
      <c r="B1396">
        <v>478.4493408203125</v>
      </c>
      <c r="C1396">
        <v>480.72919663912319</v>
      </c>
      <c r="D1396">
        <v>471.06225431764057</v>
      </c>
      <c r="E1396">
        <v>471.59986874099184</v>
      </c>
      <c r="F1396">
        <v>29213900</v>
      </c>
      <c r="G1396" s="2" t="s">
        <v>14</v>
      </c>
      <c r="H1396">
        <v>2.1901909507044515</v>
      </c>
      <c r="I1396">
        <v>105.46879672291037</v>
      </c>
      <c r="J1396">
        <v>477.40868896484375</v>
      </c>
      <c r="K1396">
        <v>1.2920127880686541</v>
      </c>
      <c r="L1396">
        <v>0</v>
      </c>
      <c r="M1396" t="str">
        <f>VLOOKUP(fact_daily_prices[[#This Row],[Ticker]], dim_company[], 2, FALSE)</f>
        <v>Microsoft Corp.</v>
      </c>
      <c r="N1396" t="str">
        <f>VLOOKUP(fact_daily_prices[[#This Row],[Ticker]], dim_company[], 3, FALSE)</f>
        <v>Technology</v>
      </c>
    </row>
    <row r="1397" spans="1:14" x14ac:dyDescent="0.3">
      <c r="A1397" s="1">
        <v>46050</v>
      </c>
      <c r="B1397">
        <v>479.49465942382813</v>
      </c>
      <c r="C1397">
        <v>481.59528998521279</v>
      </c>
      <c r="D1397">
        <v>475.88074846033959</v>
      </c>
      <c r="E1397">
        <v>481.06764099823619</v>
      </c>
      <c r="F1397">
        <v>36875400</v>
      </c>
      <c r="G1397" s="2" t="s">
        <v>14</v>
      </c>
      <c r="H1397">
        <v>0.21848051911272925</v>
      </c>
      <c r="I1397">
        <v>105.69922549749251</v>
      </c>
      <c r="J1397">
        <v>476.99613037109373</v>
      </c>
      <c r="K1397">
        <v>1.2783560806266761</v>
      </c>
      <c r="L1397">
        <v>0</v>
      </c>
      <c r="M1397" t="str">
        <f>VLOOKUP(fact_daily_prices[[#This Row],[Ticker]], dim_company[], 2, FALSE)</f>
        <v>Microsoft Corp.</v>
      </c>
      <c r="N1397" t="str">
        <f>VLOOKUP(fact_daily_prices[[#This Row],[Ticker]], dim_company[], 3, FALSE)</f>
        <v>Technology</v>
      </c>
    </row>
    <row r="1398" spans="1:14" x14ac:dyDescent="0.3">
      <c r="A1398" s="1">
        <v>46051</v>
      </c>
      <c r="B1398">
        <v>431.57806396484375</v>
      </c>
      <c r="C1398">
        <v>440.5381621786467</v>
      </c>
      <c r="D1398">
        <v>419.15338350408371</v>
      </c>
      <c r="E1398">
        <v>438.03928062113511</v>
      </c>
      <c r="F1398">
        <v>128855300</v>
      </c>
      <c r="G1398" s="2" t="s">
        <v>14</v>
      </c>
      <c r="H1398">
        <v>-9.9931447654833185</v>
      </c>
      <c r="I1398">
        <v>95.136548877533428</v>
      </c>
      <c r="J1398">
        <v>475.48830627441413</v>
      </c>
      <c r="K1398">
        <v>2.2311543596352514</v>
      </c>
      <c r="L1398">
        <v>1</v>
      </c>
      <c r="M1398" t="str">
        <f>VLOOKUP(fact_daily_prices[[#This Row],[Ticker]], dim_company[], 2, FALSE)</f>
        <v>Microsoft Corp.</v>
      </c>
      <c r="N1398" t="str">
        <f>VLOOKUP(fact_daily_prices[[#This Row],[Ticker]], dim_company[], 3, FALSE)</f>
        <v>Technology</v>
      </c>
    </row>
    <row r="1399" spans="1:14" x14ac:dyDescent="0.3">
      <c r="A1399" s="1">
        <v>46052</v>
      </c>
      <c r="B1399">
        <v>428.38229370117188</v>
      </c>
      <c r="C1399">
        <v>437.65101486434605</v>
      </c>
      <c r="D1399">
        <v>424.55932220203721</v>
      </c>
      <c r="E1399">
        <v>437.2229285851671</v>
      </c>
      <c r="F1399">
        <v>58566800</v>
      </c>
      <c r="G1399" s="2" t="s">
        <v>14</v>
      </c>
      <c r="H1399">
        <v>-0.74048486948404824</v>
      </c>
      <c r="I1399">
        <v>94.432077127745998</v>
      </c>
      <c r="J1399">
        <v>473.97002868652345</v>
      </c>
      <c r="K1399">
        <v>2.2296509240128297</v>
      </c>
      <c r="L1399">
        <v>0</v>
      </c>
      <c r="M1399" t="str">
        <f>VLOOKUP(fact_daily_prices[[#This Row],[Ticker]], dim_company[], 2, FALSE)</f>
        <v>Microsoft Corp.</v>
      </c>
      <c r="N1399" t="str">
        <f>VLOOKUP(fact_daily_prices[[#This Row],[Ticker]], dim_company[], 3, FALSE)</f>
        <v>Technology</v>
      </c>
    </row>
    <row r="1400" spans="1:14" x14ac:dyDescent="0.3">
      <c r="A1400" s="1">
        <v>46055</v>
      </c>
      <c r="B1400">
        <v>421.49298095703131</v>
      </c>
      <c r="C1400">
        <v>428.83030114365022</v>
      </c>
      <c r="D1400">
        <v>420.37795134689082</v>
      </c>
      <c r="E1400">
        <v>428.332517897532</v>
      </c>
      <c r="F1400">
        <v>42219900</v>
      </c>
      <c r="G1400" s="2" t="s">
        <v>14</v>
      </c>
      <c r="H1400">
        <v>-1.6082160363393494</v>
      </c>
      <c r="I1400">
        <v>92.91340531992924</v>
      </c>
      <c r="J1400">
        <v>472.586240234375</v>
      </c>
      <c r="K1400">
        <v>2.2414502534004281</v>
      </c>
      <c r="L1400">
        <v>0</v>
      </c>
      <c r="M1400" t="str">
        <f>VLOOKUP(fact_daily_prices[[#This Row],[Ticker]], dim_company[], 2, FALSE)</f>
        <v>Microsoft Corp.</v>
      </c>
      <c r="N1400" t="str">
        <f>VLOOKUP(fact_daily_prices[[#This Row],[Ticker]], dim_company[], 3, FALSE)</f>
        <v>Technology</v>
      </c>
    </row>
    <row r="1401" spans="1:14" x14ac:dyDescent="0.3">
      <c r="A1401" s="1">
        <v>46056</v>
      </c>
      <c r="B1401">
        <v>409.38687133789063</v>
      </c>
      <c r="C1401">
        <v>420.17880800844699</v>
      </c>
      <c r="D1401">
        <v>406.74862632222988</v>
      </c>
      <c r="E1401">
        <v>420.13900722569218</v>
      </c>
      <c r="F1401">
        <v>61424100</v>
      </c>
      <c r="G1401" s="2" t="s">
        <v>14</v>
      </c>
      <c r="H1401">
        <v>-2.8721972051949374</v>
      </c>
      <c r="I1401">
        <v>90.244749089078795</v>
      </c>
      <c r="J1401">
        <v>471.09289001464845</v>
      </c>
      <c r="K1401">
        <v>2.2532496461149574</v>
      </c>
      <c r="L1401">
        <v>0</v>
      </c>
      <c r="M1401" t="str">
        <f>VLOOKUP(fact_daily_prices[[#This Row],[Ticker]], dim_company[], 2, FALSE)</f>
        <v>Microsoft Corp.</v>
      </c>
      <c r="N1401" t="str">
        <f>VLOOKUP(fact_daily_prices[[#This Row],[Ticker]], dim_company[], 3, FALSE)</f>
        <v>Technology</v>
      </c>
    </row>
    <row r="1402" spans="1:14" x14ac:dyDescent="0.3">
      <c r="A1402" s="1">
        <v>46057</v>
      </c>
      <c r="B1402">
        <v>412.35369873046881</v>
      </c>
      <c r="C1402">
        <v>417.93881231579201</v>
      </c>
      <c r="D1402">
        <v>407.4256323109538</v>
      </c>
      <c r="E1402">
        <v>409.17783910585314</v>
      </c>
      <c r="F1402">
        <v>45012400</v>
      </c>
      <c r="G1402" s="2" t="s">
        <v>14</v>
      </c>
      <c r="H1402">
        <v>0.72470017977921408</v>
      </c>
      <c r="I1402">
        <v>90.898752947968646</v>
      </c>
      <c r="J1402">
        <v>469.81378662109375</v>
      </c>
      <c r="K1402">
        <v>2.2585634106339278</v>
      </c>
      <c r="L1402">
        <v>0</v>
      </c>
      <c r="M1402" t="str">
        <f>VLOOKUP(fact_daily_prices[[#This Row],[Ticker]], dim_company[], 2, FALSE)</f>
        <v>Microsoft Corp.</v>
      </c>
      <c r="N1402" t="str">
        <f>VLOOKUP(fact_daily_prices[[#This Row],[Ticker]], dim_company[], 3, FALSE)</f>
        <v>Technology</v>
      </c>
    </row>
    <row r="1403" spans="1:14" x14ac:dyDescent="0.3">
      <c r="A1403" s="1">
        <v>46058</v>
      </c>
      <c r="B1403">
        <v>391.92465209960938</v>
      </c>
      <c r="C1403">
        <v>406.48976353239379</v>
      </c>
      <c r="D1403">
        <v>390.58063133499547</v>
      </c>
      <c r="E1403">
        <v>405.6335909812077</v>
      </c>
      <c r="F1403">
        <v>66289200</v>
      </c>
      <c r="G1403" s="2" t="s">
        <v>14</v>
      </c>
      <c r="H1403">
        <v>-4.9542532766785445</v>
      </c>
      <c r="I1403">
        <v>86.395398501583969</v>
      </c>
      <c r="J1403">
        <v>468.25174316406247</v>
      </c>
      <c r="K1403">
        <v>2.3988830576816222</v>
      </c>
      <c r="L1403">
        <v>1</v>
      </c>
      <c r="M1403" t="str">
        <f>VLOOKUP(fact_daily_prices[[#This Row],[Ticker]], dim_company[], 2, FALSE)</f>
        <v>Microsoft Corp.</v>
      </c>
      <c r="N1403" t="str">
        <f>VLOOKUP(fact_daily_prices[[#This Row],[Ticker]], dim_company[], 3, FALSE)</f>
        <v>Technology</v>
      </c>
    </row>
    <row r="1404" spans="1:14" x14ac:dyDescent="0.3">
      <c r="A1404" s="1">
        <v>46059</v>
      </c>
      <c r="B1404">
        <v>399.36154174804688</v>
      </c>
      <c r="C1404">
        <v>400.00865386637872</v>
      </c>
      <c r="D1404">
        <v>391.17798428483081</v>
      </c>
      <c r="E1404">
        <v>397.40027461932362</v>
      </c>
      <c r="F1404">
        <v>53515300</v>
      </c>
      <c r="G1404" s="2" t="s">
        <v>14</v>
      </c>
      <c r="H1404">
        <v>1.8975304586217767</v>
      </c>
      <c r="I1404">
        <v>88.034777502999191</v>
      </c>
      <c r="J1404">
        <v>466.80100341796873</v>
      </c>
      <c r="K1404">
        <v>2.4370825615224612</v>
      </c>
      <c r="L1404">
        <v>0</v>
      </c>
      <c r="M1404" t="str">
        <f>VLOOKUP(fact_daily_prices[[#This Row],[Ticker]], dim_company[], 2, FALSE)</f>
        <v>Microsoft Corp.</v>
      </c>
      <c r="N1404" t="str">
        <f>VLOOKUP(fact_daily_prices[[#This Row],[Ticker]], dim_company[], 3, FALSE)</f>
        <v>Technology</v>
      </c>
    </row>
    <row r="1405" spans="1:14" x14ac:dyDescent="0.3">
      <c r="A1405" s="1">
        <v>46062</v>
      </c>
      <c r="B1405">
        <v>411.76629638671881</v>
      </c>
      <c r="C1405">
        <v>413.05058563481123</v>
      </c>
      <c r="D1405">
        <v>399.09272433776027</v>
      </c>
      <c r="E1405">
        <v>403.0550898097971</v>
      </c>
      <c r="F1405">
        <v>45480500</v>
      </c>
      <c r="G1405" s="2" t="s">
        <v>14</v>
      </c>
      <c r="H1405">
        <v>3.1061465218646278</v>
      </c>
      <c r="I1405">
        <v>90.769266682439849</v>
      </c>
      <c r="J1405">
        <v>465.53882507324221</v>
      </c>
      <c r="K1405">
        <v>2.5262417704900848</v>
      </c>
      <c r="L1405">
        <v>0</v>
      </c>
      <c r="M1405" t="str">
        <f>VLOOKUP(fact_daily_prices[[#This Row],[Ticker]], dim_company[], 2, FALSE)</f>
        <v>Microsoft Corp.</v>
      </c>
      <c r="N1405" t="str">
        <f>VLOOKUP(fact_daily_prices[[#This Row],[Ticker]], dim_company[], 3, FALSE)</f>
        <v>Technology</v>
      </c>
    </row>
    <row r="1406" spans="1:14" x14ac:dyDescent="0.3">
      <c r="A1406" s="1">
        <v>46063</v>
      </c>
      <c r="B1406">
        <v>411.437744140625</v>
      </c>
      <c r="C1406">
        <v>421.801594739736</v>
      </c>
      <c r="D1406">
        <v>410.87029434322648</v>
      </c>
      <c r="E1406">
        <v>417.75959730190846</v>
      </c>
      <c r="F1406">
        <v>44857900</v>
      </c>
      <c r="G1406" s="2" t="s">
        <v>14</v>
      </c>
      <c r="H1406">
        <v>-7.9790951560843038E-2</v>
      </c>
      <c r="I1406">
        <v>90.69684102082914</v>
      </c>
      <c r="J1406">
        <v>464.10062988281248</v>
      </c>
      <c r="K1406">
        <v>2.5261425454593178</v>
      </c>
      <c r="L1406">
        <v>0</v>
      </c>
      <c r="M1406" t="str">
        <f>VLOOKUP(fact_daily_prices[[#This Row],[Ticker]], dim_company[], 2, FALSE)</f>
        <v>Microsoft Corp.</v>
      </c>
      <c r="N1406" t="str">
        <f>VLOOKUP(fact_daily_prices[[#This Row],[Ticker]], dim_company[], 3, FALSE)</f>
        <v>Technology</v>
      </c>
    </row>
    <row r="1407" spans="1:14" x14ac:dyDescent="0.3">
      <c r="A1407" s="1">
        <v>46064</v>
      </c>
      <c r="B1407">
        <v>402.57717895507813</v>
      </c>
      <c r="C1407">
        <v>414.61357304478975</v>
      </c>
      <c r="D1407">
        <v>399.23209044580233</v>
      </c>
      <c r="E1407">
        <v>414.33481566901673</v>
      </c>
      <c r="F1407">
        <v>42491000</v>
      </c>
      <c r="G1407" s="2" t="s">
        <v>14</v>
      </c>
      <c r="H1407">
        <v>-2.1535615805142183</v>
      </c>
      <c r="I1407">
        <v>88.743628697864509</v>
      </c>
      <c r="J1407">
        <v>462.35559997558596</v>
      </c>
      <c r="K1407">
        <v>2.5423430702737151</v>
      </c>
      <c r="L1407">
        <v>0</v>
      </c>
      <c r="M1407" t="str">
        <f>VLOOKUP(fact_daily_prices[[#This Row],[Ticker]], dim_company[], 2, FALSE)</f>
        <v>Microsoft Corp.</v>
      </c>
      <c r="N1407" t="str">
        <f>VLOOKUP(fact_daily_prices[[#This Row],[Ticker]], dim_company[], 3, FALSE)</f>
        <v>Technology</v>
      </c>
    </row>
    <row r="1408" spans="1:14" x14ac:dyDescent="0.3">
      <c r="A1408" s="1">
        <v>46065</v>
      </c>
      <c r="B1408">
        <v>400.05841064453131</v>
      </c>
      <c r="C1408">
        <v>404.39909607875728</v>
      </c>
      <c r="D1408">
        <v>396.24540458526855</v>
      </c>
      <c r="E1408">
        <v>403.20440420966997</v>
      </c>
      <c r="F1408">
        <v>40802400</v>
      </c>
      <c r="G1408" s="2" t="s">
        <v>14</v>
      </c>
      <c r="H1408">
        <v>-0.6256609768801269</v>
      </c>
      <c r="I1408">
        <v>88.188394443634564</v>
      </c>
      <c r="J1408">
        <v>460.66512817382812</v>
      </c>
      <c r="K1408">
        <v>2.5392481077522415</v>
      </c>
      <c r="L1408">
        <v>0</v>
      </c>
      <c r="M1408" t="str">
        <f>VLOOKUP(fact_daily_prices[[#This Row],[Ticker]], dim_company[], 2, FALSE)</f>
        <v>Microsoft Corp.</v>
      </c>
      <c r="N1408" t="str">
        <f>VLOOKUP(fact_daily_prices[[#This Row],[Ticker]], dim_company[], 3, FALSE)</f>
        <v>Technology</v>
      </c>
    </row>
    <row r="1409" spans="1:14" x14ac:dyDescent="0.3">
      <c r="A1409" s="1">
        <v>46066</v>
      </c>
      <c r="B1409">
        <v>399.54074096679688</v>
      </c>
      <c r="C1409">
        <v>403.7420326637702</v>
      </c>
      <c r="D1409">
        <v>396.28521918206809</v>
      </c>
      <c r="E1409">
        <v>402.65686886295305</v>
      </c>
      <c r="F1409">
        <v>34091600</v>
      </c>
      <c r="G1409" s="2" t="s">
        <v>14</v>
      </c>
      <c r="H1409">
        <v>-0.1293985238056683</v>
      </c>
      <c r="I1409">
        <v>88.074279963056597</v>
      </c>
      <c r="J1409">
        <v>458.89939147949218</v>
      </c>
      <c r="K1409">
        <v>2.5404889943631059</v>
      </c>
      <c r="L1409">
        <v>0</v>
      </c>
      <c r="M1409" t="str">
        <f>VLOOKUP(fact_daily_prices[[#This Row],[Ticker]], dim_company[], 2, FALSE)</f>
        <v>Microsoft Corp.</v>
      </c>
      <c r="N1409" t="str">
        <f>VLOOKUP(fact_daily_prices[[#This Row],[Ticker]], dim_company[], 3, FALSE)</f>
        <v>Technology</v>
      </c>
    </row>
    <row r="1410" spans="1:14" x14ac:dyDescent="0.3">
      <c r="A1410" s="1">
        <v>46070</v>
      </c>
      <c r="B1410">
        <v>395.10049438476563</v>
      </c>
      <c r="C1410">
        <v>398.7442713079252</v>
      </c>
      <c r="D1410">
        <v>392.78083787972258</v>
      </c>
      <c r="E1410">
        <v>397.45004705087121</v>
      </c>
      <c r="F1410">
        <v>32078800</v>
      </c>
      <c r="G1410" s="2" t="s">
        <v>14</v>
      </c>
      <c r="H1410">
        <v>-1.1113376251159934</v>
      </c>
      <c r="I1410">
        <v>87.095477351777134</v>
      </c>
      <c r="J1410">
        <v>457.28916198730468</v>
      </c>
      <c r="K1410">
        <v>2.5241980428981763</v>
      </c>
      <c r="L1410">
        <v>0</v>
      </c>
      <c r="M1410" t="str">
        <f>VLOOKUP(fact_daily_prices[[#This Row],[Ticker]], dim_company[], 2, FALSE)</f>
        <v>Microsoft Corp.</v>
      </c>
      <c r="N1410" t="str">
        <f>VLOOKUP(fact_daily_prices[[#This Row],[Ticker]], dim_company[], 3, FALSE)</f>
        <v>Technology</v>
      </c>
    </row>
    <row r="1411" spans="1:14" x14ac:dyDescent="0.3">
      <c r="A1411" s="1">
        <v>46071</v>
      </c>
      <c r="B1411">
        <v>397.82833862304688</v>
      </c>
      <c r="C1411">
        <v>400.77520665339193</v>
      </c>
      <c r="D1411">
        <v>394.56288205367122</v>
      </c>
      <c r="E1411">
        <v>396.36485480304242</v>
      </c>
      <c r="F1411">
        <v>23223400</v>
      </c>
      <c r="G1411" s="2" t="s">
        <v>14</v>
      </c>
      <c r="H1411">
        <v>0.6904178245914272</v>
      </c>
      <c r="I1411">
        <v>87.696800051826798</v>
      </c>
      <c r="J1411">
        <v>455.67156555175779</v>
      </c>
      <c r="K1411">
        <v>2.5326626259023599</v>
      </c>
      <c r="L1411">
        <v>0</v>
      </c>
      <c r="M1411" t="str">
        <f>VLOOKUP(fact_daily_prices[[#This Row],[Ticker]], dim_company[], 2, FALSE)</f>
        <v>Microsoft Corp.</v>
      </c>
      <c r="N1411" t="str">
        <f>VLOOKUP(fact_daily_prices[[#This Row],[Ticker]], dim_company[], 3, FALSE)</f>
        <v>Technology</v>
      </c>
    </row>
    <row r="1412" spans="1:14" x14ac:dyDescent="0.3">
      <c r="A1412" s="1">
        <v>46072</v>
      </c>
      <c r="B1412">
        <v>397.59884643554688</v>
      </c>
      <c r="C1412">
        <v>403.55594539020558</v>
      </c>
      <c r="D1412">
        <v>395.81273687855492</v>
      </c>
      <c r="E1412">
        <v>399.82403795970674</v>
      </c>
      <c r="F1412">
        <v>28234000</v>
      </c>
      <c r="G1412" s="2" t="s">
        <v>14</v>
      </c>
      <c r="H1412">
        <v>-5.7686234292486649E-2</v>
      </c>
      <c r="I1412">
        <v>87.646211070281893</v>
      </c>
      <c r="J1412">
        <v>454.00318481445311</v>
      </c>
      <c r="K1412">
        <v>2.5134931707906971</v>
      </c>
      <c r="L1412">
        <v>0</v>
      </c>
      <c r="M1412" t="str">
        <f>VLOOKUP(fact_daily_prices[[#This Row],[Ticker]], dim_company[], 2, FALSE)</f>
        <v>Microsoft Corp.</v>
      </c>
      <c r="N1412" t="str">
        <f>VLOOKUP(fact_daily_prices[[#This Row],[Ticker]], dim_company[], 3, FALSE)</f>
        <v>Technology</v>
      </c>
    </row>
    <row r="1413" spans="1:14" x14ac:dyDescent="0.3">
      <c r="A1413" s="1">
        <v>46073</v>
      </c>
      <c r="B1413">
        <v>396.37152099609375</v>
      </c>
      <c r="C1413">
        <v>399.25525931878241</v>
      </c>
      <c r="D1413">
        <v>394.30598735341567</v>
      </c>
      <c r="E1413">
        <v>395.2539159508346</v>
      </c>
      <c r="F1413">
        <v>34015200</v>
      </c>
      <c r="G1413" s="2" t="s">
        <v>14</v>
      </c>
      <c r="H1413">
        <v>-0.30868435621884682</v>
      </c>
      <c r="I1413">
        <v>87.375660927889371</v>
      </c>
      <c r="J1413">
        <v>452.15375427246096</v>
      </c>
      <c r="K1413">
        <v>2.4957966936322751</v>
      </c>
      <c r="L1413">
        <v>0</v>
      </c>
      <c r="M1413" t="str">
        <f>VLOOKUP(fact_daily_prices[[#This Row],[Ticker]], dim_company[], 2, FALSE)</f>
        <v>Microsoft Corp.</v>
      </c>
      <c r="N1413" t="str">
        <f>VLOOKUP(fact_daily_prices[[#This Row],[Ticker]], dim_company[], 3, FALSE)</f>
        <v>Technology</v>
      </c>
    </row>
    <row r="1414" spans="1:14" x14ac:dyDescent="0.3">
      <c r="A1414" s="1">
        <v>46076</v>
      </c>
      <c r="B1414">
        <v>383.63906860351563</v>
      </c>
      <c r="C1414">
        <v>394.50551684604494</v>
      </c>
      <c r="D1414">
        <v>382.27203437696886</v>
      </c>
      <c r="E1414">
        <v>394.14630950985264</v>
      </c>
      <c r="F1414">
        <v>43238300</v>
      </c>
      <c r="G1414" s="2" t="s">
        <v>14</v>
      </c>
      <c r="H1414">
        <v>-3.2122520711329372</v>
      </c>
      <c r="I1414">
        <v>84.568934450067161</v>
      </c>
      <c r="J1414">
        <v>450.02976379394534</v>
      </c>
      <c r="K1414">
        <v>2.5393440135192988</v>
      </c>
      <c r="L1414">
        <v>0</v>
      </c>
      <c r="M1414" t="str">
        <f>VLOOKUP(fact_daily_prices[[#This Row],[Ticker]], dim_company[], 2, FALSE)</f>
        <v>Microsoft Corp.</v>
      </c>
      <c r="N1414" t="str">
        <f>VLOOKUP(fact_daily_prices[[#This Row],[Ticker]], dim_company[], 3, FALSE)</f>
        <v>Technology</v>
      </c>
    </row>
    <row r="1415" spans="1:14" x14ac:dyDescent="0.3">
      <c r="A1415" s="1">
        <v>46077</v>
      </c>
      <c r="B1415">
        <v>388.1593017578125</v>
      </c>
      <c r="C1415">
        <v>388.51850911695271</v>
      </c>
      <c r="D1415">
        <v>380.8850482189813</v>
      </c>
      <c r="E1415">
        <v>383.30981969967451</v>
      </c>
      <c r="F1415">
        <v>33884700</v>
      </c>
      <c r="G1415" s="2" t="s">
        <v>14</v>
      </c>
      <c r="H1415">
        <v>1.178251519260276</v>
      </c>
      <c r="I1415">
        <v>85.565369205047304</v>
      </c>
      <c r="J1415">
        <v>448.26418457031252</v>
      </c>
      <c r="K1415">
        <v>2.5567787415469017</v>
      </c>
      <c r="L1415">
        <v>0</v>
      </c>
      <c r="M1415" t="str">
        <f>VLOOKUP(fact_daily_prices[[#This Row],[Ticker]], dim_company[], 2, FALSE)</f>
        <v>Microsoft Corp.</v>
      </c>
      <c r="N1415" t="str">
        <f>VLOOKUP(fact_daily_prices[[#This Row],[Ticker]], dim_company[], 3, FALSE)</f>
        <v>Technology</v>
      </c>
    </row>
    <row r="1416" spans="1:14" x14ac:dyDescent="0.3">
      <c r="A1416" s="1">
        <v>46078</v>
      </c>
      <c r="B1416">
        <v>399.73422241210938</v>
      </c>
      <c r="C1416">
        <v>400.60233728073831</v>
      </c>
      <c r="D1416">
        <v>389.31678308531696</v>
      </c>
      <c r="E1416">
        <v>389.68597856263057</v>
      </c>
      <c r="F1416">
        <v>43625500</v>
      </c>
      <c r="G1416" s="2" t="s">
        <v>14</v>
      </c>
      <c r="H1416">
        <v>2.9820026473354799</v>
      </c>
      <c r="I1416">
        <v>88.116930779944198</v>
      </c>
      <c r="J1416">
        <v>446.63233886718751</v>
      </c>
      <c r="K1416">
        <v>2.6415354347084219</v>
      </c>
      <c r="L1416">
        <v>0</v>
      </c>
      <c r="M1416" t="str">
        <f>VLOOKUP(fact_daily_prices[[#This Row],[Ticker]], dim_company[], 2, FALSE)</f>
        <v>Microsoft Corp.</v>
      </c>
      <c r="N1416" t="str">
        <f>VLOOKUP(fact_daily_prices[[#This Row],[Ticker]], dim_company[], 3, FALSE)</f>
        <v>Technology</v>
      </c>
    </row>
    <row r="1417" spans="1:14" x14ac:dyDescent="0.3">
      <c r="A1417" s="1">
        <v>46079</v>
      </c>
      <c r="B1417">
        <v>400.851806640625</v>
      </c>
      <c r="C1417">
        <v>406.60932559262812</v>
      </c>
      <c r="D1417">
        <v>397.8782360341113</v>
      </c>
      <c r="E1417">
        <v>403.83533492810147</v>
      </c>
      <c r="F1417">
        <v>34405900</v>
      </c>
      <c r="G1417" s="2" t="s">
        <v>14</v>
      </c>
      <c r="H1417">
        <v>0.27958182358562844</v>
      </c>
      <c r="I1417">
        <v>88.363289701906439</v>
      </c>
      <c r="J1417">
        <v>445.12120666503904</v>
      </c>
      <c r="K1417">
        <v>2.6408756624343055</v>
      </c>
      <c r="L1417">
        <v>0</v>
      </c>
      <c r="M1417" t="str">
        <f>VLOOKUP(fact_daily_prices[[#This Row],[Ticker]], dim_company[], 2, FALSE)</f>
        <v>Microsoft Corp.</v>
      </c>
      <c r="N1417" t="str">
        <f>VLOOKUP(fact_daily_prices[[#This Row],[Ticker]], dim_company[], 3, FALSE)</f>
        <v>Technology</v>
      </c>
    </row>
    <row r="1418" spans="1:14" x14ac:dyDescent="0.3">
      <c r="A1418" s="1">
        <v>46080</v>
      </c>
      <c r="B1418">
        <v>391.89120483398438</v>
      </c>
      <c r="C1418">
        <v>395.96240423521652</v>
      </c>
      <c r="D1418">
        <v>389.0374004516944</v>
      </c>
      <c r="E1418">
        <v>390.03523926255787</v>
      </c>
      <c r="F1418">
        <v>51367200</v>
      </c>
      <c r="G1418" s="2" t="s">
        <v>14</v>
      </c>
      <c r="H1418">
        <v>-2.2353901512221608</v>
      </c>
      <c r="I1418">
        <v>86.388025426614121</v>
      </c>
      <c r="J1418">
        <v>443.50473327636718</v>
      </c>
      <c r="K1418">
        <v>2.6369584952104956</v>
      </c>
      <c r="L1418">
        <v>0</v>
      </c>
      <c r="M1418" t="str">
        <f>VLOOKUP(fact_daily_prices[[#This Row],[Ticker]], dim_company[], 2, FALSE)</f>
        <v>Microsoft Corp.</v>
      </c>
      <c r="N1418" t="str">
        <f>VLOOKUP(fact_daily_prices[[#This Row],[Ticker]], dim_company[], 3, FALSE)</f>
        <v>Technology</v>
      </c>
    </row>
    <row r="1419" spans="1:14" x14ac:dyDescent="0.3">
      <c r="A1419" s="1">
        <v>46083</v>
      </c>
      <c r="B1419">
        <v>397.68862915039063</v>
      </c>
      <c r="C1419">
        <v>400.32293811697241</v>
      </c>
      <c r="D1419">
        <v>389.78576315389057</v>
      </c>
      <c r="E1419">
        <v>392.01092411942051</v>
      </c>
      <c r="F1419">
        <v>35474900</v>
      </c>
      <c r="G1419" s="2" t="s">
        <v>14</v>
      </c>
      <c r="H1419">
        <v>1.4793453501622311</v>
      </c>
      <c r="I1419">
        <v>87.6660026638597</v>
      </c>
      <c r="J1419">
        <v>441.97294738769529</v>
      </c>
      <c r="K1419">
        <v>2.6608997281196798</v>
      </c>
      <c r="L1419">
        <v>0</v>
      </c>
      <c r="M1419" t="str">
        <f>VLOOKUP(fact_daily_prices[[#This Row],[Ticker]], dim_company[], 2, FALSE)</f>
        <v>Microsoft Corp.</v>
      </c>
      <c r="N1419" t="str">
        <f>VLOOKUP(fact_daily_prices[[#This Row],[Ticker]], dim_company[], 3, FALSE)</f>
        <v>Technology</v>
      </c>
    </row>
    <row r="1420" spans="1:14" x14ac:dyDescent="0.3">
      <c r="A1420" s="1">
        <v>46084</v>
      </c>
      <c r="B1420">
        <v>403.0570068359375</v>
      </c>
      <c r="C1420">
        <v>405.82103971635513</v>
      </c>
      <c r="D1420">
        <v>391.82136299902311</v>
      </c>
      <c r="E1420">
        <v>392.29034843872989</v>
      </c>
      <c r="F1420">
        <v>38199200</v>
      </c>
      <c r="G1420" s="2" t="s">
        <v>14</v>
      </c>
      <c r="H1420">
        <v>1.3498946894749508</v>
      </c>
      <c r="I1420">
        <v>88.849401378294118</v>
      </c>
      <c r="J1420">
        <v>440.55390563964846</v>
      </c>
      <c r="K1420">
        <v>2.6728539735478796</v>
      </c>
      <c r="L1420">
        <v>0</v>
      </c>
      <c r="M1420" t="str">
        <f>VLOOKUP(fact_daily_prices[[#This Row],[Ticker]], dim_company[], 2, FALSE)</f>
        <v>Microsoft Corp.</v>
      </c>
      <c r="N1420" t="str">
        <f>VLOOKUP(fact_daily_prices[[#This Row],[Ticker]], dim_company[], 3, FALSE)</f>
        <v>Technology</v>
      </c>
    </row>
    <row r="1421" spans="1:14" x14ac:dyDescent="0.3">
      <c r="A1421" s="1">
        <v>46085</v>
      </c>
      <c r="B1421">
        <v>404.32427978515625</v>
      </c>
      <c r="C1421">
        <v>410.14166638677375</v>
      </c>
      <c r="D1421">
        <v>399.44483360720761</v>
      </c>
      <c r="E1421">
        <v>400.40275029521609</v>
      </c>
      <c r="F1421">
        <v>35808000</v>
      </c>
      <c r="G1421" s="2" t="s">
        <v>14</v>
      </c>
      <c r="H1421">
        <v>0.31441531290252733</v>
      </c>
      <c r="I1421">
        <v>89.128757501649687</v>
      </c>
      <c r="J1421">
        <v>439.00370605468748</v>
      </c>
      <c r="K1421">
        <v>2.6717127854845568</v>
      </c>
      <c r="L1421">
        <v>0</v>
      </c>
      <c r="M1421" t="str">
        <f>VLOOKUP(fact_daily_prices[[#This Row],[Ticker]], dim_company[], 2, FALSE)</f>
        <v>Microsoft Corp.</v>
      </c>
      <c r="N1421" t="str">
        <f>VLOOKUP(fact_daily_prices[[#This Row],[Ticker]], dim_company[], 3, FALSE)</f>
        <v>Technology</v>
      </c>
    </row>
    <row r="1422" spans="1:14" x14ac:dyDescent="0.3">
      <c r="A1422" s="1">
        <v>46086</v>
      </c>
      <c r="B1422">
        <v>409.79241943359375</v>
      </c>
      <c r="C1422">
        <v>410.72040218284047</v>
      </c>
      <c r="D1422">
        <v>403.52599316568501</v>
      </c>
      <c r="E1422">
        <v>403.54596943015656</v>
      </c>
      <c r="F1422">
        <v>39001300</v>
      </c>
      <c r="G1422" s="2" t="s">
        <v>14</v>
      </c>
      <c r="H1422">
        <v>1.3524143668401711</v>
      </c>
      <c r="I1422">
        <v>90.334147623088128</v>
      </c>
      <c r="J1422">
        <v>437.52424133300781</v>
      </c>
      <c r="K1422">
        <v>2.662727556475335</v>
      </c>
      <c r="L1422">
        <v>0</v>
      </c>
      <c r="M1422" t="str">
        <f>VLOOKUP(fact_daily_prices[[#This Row],[Ticker]], dim_company[], 2, FALSE)</f>
        <v>Microsoft Corp.</v>
      </c>
      <c r="N1422" t="str">
        <f>VLOOKUP(fact_daily_prices[[#This Row],[Ticker]], dim_company[], 3, FALSE)</f>
        <v>Technology</v>
      </c>
    </row>
    <row r="1423" spans="1:14" x14ac:dyDescent="0.3">
      <c r="A1423" s="1">
        <v>46087</v>
      </c>
      <c r="B1423">
        <v>408.07614135742188</v>
      </c>
      <c r="C1423">
        <v>412.15729833758019</v>
      </c>
      <c r="D1423">
        <v>407.62713217473828</v>
      </c>
      <c r="E1423">
        <v>408.3156433731429</v>
      </c>
      <c r="F1423">
        <v>31123900</v>
      </c>
      <c r="G1423" s="2" t="s">
        <v>14</v>
      </c>
      <c r="H1423">
        <v>-0.41881645310669624</v>
      </c>
      <c r="I1423">
        <v>89.955813350068965</v>
      </c>
      <c r="J1423">
        <v>436.03036193847657</v>
      </c>
      <c r="K1423">
        <v>2.6410482547532586</v>
      </c>
      <c r="L1423">
        <v>0</v>
      </c>
      <c r="M1423" t="str">
        <f>VLOOKUP(fact_daily_prices[[#This Row],[Ticker]], dim_company[], 2, FALSE)</f>
        <v>Microsoft Corp.</v>
      </c>
      <c r="N1423" t="str">
        <f>VLOOKUP(fact_daily_prices[[#This Row],[Ticker]], dim_company[], 3, FALSE)</f>
        <v>Technology</v>
      </c>
    </row>
    <row r="1424" spans="1:14" x14ac:dyDescent="0.3">
      <c r="A1424" s="1">
        <v>46090</v>
      </c>
      <c r="B1424">
        <v>408.07614135742188</v>
      </c>
      <c r="C1424">
        <v>409.32343584223219</v>
      </c>
      <c r="D1424">
        <v>402.62794618065146</v>
      </c>
      <c r="E1424">
        <v>404.04489064151301</v>
      </c>
      <c r="F1424">
        <v>30131900</v>
      </c>
      <c r="G1424" s="2" t="s">
        <v>14</v>
      </c>
      <c r="H1424">
        <v>0</v>
      </c>
      <c r="I1424">
        <v>89.955813350068965</v>
      </c>
      <c r="J1424">
        <v>434.49805358886721</v>
      </c>
      <c r="K1424">
        <v>2.5547601620782734</v>
      </c>
      <c r="L1424">
        <v>0</v>
      </c>
      <c r="M1424" t="str">
        <f>VLOOKUP(fact_daily_prices[[#This Row],[Ticker]], dim_company[], 2, FALSE)</f>
        <v>Microsoft Corp.</v>
      </c>
      <c r="N1424" t="str">
        <f>VLOOKUP(fact_daily_prices[[#This Row],[Ticker]], dim_company[], 3, FALSE)</f>
        <v>Technology</v>
      </c>
    </row>
    <row r="1425" spans="1:14" x14ac:dyDescent="0.3">
      <c r="A1425" s="1">
        <v>46091</v>
      </c>
      <c r="B1425">
        <v>404.88308715820313</v>
      </c>
      <c r="C1425">
        <v>409.31349393117438</v>
      </c>
      <c r="D1425">
        <v>402.05918625996463</v>
      </c>
      <c r="E1425">
        <v>409.14384793397721</v>
      </c>
      <c r="F1425">
        <v>31706400</v>
      </c>
      <c r="G1425" s="2" t="s">
        <v>14</v>
      </c>
      <c r="H1425">
        <v>-0.78246529890166894</v>
      </c>
      <c r="I1425">
        <v>89.251940326259913</v>
      </c>
      <c r="J1425">
        <v>432.87858886718749</v>
      </c>
      <c r="K1425">
        <v>2.5432852140193911</v>
      </c>
      <c r="L1425">
        <v>0</v>
      </c>
      <c r="M1425" t="str">
        <f>VLOOKUP(fact_daily_prices[[#This Row],[Ticker]], dim_company[], 2, FALSE)</f>
        <v>Microsoft Corp.</v>
      </c>
      <c r="N1425" t="str">
        <f>VLOOKUP(fact_daily_prices[[#This Row],[Ticker]], dim_company[], 3, FALSE)</f>
        <v>Technology</v>
      </c>
    </row>
    <row r="1426" spans="1:14" x14ac:dyDescent="0.3">
      <c r="A1426" s="1">
        <v>46092</v>
      </c>
      <c r="B1426">
        <v>404.00497436523438</v>
      </c>
      <c r="C1426">
        <v>408.12605344221151</v>
      </c>
      <c r="D1426">
        <v>400.7220762180728</v>
      </c>
      <c r="E1426">
        <v>404.69348556680131</v>
      </c>
      <c r="F1426">
        <v>25512100</v>
      </c>
      <c r="G1426" s="2" t="s">
        <v>14</v>
      </c>
      <c r="H1426">
        <v>-0.21688058128880305</v>
      </c>
      <c r="I1426">
        <v>89.058370199268793</v>
      </c>
      <c r="J1426">
        <v>431.24773376464844</v>
      </c>
      <c r="K1426">
        <v>2.4946016866995273</v>
      </c>
      <c r="L1426">
        <v>0</v>
      </c>
      <c r="M1426" t="str">
        <f>VLOOKUP(fact_daily_prices[[#This Row],[Ticker]], dim_company[], 2, FALSE)</f>
        <v>Microsoft Corp.</v>
      </c>
      <c r="N1426" t="str">
        <f>VLOOKUP(fact_daily_prices[[#This Row],[Ticker]], dim_company[], 3, FALSE)</f>
        <v>Technology</v>
      </c>
    </row>
    <row r="1427" spans="1:14" x14ac:dyDescent="0.3">
      <c r="A1427" s="1">
        <v>46093</v>
      </c>
      <c r="B1427">
        <v>400.99148559570313</v>
      </c>
      <c r="C1427">
        <v>405.24228862869421</v>
      </c>
      <c r="D1427">
        <v>400.8418158660113</v>
      </c>
      <c r="E1427">
        <v>403.7555185610488</v>
      </c>
      <c r="F1427">
        <v>27263900</v>
      </c>
      <c r="G1427" s="2" t="s">
        <v>14</v>
      </c>
      <c r="H1427">
        <v>-0.74590387761090948</v>
      </c>
      <c r="I1427">
        <v>88.394080362615355</v>
      </c>
      <c r="J1427">
        <v>429.56875488281253</v>
      </c>
      <c r="K1427">
        <v>2.490822751420557</v>
      </c>
      <c r="L1427">
        <v>0</v>
      </c>
      <c r="M1427" t="str">
        <f>VLOOKUP(fact_daily_prices[[#This Row],[Ticker]], dim_company[], 2, FALSE)</f>
        <v>Microsoft Corp.</v>
      </c>
      <c r="N1427" t="str">
        <f>VLOOKUP(fact_daily_prices[[#This Row],[Ticker]], dim_company[], 3, FALSE)</f>
        <v>Technology</v>
      </c>
    </row>
    <row r="1428" spans="1:14" x14ac:dyDescent="0.3">
      <c r="A1428" s="1">
        <v>46094</v>
      </c>
      <c r="B1428">
        <v>394.69512939453131</v>
      </c>
      <c r="C1428">
        <v>403.92513839357161</v>
      </c>
      <c r="D1428">
        <v>393.3979511212616</v>
      </c>
      <c r="E1428">
        <v>400.1333630935344</v>
      </c>
      <c r="F1428">
        <v>26848000</v>
      </c>
      <c r="G1428" s="2" t="s">
        <v>14</v>
      </c>
      <c r="H1428">
        <v>-1.5701969810700822</v>
      </c>
      <c r="I1428">
        <v>87.006119181316905</v>
      </c>
      <c r="J1428">
        <v>427.75628234863279</v>
      </c>
      <c r="K1428">
        <v>1.7581778207923937</v>
      </c>
      <c r="L1428">
        <v>0</v>
      </c>
      <c r="M1428" t="str">
        <f>VLOOKUP(fact_daily_prices[[#This Row],[Ticker]], dim_company[], 2, FALSE)</f>
        <v>Microsoft Corp.</v>
      </c>
      <c r="N1428" t="str">
        <f>VLOOKUP(fact_daily_prices[[#This Row],[Ticker]], dim_company[], 3, FALSE)</f>
        <v>Technology</v>
      </c>
    </row>
    <row r="1429" spans="1:14" x14ac:dyDescent="0.3">
      <c r="A1429" s="1">
        <v>46097</v>
      </c>
      <c r="B1429">
        <v>399.08563232421881</v>
      </c>
      <c r="C1429">
        <v>399.76415538636962</v>
      </c>
      <c r="D1429">
        <v>393.93678056415871</v>
      </c>
      <c r="E1429">
        <v>397.20969054517099</v>
      </c>
      <c r="F1429">
        <v>27733700</v>
      </c>
      <c r="G1429" s="2" t="s">
        <v>14</v>
      </c>
      <c r="H1429">
        <v>1.1123782896491852</v>
      </c>
      <c r="I1429">
        <v>87.973956361756166</v>
      </c>
      <c r="J1429">
        <v>426.10847778320311</v>
      </c>
      <c r="K1429">
        <v>1.7739997762799322</v>
      </c>
      <c r="L1429">
        <v>0</v>
      </c>
      <c r="M1429" t="str">
        <f>VLOOKUP(fact_daily_prices[[#This Row],[Ticker]], dim_company[], 2, FALSE)</f>
        <v>Microsoft Corp.</v>
      </c>
      <c r="N1429" t="str">
        <f>VLOOKUP(fact_daily_prices[[#This Row],[Ticker]], dim_company[], 3, FALSE)</f>
        <v>Technology</v>
      </c>
    </row>
    <row r="1430" spans="1:14" x14ac:dyDescent="0.3">
      <c r="A1430" s="1">
        <v>46098</v>
      </c>
      <c r="B1430">
        <v>398.54678344726563</v>
      </c>
      <c r="C1430">
        <v>403.52598912341051</v>
      </c>
      <c r="D1430">
        <v>396.8903674487218</v>
      </c>
      <c r="E1430">
        <v>399.40491016551118</v>
      </c>
      <c r="F1430">
        <v>26228300</v>
      </c>
      <c r="G1430" s="2" t="s">
        <v>14</v>
      </c>
      <c r="H1430">
        <v>-0.13502086602692476</v>
      </c>
      <c r="I1430">
        <v>87.855173163998373</v>
      </c>
      <c r="J1430">
        <v>424.66254943847656</v>
      </c>
      <c r="K1430">
        <v>1.7545453151324544</v>
      </c>
      <c r="L1430">
        <v>0</v>
      </c>
      <c r="M1430" t="str">
        <f>VLOOKUP(fact_daily_prices[[#This Row],[Ticker]], dim_company[], 2, FALSE)</f>
        <v>Microsoft Corp.</v>
      </c>
      <c r="N1430" t="str">
        <f>VLOOKUP(fact_daily_prices[[#This Row],[Ticker]], dim_company[], 3, FALSE)</f>
        <v>Technology</v>
      </c>
    </row>
    <row r="1431" spans="1:14" x14ac:dyDescent="0.3">
      <c r="A1431" s="1">
        <v>46099</v>
      </c>
      <c r="B1431">
        <v>390.94326782226563</v>
      </c>
      <c r="C1431">
        <v>397.13983817793417</v>
      </c>
      <c r="D1431">
        <v>390.1549666521916</v>
      </c>
      <c r="E1431">
        <v>396.27172330342302</v>
      </c>
      <c r="F1431">
        <v>25908500</v>
      </c>
      <c r="G1431" s="2" t="s">
        <v>14</v>
      </c>
      <c r="H1431">
        <v>-1.9078100591435554</v>
      </c>
      <c r="I1431">
        <v>86.179063332897627</v>
      </c>
      <c r="J1431">
        <v>423.0663427734375</v>
      </c>
      <c r="K1431">
        <v>1.7116667459817916</v>
      </c>
      <c r="L1431">
        <v>0</v>
      </c>
      <c r="M1431" t="str">
        <f>VLOOKUP(fact_daily_prices[[#This Row],[Ticker]], dim_company[], 2, FALSE)</f>
        <v>Microsoft Corp.</v>
      </c>
      <c r="N1431" t="str">
        <f>VLOOKUP(fact_daily_prices[[#This Row],[Ticker]], dim_company[], 3, FALSE)</f>
        <v>Technology</v>
      </c>
    </row>
    <row r="1432" spans="1:14" x14ac:dyDescent="0.3">
      <c r="A1432" s="1">
        <v>46100</v>
      </c>
      <c r="B1432">
        <v>388.17922973632813</v>
      </c>
      <c r="C1432">
        <v>391.64173150764282</v>
      </c>
      <c r="D1432">
        <v>386.22347426152328</v>
      </c>
      <c r="E1432">
        <v>389.2569126674818</v>
      </c>
      <c r="F1432">
        <v>25138800</v>
      </c>
      <c r="G1432" s="2" t="s">
        <v>14</v>
      </c>
      <c r="H1432">
        <v>-0.70701769628479516</v>
      </c>
      <c r="I1432">
        <v>85.569762104641555</v>
      </c>
      <c r="J1432">
        <v>421.30215698242188</v>
      </c>
      <c r="K1432">
        <v>1.7066993836616353</v>
      </c>
      <c r="L1432">
        <v>0</v>
      </c>
      <c r="M1432" t="str">
        <f>VLOOKUP(fact_daily_prices[[#This Row],[Ticker]], dim_company[], 2, FALSE)</f>
        <v>Microsoft Corp.</v>
      </c>
      <c r="N1432" t="str">
        <f>VLOOKUP(fact_daily_prices[[#This Row],[Ticker]], dim_company[], 3, FALSE)</f>
        <v>Technology</v>
      </c>
    </row>
    <row r="1433" spans="1:14" x14ac:dyDescent="0.3">
      <c r="A1433" s="1">
        <v>46101</v>
      </c>
      <c r="B1433">
        <v>381.04470825195313</v>
      </c>
      <c r="C1433">
        <v>386.16362631018529</v>
      </c>
      <c r="D1433">
        <v>379.2984903035221</v>
      </c>
      <c r="E1433">
        <v>385.95408868282834</v>
      </c>
      <c r="F1433">
        <v>50853200</v>
      </c>
      <c r="G1433" s="2" t="s">
        <v>14</v>
      </c>
      <c r="H1433">
        <v>-1.8379451907360234</v>
      </c>
      <c r="I1433">
        <v>83.997036777315031</v>
      </c>
      <c r="J1433">
        <v>419.29652099609376</v>
      </c>
      <c r="K1433">
        <v>1.4872679452182545</v>
      </c>
      <c r="L1433">
        <v>0</v>
      </c>
      <c r="M1433" t="str">
        <f>VLOOKUP(fact_daily_prices[[#This Row],[Ticker]], dim_company[], 2, FALSE)</f>
        <v>Microsoft Corp.</v>
      </c>
      <c r="N1433" t="str">
        <f>VLOOKUP(fact_daily_prices[[#This Row],[Ticker]], dim_company[], 3, FALSE)</f>
        <v>Technology</v>
      </c>
    </row>
    <row r="1434" spans="1:14" x14ac:dyDescent="0.3">
      <c r="A1434" s="1">
        <v>46104</v>
      </c>
      <c r="B1434">
        <v>382.17227172851563</v>
      </c>
      <c r="C1434">
        <v>386.37316467458572</v>
      </c>
      <c r="D1434">
        <v>380.85511716508233</v>
      </c>
      <c r="E1434">
        <v>383.07032058481127</v>
      </c>
      <c r="F1434">
        <v>29680100</v>
      </c>
      <c r="G1434" s="2" t="s">
        <v>14</v>
      </c>
      <c r="H1434">
        <v>0.2959136952026542</v>
      </c>
      <c r="I1434">
        <v>84.245595512703517</v>
      </c>
      <c r="J1434">
        <v>417.4201611328125</v>
      </c>
      <c r="K1434">
        <v>1.4417687141180182</v>
      </c>
      <c r="L1434">
        <v>0</v>
      </c>
      <c r="M1434" t="str">
        <f>VLOOKUP(fact_daily_prices[[#This Row],[Ticker]], dim_company[], 2, FALSE)</f>
        <v>Microsoft Corp.</v>
      </c>
      <c r="N1434" t="str">
        <f>VLOOKUP(fact_daily_prices[[#This Row],[Ticker]], dim_company[], 3, FALSE)</f>
        <v>Technology</v>
      </c>
    </row>
    <row r="1435" spans="1:14" x14ac:dyDescent="0.3">
      <c r="A1435" s="1">
        <v>46105</v>
      </c>
      <c r="B1435">
        <v>371.93441772460938</v>
      </c>
      <c r="C1435">
        <v>381.6434000325674</v>
      </c>
      <c r="D1435">
        <v>371.04635704379217</v>
      </c>
      <c r="E1435">
        <v>381.53362193174286</v>
      </c>
      <c r="F1435">
        <v>42733600</v>
      </c>
      <c r="G1435" s="2" t="s">
        <v>14</v>
      </c>
      <c r="H1435">
        <v>-2.6788584000617788</v>
      </c>
      <c r="I1435">
        <v>81.988775300629385</v>
      </c>
      <c r="J1435">
        <v>415.31574768066406</v>
      </c>
      <c r="K1435">
        <v>1.378598471360754</v>
      </c>
      <c r="L1435">
        <v>0</v>
      </c>
      <c r="M1435" t="str">
        <f>VLOOKUP(fact_daily_prices[[#This Row],[Ticker]], dim_company[], 2, FALSE)</f>
        <v>Microsoft Corp.</v>
      </c>
      <c r="N1435" t="str">
        <f>VLOOKUP(fact_daily_prices[[#This Row],[Ticker]], dim_company[], 3, FALSE)</f>
        <v>Technology</v>
      </c>
    </row>
    <row r="1436" spans="1:14" x14ac:dyDescent="0.3">
      <c r="A1436" s="1">
        <v>46106</v>
      </c>
      <c r="B1436">
        <v>370.23812866210938</v>
      </c>
      <c r="C1436">
        <v>376.24510746671041</v>
      </c>
      <c r="D1436">
        <v>368.83117225513502</v>
      </c>
      <c r="E1436">
        <v>376.10542586510894</v>
      </c>
      <c r="F1436">
        <v>31181200</v>
      </c>
      <c r="G1436" s="2" t="s">
        <v>14</v>
      </c>
      <c r="H1436">
        <v>-0.45607208735276572</v>
      </c>
      <c r="I1436">
        <v>81.61484738172085</v>
      </c>
      <c r="J1436">
        <v>413.21922241210939</v>
      </c>
      <c r="K1436">
        <v>1.3779613724635542</v>
      </c>
      <c r="L1436">
        <v>0</v>
      </c>
      <c r="M1436" t="str">
        <f>VLOOKUP(fact_daily_prices[[#This Row],[Ticker]], dim_company[], 2, FALSE)</f>
        <v>Microsoft Corp.</v>
      </c>
      <c r="N1436" t="str">
        <f>VLOOKUP(fact_daily_prices[[#This Row],[Ticker]], dim_company[], 3, FALSE)</f>
        <v>Technology</v>
      </c>
    </row>
    <row r="1437" spans="1:14" x14ac:dyDescent="0.3">
      <c r="A1437" s="1">
        <v>46107</v>
      </c>
      <c r="B1437">
        <v>365.1790771484375</v>
      </c>
      <c r="C1437">
        <v>373.91016689456632</v>
      </c>
      <c r="D1437">
        <v>364.40076408056188</v>
      </c>
      <c r="E1437">
        <v>370.01860155518807</v>
      </c>
      <c r="F1437">
        <v>36836600</v>
      </c>
      <c r="G1437" s="2" t="s">
        <v>14</v>
      </c>
      <c r="H1437">
        <v>-1.366431796733969</v>
      </c>
      <c r="I1437">
        <v>80.49963615624111</v>
      </c>
      <c r="J1437">
        <v>411.15113830566406</v>
      </c>
      <c r="K1437">
        <v>1.3494751163854091</v>
      </c>
      <c r="L1437">
        <v>0</v>
      </c>
      <c r="M1437" t="str">
        <f>VLOOKUP(fact_daily_prices[[#This Row],[Ticker]], dim_company[], 2, FALSE)</f>
        <v>Microsoft Corp.</v>
      </c>
      <c r="N1437" t="str">
        <f>VLOOKUP(fact_daily_prices[[#This Row],[Ticker]], dim_company[], 3, FALSE)</f>
        <v>Technology</v>
      </c>
    </row>
    <row r="1438" spans="1:14" x14ac:dyDescent="0.3">
      <c r="A1438" s="1">
        <v>46108</v>
      </c>
      <c r="B1438">
        <v>355.99893188476563</v>
      </c>
      <c r="C1438">
        <v>361.66667931920341</v>
      </c>
      <c r="D1438">
        <v>355.73951450811694</v>
      </c>
      <c r="E1438">
        <v>361.11784971721511</v>
      </c>
      <c r="F1438">
        <v>37883400</v>
      </c>
      <c r="G1438" s="2" t="s">
        <v>14</v>
      </c>
      <c r="H1438">
        <v>-2.5138749282561879</v>
      </c>
      <c r="I1438">
        <v>78.475975985571907</v>
      </c>
      <c r="J1438">
        <v>409.12424987792969</v>
      </c>
      <c r="K1438">
        <v>1.407231160170378</v>
      </c>
      <c r="L1438">
        <v>0</v>
      </c>
      <c r="M1438" t="str">
        <f>VLOOKUP(fact_daily_prices[[#This Row],[Ticker]], dim_company[], 2, FALSE)</f>
        <v>Microsoft Corp.</v>
      </c>
      <c r="N1438" t="str">
        <f>VLOOKUP(fact_daily_prices[[#This Row],[Ticker]], dim_company[], 3, FALSE)</f>
        <v>Technology</v>
      </c>
    </row>
    <row r="1439" spans="1:14" x14ac:dyDescent="0.3">
      <c r="A1439" s="1">
        <v>46111</v>
      </c>
      <c r="B1439">
        <v>358.1842041015625</v>
      </c>
      <c r="C1439">
        <v>364.5703662773937</v>
      </c>
      <c r="D1439">
        <v>355.51000344849933</v>
      </c>
      <c r="E1439">
        <v>361.11785258495769</v>
      </c>
      <c r="F1439">
        <v>44797000</v>
      </c>
      <c r="G1439" s="2" t="s">
        <v>14</v>
      </c>
      <c r="H1439">
        <v>0.61384235206194404</v>
      </c>
      <c r="I1439">
        <v>78.957694762365321</v>
      </c>
      <c r="J1439">
        <v>407.19522583007813</v>
      </c>
      <c r="K1439">
        <v>1.4182685549777998</v>
      </c>
      <c r="L1439">
        <v>0</v>
      </c>
      <c r="M1439" t="str">
        <f>VLOOKUP(fact_daily_prices[[#This Row],[Ticker]], dim_company[], 2, FALSE)</f>
        <v>Microsoft Corp.</v>
      </c>
      <c r="N1439" t="str">
        <f>VLOOKUP(fact_daily_prices[[#This Row],[Ticker]], dim_company[], 3, FALSE)</f>
        <v>Technology</v>
      </c>
    </row>
    <row r="1440" spans="1:14" x14ac:dyDescent="0.3">
      <c r="A1440" s="1">
        <v>46112</v>
      </c>
      <c r="B1440">
        <v>369.3699951171875</v>
      </c>
      <c r="C1440">
        <v>372.0940755014272</v>
      </c>
      <c r="D1440">
        <v>362.28533367877645</v>
      </c>
      <c r="E1440">
        <v>363.76211558624033</v>
      </c>
      <c r="F1440">
        <v>45244400</v>
      </c>
      <c r="G1440" s="2" t="s">
        <v>14</v>
      </c>
      <c r="H1440">
        <v>3.1229157756083703</v>
      </c>
      <c r="I1440">
        <v>81.423477068155933</v>
      </c>
      <c r="J1440">
        <v>405.42620178222654</v>
      </c>
      <c r="K1440">
        <v>1.5452842292052165</v>
      </c>
      <c r="L1440">
        <v>0</v>
      </c>
      <c r="M1440" t="str">
        <f>VLOOKUP(fact_daily_prices[[#This Row],[Ticker]], dim_company[], 2, FALSE)</f>
        <v>Microsoft Corp.</v>
      </c>
      <c r="N1440" t="str">
        <f>VLOOKUP(fact_daily_prices[[#This Row],[Ticker]], dim_company[], 3, FALSE)</f>
        <v>Technology</v>
      </c>
    </row>
    <row r="1441" spans="1:14" x14ac:dyDescent="0.3">
      <c r="A1441" s="1">
        <v>46113</v>
      </c>
      <c r="B1441">
        <v>368.57171630859375</v>
      </c>
      <c r="C1441">
        <v>373.18172673767282</v>
      </c>
      <c r="D1441">
        <v>367.40426195402119</v>
      </c>
      <c r="E1441">
        <v>372.682807332766</v>
      </c>
      <c r="F1441">
        <v>29417200</v>
      </c>
      <c r="G1441" s="2" t="s">
        <v>14</v>
      </c>
      <c r="H1441">
        <v>-0.21611901863888283</v>
      </c>
      <c r="I1441">
        <v>81.247505448574586</v>
      </c>
      <c r="J1441">
        <v>403.74753906249998</v>
      </c>
      <c r="K1441">
        <v>1.5358504084101043</v>
      </c>
      <c r="L1441">
        <v>0</v>
      </c>
      <c r="M1441" t="str">
        <f>VLOOKUP(fact_daily_prices[[#This Row],[Ticker]], dim_company[], 2, FALSE)</f>
        <v>Microsoft Corp.</v>
      </c>
      <c r="N1441" t="str">
        <f>VLOOKUP(fact_daily_prices[[#This Row],[Ticker]], dim_company[], 3, FALSE)</f>
        <v>Technology</v>
      </c>
    </row>
    <row r="1442" spans="1:14" x14ac:dyDescent="0.3">
      <c r="A1442" s="1">
        <v>46114</v>
      </c>
      <c r="B1442">
        <v>372.65286254882813</v>
      </c>
      <c r="C1442">
        <v>372.83249667260446</v>
      </c>
      <c r="D1442">
        <v>363.36298593576691</v>
      </c>
      <c r="E1442">
        <v>366.41637016886642</v>
      </c>
      <c r="F1442">
        <v>24099100</v>
      </c>
      <c r="G1442" s="2" t="s">
        <v>14</v>
      </c>
      <c r="H1442">
        <v>1.1072868751592857</v>
      </c>
      <c r="I1442">
        <v>82.147148412800973</v>
      </c>
      <c r="J1442">
        <v>402.35777648925779</v>
      </c>
      <c r="K1442">
        <v>1.55529882262992</v>
      </c>
      <c r="L1442">
        <v>0</v>
      </c>
      <c r="M1442" t="str">
        <f>VLOOKUP(fact_daily_prices[[#This Row],[Ticker]], dim_company[], 2, FALSE)</f>
        <v>Microsoft Corp.</v>
      </c>
      <c r="N1442" t="str">
        <f>VLOOKUP(fact_daily_prices[[#This Row],[Ticker]], dim_company[], 3, FALSE)</f>
        <v>Technology</v>
      </c>
    </row>
    <row r="1443" spans="1:14" x14ac:dyDescent="0.3">
      <c r="A1443" s="1">
        <v>46118</v>
      </c>
      <c r="B1443">
        <v>372.07412719726563</v>
      </c>
      <c r="C1443">
        <v>372.92229624611912</v>
      </c>
      <c r="D1443">
        <v>368.70142726638522</v>
      </c>
      <c r="E1443">
        <v>372.68279423307803</v>
      </c>
      <c r="F1443">
        <v>16146600</v>
      </c>
      <c r="G1443" s="2" t="s">
        <v>14</v>
      </c>
      <c r="H1443">
        <v>-0.15530146410365209</v>
      </c>
      <c r="I1443">
        <v>82.019572688596497</v>
      </c>
      <c r="J1443">
        <v>400.8164617919922</v>
      </c>
      <c r="K1443">
        <v>1.5551951006770364</v>
      </c>
      <c r="L1443">
        <v>0</v>
      </c>
      <c r="M1443" t="str">
        <f>VLOOKUP(fact_daily_prices[[#This Row],[Ticker]], dim_company[], 2, FALSE)</f>
        <v>Microsoft Corp.</v>
      </c>
      <c r="N1443" t="str">
        <f>VLOOKUP(fact_daily_prices[[#This Row],[Ticker]], dim_company[], 3, FALSE)</f>
        <v>Technology</v>
      </c>
    </row>
    <row r="1444" spans="1:14" x14ac:dyDescent="0.3">
      <c r="A1444" s="1">
        <v>46119</v>
      </c>
      <c r="B1444">
        <v>371.48541259765625</v>
      </c>
      <c r="C1444">
        <v>371.64507045865599</v>
      </c>
      <c r="D1444">
        <v>365.76778535387177</v>
      </c>
      <c r="E1444">
        <v>369.5396147715723</v>
      </c>
      <c r="F1444">
        <v>21443300</v>
      </c>
      <c r="G1444" s="2" t="s">
        <v>14</v>
      </c>
      <c r="H1444">
        <v>-0.15822508381434508</v>
      </c>
      <c r="I1444">
        <v>81.889797150965791</v>
      </c>
      <c r="J1444">
        <v>398.96848632812498</v>
      </c>
      <c r="K1444">
        <v>1.4473639551527566</v>
      </c>
      <c r="L1444">
        <v>0</v>
      </c>
      <c r="M1444" t="str">
        <f>VLOOKUP(fact_daily_prices[[#This Row],[Ticker]], dim_company[], 2, FALSE)</f>
        <v>Microsoft Corp.</v>
      </c>
      <c r="N1444" t="str">
        <f>VLOOKUP(fact_daily_prices[[#This Row],[Ticker]], dim_company[], 3, FALSE)</f>
        <v>Technology</v>
      </c>
    </row>
    <row r="1445" spans="1:14" x14ac:dyDescent="0.3">
      <c r="A1445" s="1">
        <v>46120</v>
      </c>
      <c r="B1445">
        <v>373.52099609375</v>
      </c>
      <c r="C1445">
        <v>384.167949815935</v>
      </c>
      <c r="D1445">
        <v>370.60732376104278</v>
      </c>
      <c r="E1445">
        <v>384.14800400190597</v>
      </c>
      <c r="F1445">
        <v>33064800</v>
      </c>
      <c r="G1445" s="2" t="s">
        <v>14</v>
      </c>
      <c r="H1445">
        <v>0.54795785435011179</v>
      </c>
      <c r="I1445">
        <v>82.338518726365891</v>
      </c>
      <c r="J1445">
        <v>397.0750067138672</v>
      </c>
      <c r="K1445">
        <v>1.4327126460370696</v>
      </c>
      <c r="L1445">
        <v>0</v>
      </c>
      <c r="M1445" t="str">
        <f>VLOOKUP(fact_daily_prices[[#This Row],[Ticker]], dim_company[], 2, FALSE)</f>
        <v>Microsoft Corp.</v>
      </c>
      <c r="N1445" t="str">
        <f>VLOOKUP(fact_daily_prices[[#This Row],[Ticker]], dim_company[], 3, FALSE)</f>
        <v>Technology</v>
      </c>
    </row>
    <row r="1446" spans="1:14" x14ac:dyDescent="0.3">
      <c r="A1446" s="1">
        <v>46121</v>
      </c>
      <c r="B1446">
        <v>372.26373291015625</v>
      </c>
      <c r="C1446">
        <v>372.69279629093683</v>
      </c>
      <c r="D1446">
        <v>366.25672377273293</v>
      </c>
      <c r="E1446">
        <v>371.6949574789129</v>
      </c>
      <c r="F1446">
        <v>30435300</v>
      </c>
      <c r="G1446" s="2" t="s">
        <v>14</v>
      </c>
      <c r="H1446">
        <v>-0.33659772723410031</v>
      </c>
      <c r="I1446">
        <v>82.061369143694705</v>
      </c>
      <c r="J1446">
        <v>394.95129455566405</v>
      </c>
      <c r="K1446">
        <v>1.3077619202871964</v>
      </c>
      <c r="L1446">
        <v>0</v>
      </c>
      <c r="M1446" t="str">
        <f>VLOOKUP(fact_daily_prices[[#This Row],[Ticker]], dim_company[], 2, FALSE)</f>
        <v>Microsoft Corp.</v>
      </c>
      <c r="N1446" t="str">
        <f>VLOOKUP(fact_daily_prices[[#This Row],[Ticker]], dim_company[], 3, FALSE)</f>
        <v>Technology</v>
      </c>
    </row>
    <row r="1447" spans="1:14" x14ac:dyDescent="0.3">
      <c r="A1447" s="1">
        <v>46122</v>
      </c>
      <c r="B1447">
        <v>370.0684814453125</v>
      </c>
      <c r="C1447">
        <v>374.82819214619138</v>
      </c>
      <c r="D1447">
        <v>369.23030048358606</v>
      </c>
      <c r="E1447">
        <v>372.17393720824543</v>
      </c>
      <c r="F1447">
        <v>28111100</v>
      </c>
      <c r="G1447" s="2" t="s">
        <v>14</v>
      </c>
      <c r="H1447">
        <v>-0.58970328580828513</v>
      </c>
      <c r="I1447">
        <v>81.577450553475074</v>
      </c>
      <c r="J1447">
        <v>392.76277099609376</v>
      </c>
      <c r="K1447">
        <v>1.3057388653704045</v>
      </c>
      <c r="L1447">
        <v>0</v>
      </c>
      <c r="M1447" t="str">
        <f>VLOOKUP(fact_daily_prices[[#This Row],[Ticker]], dim_company[], 2, FALSE)</f>
        <v>Microsoft Corp.</v>
      </c>
      <c r="N1447" t="str">
        <f>VLOOKUP(fact_daily_prices[[#This Row],[Ticker]], dim_company[], 3, FALSE)</f>
        <v>Technology</v>
      </c>
    </row>
    <row r="1448" spans="1:14" x14ac:dyDescent="0.3">
      <c r="A1448" s="1">
        <v>46125</v>
      </c>
      <c r="B1448">
        <v>383.539306640625</v>
      </c>
      <c r="C1448">
        <v>383.70895264062807</v>
      </c>
      <c r="D1448">
        <v>370.21815215501169</v>
      </c>
      <c r="E1448">
        <v>372.80255107338581</v>
      </c>
      <c r="F1448">
        <v>35745800</v>
      </c>
      <c r="G1448" s="2" t="s">
        <v>14</v>
      </c>
      <c r="H1448">
        <v>3.6400898403186943</v>
      </c>
      <c r="I1448">
        <v>84.546943043063123</v>
      </c>
      <c r="J1448">
        <v>391.8019958496094</v>
      </c>
      <c r="K1448">
        <v>1.4332860731931809</v>
      </c>
      <c r="L1448">
        <v>0</v>
      </c>
      <c r="M1448" t="str">
        <f>VLOOKUP(fact_daily_prices[[#This Row],[Ticker]], dim_company[], 2, FALSE)</f>
        <v>Microsoft Corp.</v>
      </c>
      <c r="N1448" t="str">
        <f>VLOOKUP(fact_daily_prices[[#This Row],[Ticker]], dim_company[], 3, FALSE)</f>
        <v>Technology</v>
      </c>
    </row>
    <row r="1449" spans="1:14" x14ac:dyDescent="0.3">
      <c r="A1449" s="1">
        <v>46126</v>
      </c>
      <c r="B1449">
        <v>392.26040649414063</v>
      </c>
      <c r="C1449">
        <v>393.83700889302281</v>
      </c>
      <c r="D1449">
        <v>385.68465228127297</v>
      </c>
      <c r="E1449">
        <v>387.08165099976333</v>
      </c>
      <c r="F1449">
        <v>37504500</v>
      </c>
      <c r="G1449" s="2" t="s">
        <v>14</v>
      </c>
      <c r="H1449">
        <v>2.2738477393367207</v>
      </c>
      <c r="I1449">
        <v>86.469411796126138</v>
      </c>
      <c r="J1449">
        <v>391.07955810546878</v>
      </c>
      <c r="K1449">
        <v>1.4696256605728073</v>
      </c>
      <c r="L1449">
        <v>0</v>
      </c>
      <c r="M1449" t="str">
        <f>VLOOKUP(fact_daily_prices[[#This Row],[Ticker]], dim_company[], 2, FALSE)</f>
        <v>Microsoft Corp.</v>
      </c>
      <c r="N1449" t="str">
        <f>VLOOKUP(fact_daily_prices[[#This Row],[Ticker]], dim_company[], 3, FALSE)</f>
        <v>Technology</v>
      </c>
    </row>
    <row r="1450" spans="1:14" x14ac:dyDescent="0.3">
      <c r="A1450" s="1">
        <v>46127</v>
      </c>
      <c r="B1450">
        <v>410.33126831054688</v>
      </c>
      <c r="C1450">
        <v>413.47445440771634</v>
      </c>
      <c r="D1450">
        <v>395.87259399259352</v>
      </c>
      <c r="E1450">
        <v>397.13983829290362</v>
      </c>
      <c r="F1450">
        <v>45063400</v>
      </c>
      <c r="G1450" s="2" t="s">
        <v>14</v>
      </c>
      <c r="H1450">
        <v>4.6068533854630056</v>
      </c>
      <c r="I1450">
        <v>90.452930820845907</v>
      </c>
      <c r="J1450">
        <v>390.85632385253905</v>
      </c>
      <c r="K1450">
        <v>1.6806416262811474</v>
      </c>
      <c r="L1450">
        <v>0</v>
      </c>
      <c r="M1450" t="str">
        <f>VLOOKUP(fact_daily_prices[[#This Row],[Ticker]], dim_company[], 2, FALSE)</f>
        <v>Microsoft Corp.</v>
      </c>
      <c r="N1450" t="str">
        <f>VLOOKUP(fact_daily_prices[[#This Row],[Ticker]], dim_company[], 3, FALSE)</f>
        <v>Technology</v>
      </c>
    </row>
    <row r="1451" spans="1:14" x14ac:dyDescent="0.3">
      <c r="A1451" s="1">
        <v>46128</v>
      </c>
      <c r="B1451">
        <v>419.35174560546881</v>
      </c>
      <c r="C1451">
        <v>419.91053289970131</v>
      </c>
      <c r="D1451">
        <v>411.24929938747272</v>
      </c>
      <c r="E1451">
        <v>418.95258572248241</v>
      </c>
      <c r="F1451">
        <v>41642400</v>
      </c>
      <c r="G1451" s="2" t="s">
        <v>14</v>
      </c>
      <c r="H1451">
        <v>2.1983402171766864</v>
      </c>
      <c r="I1451">
        <v>92.441393976695579</v>
      </c>
      <c r="J1451">
        <v>391.05562133789061</v>
      </c>
      <c r="K1451">
        <v>1.7245891944940976</v>
      </c>
      <c r="L1451">
        <v>0</v>
      </c>
      <c r="M1451" t="str">
        <f>VLOOKUP(fact_daily_prices[[#This Row],[Ticker]], dim_company[], 2, FALSE)</f>
        <v>Microsoft Corp.</v>
      </c>
      <c r="N1451" t="str">
        <f>VLOOKUP(fact_daily_prices[[#This Row],[Ticker]], dim_company[], 3, FALSE)</f>
        <v>Technology</v>
      </c>
    </row>
    <row r="1452" spans="1:14" x14ac:dyDescent="0.3">
      <c r="A1452" s="1">
        <v>46129</v>
      </c>
      <c r="B1452">
        <v>421.87628173828131</v>
      </c>
      <c r="C1452">
        <v>430.64726300980999</v>
      </c>
      <c r="D1452">
        <v>419.78081413338697</v>
      </c>
      <c r="E1452">
        <v>423.90189331763349</v>
      </c>
      <c r="F1452">
        <v>48568200</v>
      </c>
      <c r="G1452" s="2" t="s">
        <v>14</v>
      </c>
      <c r="H1452">
        <v>0.60200921047020017</v>
      </c>
      <c r="I1452">
        <v>92.997899682722334</v>
      </c>
      <c r="J1452">
        <v>391.24607299804688</v>
      </c>
      <c r="K1452">
        <v>1.7117312183689839</v>
      </c>
      <c r="L1452">
        <v>0</v>
      </c>
      <c r="M1452" t="str">
        <f>VLOOKUP(fact_daily_prices[[#This Row],[Ticker]], dim_company[], 2, FALSE)</f>
        <v>Microsoft Corp.</v>
      </c>
      <c r="N1452" t="str">
        <f>VLOOKUP(fact_daily_prices[[#This Row],[Ticker]], dim_company[], 3, FALSE)</f>
        <v>Technology</v>
      </c>
    </row>
    <row r="1453" spans="1:14" x14ac:dyDescent="0.3">
      <c r="A1453" s="1">
        <v>46132</v>
      </c>
      <c r="B1453">
        <v>417.16647338867188</v>
      </c>
      <c r="C1453">
        <v>422.41508475653688</v>
      </c>
      <c r="D1453">
        <v>415.40027922801778</v>
      </c>
      <c r="E1453">
        <v>420.23980348632722</v>
      </c>
      <c r="F1453">
        <v>27582200</v>
      </c>
      <c r="G1453" s="2" t="s">
        <v>14</v>
      </c>
      <c r="H1453">
        <v>-1.1163956243767315</v>
      </c>
      <c r="I1453">
        <v>91.959675199902165</v>
      </c>
      <c r="J1453">
        <v>391.75090942382815</v>
      </c>
      <c r="K1453">
        <v>1.7238707365551003</v>
      </c>
      <c r="L1453">
        <v>0</v>
      </c>
      <c r="M1453" t="str">
        <f>VLOOKUP(fact_daily_prices[[#This Row],[Ticker]], dim_company[], 2, FALSE)</f>
        <v>Microsoft Corp.</v>
      </c>
      <c r="N1453" t="str">
        <f>VLOOKUP(fact_daily_prices[[#This Row],[Ticker]], dim_company[], 3, FALSE)</f>
        <v>Technology</v>
      </c>
    </row>
    <row r="1454" spans="1:14" x14ac:dyDescent="0.3">
      <c r="A1454" s="1">
        <v>46133</v>
      </c>
      <c r="B1454">
        <v>423.24331665039063</v>
      </c>
      <c r="C1454">
        <v>426.25677891783363</v>
      </c>
      <c r="D1454">
        <v>416.2983670043314</v>
      </c>
      <c r="E1454">
        <v>419.33177508554746</v>
      </c>
      <c r="F1454">
        <v>32048500</v>
      </c>
      <c r="G1454" s="2" t="s">
        <v>14</v>
      </c>
      <c r="H1454">
        <v>1.4566950244961241</v>
      </c>
      <c r="I1454">
        <v>93.299247213081941</v>
      </c>
      <c r="J1454">
        <v>392.22854492187503</v>
      </c>
      <c r="K1454">
        <v>1.7417385350579695</v>
      </c>
      <c r="L1454">
        <v>0</v>
      </c>
      <c r="M1454" t="str">
        <f>VLOOKUP(fact_daily_prices[[#This Row],[Ticker]], dim_company[], 2, FALSE)</f>
        <v>Microsoft Corp.</v>
      </c>
      <c r="N1454" t="str">
        <f>VLOOKUP(fact_daily_prices[[#This Row],[Ticker]], dim_company[], 3, FALSE)</f>
        <v>Technology</v>
      </c>
    </row>
    <row r="1455" spans="1:14" x14ac:dyDescent="0.3">
      <c r="A1455" s="1">
        <v>46134</v>
      </c>
      <c r="B1455">
        <v>431.984375</v>
      </c>
      <c r="C1455">
        <v>432.76268802486447</v>
      </c>
      <c r="D1455">
        <v>422.75436634987551</v>
      </c>
      <c r="E1455">
        <v>425.26890909521711</v>
      </c>
      <c r="F1455">
        <v>29378200</v>
      </c>
      <c r="G1455" s="2" t="s">
        <v>14</v>
      </c>
      <c r="H1455">
        <v>2.0652560845584977</v>
      </c>
      <c r="I1455">
        <v>95.226115592997388</v>
      </c>
      <c r="J1455">
        <v>392.63290649414063</v>
      </c>
      <c r="K1455">
        <v>1.7673542086319365</v>
      </c>
      <c r="L1455">
        <v>0</v>
      </c>
      <c r="M1455" t="str">
        <f>VLOOKUP(fact_daily_prices[[#This Row],[Ticker]], dim_company[], 2, FALSE)</f>
        <v>Microsoft Corp.</v>
      </c>
      <c r="N1455" t="str">
        <f>VLOOKUP(fact_daily_prices[[#This Row],[Ticker]], dim_company[], 3, FALSE)</f>
        <v>Technology</v>
      </c>
    </row>
    <row r="1456" spans="1:14" x14ac:dyDescent="0.3">
      <c r="A1456" s="1">
        <v>46135</v>
      </c>
      <c r="B1456">
        <v>414.85147094726563</v>
      </c>
      <c r="C1456">
        <v>422.74437931629592</v>
      </c>
      <c r="D1456">
        <v>410.52085431544441</v>
      </c>
      <c r="E1456">
        <v>418.98253809494457</v>
      </c>
      <c r="F1456">
        <v>38308000</v>
      </c>
      <c r="G1456" s="2" t="s">
        <v>14</v>
      </c>
      <c r="H1456">
        <v>-3.9660934617680055</v>
      </c>
      <c r="I1456">
        <v>91.449358848567869</v>
      </c>
      <c r="J1456">
        <v>392.70118103027346</v>
      </c>
      <c r="K1456">
        <v>1.9256023418574688</v>
      </c>
      <c r="L1456">
        <v>0</v>
      </c>
      <c r="M1456" t="str">
        <f>VLOOKUP(fact_daily_prices[[#This Row],[Ticker]], dim_company[], 2, FALSE)</f>
        <v>Microsoft Corp.</v>
      </c>
      <c r="N1456" t="str">
        <f>VLOOKUP(fact_daily_prices[[#This Row],[Ticker]], dim_company[], 3, FALSE)</f>
        <v>Technology</v>
      </c>
    </row>
    <row r="1457" spans="1:14" x14ac:dyDescent="0.3">
      <c r="A1457" s="1">
        <v>46136</v>
      </c>
      <c r="B1457">
        <v>423.70230102539063</v>
      </c>
      <c r="C1457">
        <v>424.03160487813528</v>
      </c>
      <c r="D1457">
        <v>414.9013556123021</v>
      </c>
      <c r="E1457">
        <v>416.0688403922519</v>
      </c>
      <c r="F1457">
        <v>27457400</v>
      </c>
      <c r="G1457" s="2" t="s">
        <v>14</v>
      </c>
      <c r="H1457">
        <v>2.1334937195510273</v>
      </c>
      <c r="I1457">
        <v>93.400425176171751</v>
      </c>
      <c r="J1457">
        <v>393.12368347167967</v>
      </c>
      <c r="K1457">
        <v>1.9532280640051112</v>
      </c>
      <c r="L1457">
        <v>0</v>
      </c>
      <c r="M1457" t="str">
        <f>VLOOKUP(fact_daily_prices[[#This Row],[Ticker]], dim_company[], 2, FALSE)</f>
        <v>Microsoft Corp.</v>
      </c>
      <c r="N1457" t="str">
        <f>VLOOKUP(fact_daily_prices[[#This Row],[Ticker]], dim_company[], 3, FALSE)</f>
        <v>Technology</v>
      </c>
    </row>
    <row r="1458" spans="1:14" x14ac:dyDescent="0.3">
      <c r="A1458" s="1">
        <v>46139</v>
      </c>
      <c r="B1458">
        <v>423.90188598632813</v>
      </c>
      <c r="C1458">
        <v>426.18691491133688</v>
      </c>
      <c r="D1458">
        <v>416.16863529249542</v>
      </c>
      <c r="E1458">
        <v>421.46715688014001</v>
      </c>
      <c r="F1458">
        <v>30867300</v>
      </c>
      <c r="G1458" s="2" t="s">
        <v>14</v>
      </c>
      <c r="H1458">
        <v>4.7104998121194619E-2</v>
      </c>
      <c r="I1458">
        <v>93.444421444696189</v>
      </c>
      <c r="J1458">
        <v>393.60055297851562</v>
      </c>
      <c r="K1458">
        <v>1.9247342428637919</v>
      </c>
      <c r="L1458">
        <v>0</v>
      </c>
      <c r="M1458" t="str">
        <f>VLOOKUP(fact_daily_prices[[#This Row],[Ticker]], dim_company[], 2, FALSE)</f>
        <v>Microsoft Corp.</v>
      </c>
      <c r="N1458" t="str">
        <f>VLOOKUP(fact_daily_prices[[#This Row],[Ticker]], dim_company[], 3, FALSE)</f>
        <v>Technology</v>
      </c>
    </row>
    <row r="1459" spans="1:14" x14ac:dyDescent="0.3">
      <c r="A1459" s="1">
        <v>46140</v>
      </c>
      <c r="B1459">
        <v>428.32229614257813</v>
      </c>
      <c r="C1459">
        <v>428.99086152362304</v>
      </c>
      <c r="D1459">
        <v>420.98817502220589</v>
      </c>
      <c r="E1459">
        <v>423.65241796244749</v>
      </c>
      <c r="F1459">
        <v>30438100</v>
      </c>
      <c r="G1459" s="2" t="s">
        <v>14</v>
      </c>
      <c r="H1459">
        <v>1.0427908679775388</v>
      </c>
      <c r="I1459">
        <v>94.418851338155932</v>
      </c>
      <c r="J1459">
        <v>394.17618408203123</v>
      </c>
      <c r="K1459">
        <v>1.9237083586796104</v>
      </c>
      <c r="L1459">
        <v>0</v>
      </c>
      <c r="M1459" t="str">
        <f>VLOOKUP(fact_daily_prices[[#This Row],[Ticker]], dim_company[], 2, FALSE)</f>
        <v>Microsoft Corp.</v>
      </c>
      <c r="N1459" t="str">
        <f>VLOOKUP(fact_daily_prices[[#This Row],[Ticker]], dim_company[], 3, FALSE)</f>
        <v>Technology</v>
      </c>
    </row>
    <row r="1460" spans="1:14" x14ac:dyDescent="0.3">
      <c r="A1460" s="1">
        <v>46141</v>
      </c>
      <c r="B1460">
        <v>423.54263305664063</v>
      </c>
      <c r="C1460">
        <v>425.89754837349932</v>
      </c>
      <c r="D1460">
        <v>419.38166246548025</v>
      </c>
      <c r="E1460">
        <v>423.66236883600891</v>
      </c>
      <c r="F1460">
        <v>38288300</v>
      </c>
      <c r="G1460" s="2" t="s">
        <v>14</v>
      </c>
      <c r="H1460">
        <v>-1.1159034047451222</v>
      </c>
      <c r="I1460">
        <v>93.365228161352206</v>
      </c>
      <c r="J1460">
        <v>394.74502685546872</v>
      </c>
      <c r="K1460">
        <v>1.9388205306626427</v>
      </c>
      <c r="L1460">
        <v>0</v>
      </c>
      <c r="M1460" t="str">
        <f>VLOOKUP(fact_daily_prices[[#This Row],[Ticker]], dim_company[], 2, FALSE)</f>
        <v>Microsoft Corp.</v>
      </c>
      <c r="N1460" t="str">
        <f>VLOOKUP(fact_daily_prices[[#This Row],[Ticker]], dim_company[], 3, FALSE)</f>
        <v>Technology</v>
      </c>
    </row>
    <row r="1461" spans="1:14" x14ac:dyDescent="0.3">
      <c r="A1461" s="1">
        <v>46142</v>
      </c>
      <c r="B1461">
        <v>406.89871215820313</v>
      </c>
      <c r="C1461">
        <v>413.52437652930712</v>
      </c>
      <c r="D1461">
        <v>397.14983786480138</v>
      </c>
      <c r="E1461">
        <v>409.92216255995794</v>
      </c>
      <c r="F1461">
        <v>70909400</v>
      </c>
      <c r="G1461" s="2" t="s">
        <v>14</v>
      </c>
      <c r="H1461">
        <v>-3.9296919836194433</v>
      </c>
      <c r="I1461">
        <v>89.696262274807566</v>
      </c>
      <c r="J1461">
        <v>394.92643432617189</v>
      </c>
      <c r="K1461">
        <v>2.0474723471181235</v>
      </c>
      <c r="L1461">
        <v>1</v>
      </c>
      <c r="M1461" t="str">
        <f>VLOOKUP(fact_daily_prices[[#This Row],[Ticker]], dim_company[], 2, FALSE)</f>
        <v>Microsoft Corp.</v>
      </c>
      <c r="N1461" t="str">
        <f>VLOOKUP(fact_daily_prices[[#This Row],[Ticker]], dim_company[], 3, FALSE)</f>
        <v>Technology</v>
      </c>
    </row>
    <row r="1462" spans="1:14" x14ac:dyDescent="0.3">
      <c r="A1462" s="1">
        <v>46143</v>
      </c>
      <c r="B1462">
        <v>413.5443115234375</v>
      </c>
      <c r="C1462">
        <v>416.20852404601129</v>
      </c>
      <c r="D1462">
        <v>409.5529563541748</v>
      </c>
      <c r="E1462">
        <v>411.90784128726062</v>
      </c>
      <c r="F1462">
        <v>31372400</v>
      </c>
      <c r="G1462" s="2" t="s">
        <v>14</v>
      </c>
      <c r="H1462">
        <v>1.633231850252348</v>
      </c>
      <c r="I1462">
        <v>91.161210198765588</v>
      </c>
      <c r="J1462">
        <v>395.24534362792969</v>
      </c>
      <c r="K1462">
        <v>2.0581033954797028</v>
      </c>
      <c r="L1462">
        <v>0</v>
      </c>
      <c r="M1462" t="str">
        <f>VLOOKUP(fact_daily_prices[[#This Row],[Ticker]], dim_company[], 2, FALSE)</f>
        <v>Microsoft Corp.</v>
      </c>
      <c r="N1462" t="str">
        <f>VLOOKUP(fact_daily_prices[[#This Row],[Ticker]], dim_company[], 3, FALSE)</f>
        <v>Technology</v>
      </c>
    </row>
    <row r="1463" spans="1:14" x14ac:dyDescent="0.3">
      <c r="A1463" s="1">
        <v>46146</v>
      </c>
      <c r="B1463">
        <v>412.72607421875</v>
      </c>
      <c r="C1463">
        <v>419.87060358807366</v>
      </c>
      <c r="D1463">
        <v>409.91216153093808</v>
      </c>
      <c r="E1463">
        <v>410.65058294044348</v>
      </c>
      <c r="F1463">
        <v>28066500</v>
      </c>
      <c r="G1463" s="2" t="s">
        <v>14</v>
      </c>
      <c r="H1463">
        <v>-0.19785964451384253</v>
      </c>
      <c r="I1463">
        <v>90.980838952331794</v>
      </c>
      <c r="J1463">
        <v>395.57243469238279</v>
      </c>
      <c r="K1463">
        <v>2.0227106210990438</v>
      </c>
      <c r="L1463">
        <v>0</v>
      </c>
      <c r="M1463" t="str">
        <f>VLOOKUP(fact_daily_prices[[#This Row],[Ticker]], dim_company[], 2, FALSE)</f>
        <v>Microsoft Corp.</v>
      </c>
      <c r="N1463" t="str">
        <f>VLOOKUP(fact_daily_prices[[#This Row],[Ticker]], dim_company[], 3, FALSE)</f>
        <v>Technology</v>
      </c>
    </row>
    <row r="1464" spans="1:14" x14ac:dyDescent="0.3">
      <c r="A1464" s="1">
        <v>46147</v>
      </c>
      <c r="B1464">
        <v>410.49093627929688</v>
      </c>
      <c r="C1464">
        <v>415.87925978593353</v>
      </c>
      <c r="D1464">
        <v>407.91649508561699</v>
      </c>
      <c r="E1464">
        <v>414.42242364358015</v>
      </c>
      <c r="F1464">
        <v>25700900</v>
      </c>
      <c r="G1464" s="2" t="s">
        <v>14</v>
      </c>
      <c r="H1464">
        <v>-0.5415548178495877</v>
      </c>
      <c r="I1464">
        <v>90.488127835665466</v>
      </c>
      <c r="J1464">
        <v>396.10947204589843</v>
      </c>
      <c r="K1464">
        <v>2.028345223332598</v>
      </c>
      <c r="L1464">
        <v>0</v>
      </c>
      <c r="M1464" t="str">
        <f>VLOOKUP(fact_daily_prices[[#This Row],[Ticker]], dim_company[], 2, FALSE)</f>
        <v>Microsoft Corp.</v>
      </c>
      <c r="N1464" t="str">
        <f>VLOOKUP(fact_daily_prices[[#This Row],[Ticker]], dim_company[], 3, FALSE)</f>
        <v>Technology</v>
      </c>
    </row>
    <row r="1465" spans="1:14" x14ac:dyDescent="0.3">
      <c r="A1465" s="1">
        <v>46148</v>
      </c>
      <c r="B1465">
        <v>413.06533813476563</v>
      </c>
      <c r="C1465">
        <v>417.51572107575487</v>
      </c>
      <c r="D1465">
        <v>404.23445872829495</v>
      </c>
      <c r="E1465">
        <v>407.11822745622243</v>
      </c>
      <c r="F1465">
        <v>30285900</v>
      </c>
      <c r="G1465" s="2" t="s">
        <v>14</v>
      </c>
      <c r="H1465">
        <v>0.62715193636264654</v>
      </c>
      <c r="I1465">
        <v>91.055625881565135</v>
      </c>
      <c r="J1465">
        <v>396.60759277343749</v>
      </c>
      <c r="K1465">
        <v>1.9516154751339869</v>
      </c>
      <c r="L1465">
        <v>0</v>
      </c>
      <c r="M1465" t="str">
        <f>VLOOKUP(fact_daily_prices[[#This Row],[Ticker]], dim_company[], 2, FALSE)</f>
        <v>Microsoft Corp.</v>
      </c>
      <c r="N1465" t="str">
        <f>VLOOKUP(fact_daily_prices[[#This Row],[Ticker]], dim_company[], 3, FALSE)</f>
        <v>Technology</v>
      </c>
    </row>
    <row r="1466" spans="1:14" x14ac:dyDescent="0.3">
      <c r="A1466" s="1">
        <v>46149</v>
      </c>
      <c r="B1466">
        <v>419.86062622070313</v>
      </c>
      <c r="C1466">
        <v>427.05506598481406</v>
      </c>
      <c r="D1466">
        <v>417.85499091445467</v>
      </c>
      <c r="E1466">
        <v>419.2020489501835</v>
      </c>
      <c r="F1466">
        <v>34942400</v>
      </c>
      <c r="G1466" s="2" t="s">
        <v>14</v>
      </c>
      <c r="H1466">
        <v>1.6450879458010714</v>
      </c>
      <c r="I1466">
        <v>92.553571006916485</v>
      </c>
      <c r="J1466">
        <v>397.01012084960939</v>
      </c>
      <c r="K1466">
        <v>1.9586881142504673</v>
      </c>
      <c r="L1466">
        <v>0</v>
      </c>
      <c r="M1466" t="str">
        <f>VLOOKUP(fact_daily_prices[[#This Row],[Ticker]], dim_company[], 2, FALSE)</f>
        <v>Microsoft Corp.</v>
      </c>
      <c r="N1466" t="str">
        <f>VLOOKUP(fact_daily_prices[[#This Row],[Ticker]], dim_company[], 3, FALSE)</f>
        <v>Technology</v>
      </c>
    </row>
    <row r="1467" spans="1:14" x14ac:dyDescent="0.3">
      <c r="A1467" s="1">
        <v>46150</v>
      </c>
      <c r="B1467">
        <v>414.22283935546881</v>
      </c>
      <c r="C1467">
        <v>417.72526330127789</v>
      </c>
      <c r="D1467">
        <v>413.10526476748799</v>
      </c>
      <c r="E1467">
        <v>416.48795292910256</v>
      </c>
      <c r="F1467">
        <v>33383800</v>
      </c>
      <c r="G1467" s="2" t="s">
        <v>14</v>
      </c>
      <c r="H1467">
        <v>-1.3427757958591635</v>
      </c>
      <c r="I1467">
        <v>91.310784057232297</v>
      </c>
      <c r="J1467">
        <v>397.27754150390626</v>
      </c>
      <c r="K1467">
        <v>1.9579409711490354</v>
      </c>
      <c r="L1467">
        <v>0</v>
      </c>
      <c r="M1467" t="str">
        <f>VLOOKUP(fact_daily_prices[[#This Row],[Ticker]], dim_company[], 2, FALSE)</f>
        <v>Microsoft Corp.</v>
      </c>
      <c r="N1467" t="str">
        <f>VLOOKUP(fact_daily_prices[[#This Row],[Ticker]], dim_company[], 3, FALSE)</f>
        <v>Technology</v>
      </c>
    </row>
    <row r="1468" spans="1:14" x14ac:dyDescent="0.3">
      <c r="A1468" s="1">
        <v>46153</v>
      </c>
      <c r="B1468">
        <v>411.76815795898438</v>
      </c>
      <c r="C1468">
        <v>411.79809190456297</v>
      </c>
      <c r="D1468">
        <v>404.62362858186441</v>
      </c>
      <c r="E1468">
        <v>406.98850163744447</v>
      </c>
      <c r="F1468">
        <v>21697800</v>
      </c>
      <c r="G1468" s="2" t="s">
        <v>14</v>
      </c>
      <c r="H1468">
        <v>-0.59259923965175876</v>
      </c>
      <c r="I1468">
        <v>90.769677045189084</v>
      </c>
      <c r="J1468">
        <v>397.67508056640622</v>
      </c>
      <c r="K1468">
        <v>1.8881879716205014</v>
      </c>
      <c r="L1468">
        <v>0</v>
      </c>
      <c r="M1468" t="str">
        <f>VLOOKUP(fact_daily_prices[[#This Row],[Ticker]], dim_company[], 2, FALSE)</f>
        <v>Microsoft Corp.</v>
      </c>
      <c r="N1468" t="str">
        <f>VLOOKUP(fact_daily_prices[[#This Row],[Ticker]], dim_company[], 3, FALSE)</f>
        <v>Technology</v>
      </c>
    </row>
    <row r="1469" spans="1:14" x14ac:dyDescent="0.3">
      <c r="A1469" s="1">
        <v>46154</v>
      </c>
      <c r="B1469">
        <v>406.88870239257813</v>
      </c>
      <c r="C1469">
        <v>414.60200701147681</v>
      </c>
      <c r="D1469">
        <v>405.76117016707218</v>
      </c>
      <c r="E1469">
        <v>413.58422243338288</v>
      </c>
      <c r="F1469">
        <v>38594200</v>
      </c>
      <c r="G1469" s="2" t="s">
        <v>14</v>
      </c>
      <c r="H1469">
        <v>-1.185000702966521</v>
      </c>
      <c r="I1469">
        <v>89.69405573412314</v>
      </c>
      <c r="J1469">
        <v>397.85908203125001</v>
      </c>
      <c r="K1469">
        <v>1.9129628117194395</v>
      </c>
      <c r="L1469">
        <v>0</v>
      </c>
      <c r="M1469" t="str">
        <f>VLOOKUP(fact_daily_prices[[#This Row],[Ticker]], dim_company[], 2, FALSE)</f>
        <v>Microsoft Corp.</v>
      </c>
      <c r="N1469" t="str">
        <f>VLOOKUP(fact_daily_prices[[#This Row],[Ticker]], dim_company[], 3, FALSE)</f>
        <v>Technology</v>
      </c>
    </row>
    <row r="1470" spans="1:14" x14ac:dyDescent="0.3">
      <c r="A1470" s="1">
        <v>46155</v>
      </c>
      <c r="B1470">
        <v>404.33425903320313</v>
      </c>
      <c r="C1470">
        <v>405.43188782364791</v>
      </c>
      <c r="D1470">
        <v>400.16330008113692</v>
      </c>
      <c r="E1470">
        <v>402.32862371554279</v>
      </c>
      <c r="F1470">
        <v>29667100</v>
      </c>
      <c r="G1470" s="2" t="s">
        <v>14</v>
      </c>
      <c r="H1470">
        <v>-0.62779903800582737</v>
      </c>
      <c r="I1470">
        <v>89.130957315075904</v>
      </c>
      <c r="J1470">
        <v>397.88462707519534</v>
      </c>
      <c r="K1470">
        <v>1.8534514117937639</v>
      </c>
      <c r="L1470">
        <v>0</v>
      </c>
      <c r="M1470" t="str">
        <f>VLOOKUP(fact_daily_prices[[#This Row],[Ticker]], dim_company[], 2, FALSE)</f>
        <v>Microsoft Corp.</v>
      </c>
      <c r="N1470" t="str">
        <f>VLOOKUP(fact_daily_prices[[#This Row],[Ticker]], dim_company[], 3, FALSE)</f>
        <v>Technology</v>
      </c>
    </row>
    <row r="1471" spans="1:14" x14ac:dyDescent="0.3">
      <c r="A1471" s="1">
        <v>46156</v>
      </c>
      <c r="B1471">
        <v>408.54513549804688</v>
      </c>
      <c r="C1471">
        <v>410.94993067744383</v>
      </c>
      <c r="D1471">
        <v>400.01362587766801</v>
      </c>
      <c r="E1471">
        <v>403.6058516736889</v>
      </c>
      <c r="F1471">
        <v>27077500</v>
      </c>
      <c r="G1471" s="2" t="s">
        <v>14</v>
      </c>
      <c r="H1471">
        <v>1.0414344989990054</v>
      </c>
      <c r="I1471">
        <v>90.059197853843187</v>
      </c>
      <c r="J1471">
        <v>397.96904418945314</v>
      </c>
      <c r="K1471">
        <v>1.8551627463220994</v>
      </c>
      <c r="L1471">
        <v>0</v>
      </c>
      <c r="M1471" t="str">
        <f>VLOOKUP(fact_daily_prices[[#This Row],[Ticker]], dim_company[], 2, FALSE)</f>
        <v>Microsoft Corp.</v>
      </c>
      <c r="N1471" t="str">
        <f>VLOOKUP(fact_daily_prices[[#This Row],[Ticker]], dim_company[], 3, FALSE)</f>
        <v>Technology</v>
      </c>
    </row>
    <row r="1472" spans="1:14" x14ac:dyDescent="0.3">
      <c r="A1472" s="1">
        <v>46157</v>
      </c>
      <c r="B1472">
        <v>421.00814819335938</v>
      </c>
      <c r="C1472">
        <v>427.24464052002446</v>
      </c>
      <c r="D1472">
        <v>412.01761111071977</v>
      </c>
      <c r="E1472">
        <v>413.3746572242232</v>
      </c>
      <c r="F1472">
        <v>50771200</v>
      </c>
      <c r="G1472" s="2" t="s">
        <v>14</v>
      </c>
      <c r="H1472">
        <v>3.0505840389261074</v>
      </c>
      <c r="I1472">
        <v>92.806529369157417</v>
      </c>
      <c r="J1472">
        <v>398.19335876464845</v>
      </c>
      <c r="K1472">
        <v>1.9150984415111938</v>
      </c>
      <c r="L1472">
        <v>0</v>
      </c>
      <c r="M1472" t="str">
        <f>VLOOKUP(fact_daily_prices[[#This Row],[Ticker]], dim_company[], 2, FALSE)</f>
        <v>Microsoft Corp.</v>
      </c>
      <c r="N1472" t="str">
        <f>VLOOKUP(fact_daily_prices[[#This Row],[Ticker]], dim_company[], 3, FALSE)</f>
        <v>Technology</v>
      </c>
    </row>
    <row r="1473" spans="1:14" x14ac:dyDescent="0.3">
      <c r="A1473" s="1">
        <v>46160</v>
      </c>
      <c r="B1473">
        <v>422.62466430664063</v>
      </c>
      <c r="C1473">
        <v>424.20123625082789</v>
      </c>
      <c r="D1473">
        <v>414.71177928415773</v>
      </c>
      <c r="E1473">
        <v>415.71960624154531</v>
      </c>
      <c r="F1473">
        <v>32564100</v>
      </c>
      <c r="G1473" s="2" t="s">
        <v>14</v>
      </c>
      <c r="H1473">
        <v>0.38396314185795699</v>
      </c>
      <c r="I1473">
        <v>93.162872235172571</v>
      </c>
      <c r="J1473">
        <v>398.48432922363281</v>
      </c>
      <c r="K1473">
        <v>1.9119900156615919</v>
      </c>
      <c r="L1473">
        <v>0</v>
      </c>
      <c r="M1473" t="str">
        <f>VLOOKUP(fact_daily_prices[[#This Row],[Ticker]], dim_company[], 2, FALSE)</f>
        <v>Microsoft Corp.</v>
      </c>
      <c r="N1473" t="str">
        <f>VLOOKUP(fact_daily_prices[[#This Row],[Ticker]], dim_company[], 3, FALSE)</f>
        <v>Technology</v>
      </c>
    </row>
    <row r="1474" spans="1:14" x14ac:dyDescent="0.3">
      <c r="A1474" s="1">
        <v>46161</v>
      </c>
      <c r="B1474">
        <v>416.51788330078131</v>
      </c>
      <c r="C1474">
        <v>431.76485887372678</v>
      </c>
      <c r="D1474">
        <v>415.58987007798993</v>
      </c>
      <c r="E1474">
        <v>428.9708919761278</v>
      </c>
      <c r="F1474">
        <v>33018700</v>
      </c>
      <c r="G1474" s="2" t="s">
        <v>14</v>
      </c>
      <c r="H1474">
        <v>-1.4449655975185771</v>
      </c>
      <c r="I1474">
        <v>91.816700781714147</v>
      </c>
      <c r="J1474">
        <v>398.65316406250003</v>
      </c>
      <c r="K1474">
        <v>1.9401716024279509</v>
      </c>
      <c r="L1474">
        <v>0</v>
      </c>
      <c r="M1474" t="str">
        <f>VLOOKUP(fact_daily_prices[[#This Row],[Ticker]], dim_company[], 2, FALSE)</f>
        <v>Microsoft Corp.</v>
      </c>
      <c r="N1474" t="str">
        <f>VLOOKUP(fact_daily_prices[[#This Row],[Ticker]], dim_company[], 3, FALSE)</f>
        <v>Technology</v>
      </c>
    </row>
    <row r="1475" spans="1:14" x14ac:dyDescent="0.3">
      <c r="A1475" s="1">
        <v>46162</v>
      </c>
      <c r="B1475">
        <v>420.14999389648438</v>
      </c>
      <c r="C1475">
        <v>421.18775475321456</v>
      </c>
      <c r="D1475">
        <v>410.41107766783853</v>
      </c>
      <c r="E1475">
        <v>413.27490054325131</v>
      </c>
      <c r="F1475">
        <v>27864000</v>
      </c>
      <c r="G1475" s="2" t="s">
        <v>14</v>
      </c>
      <c r="H1475">
        <v>0.87201792319688831</v>
      </c>
      <c r="I1475">
        <v>92.617358869018744</v>
      </c>
      <c r="J1475">
        <v>398.9585021972656</v>
      </c>
      <c r="K1475">
        <v>1.9419233716105906</v>
      </c>
      <c r="L1475">
        <v>0</v>
      </c>
      <c r="M1475" t="str">
        <f>VLOOKUP(fact_daily_prices[[#This Row],[Ticker]], dim_company[], 2, FALSE)</f>
        <v>Microsoft Corp.</v>
      </c>
      <c r="N1475" t="str">
        <f>VLOOKUP(fact_daily_prices[[#This Row],[Ticker]], dim_company[], 3, FALSE)</f>
        <v>Technology</v>
      </c>
    </row>
    <row r="1476" spans="1:14" x14ac:dyDescent="0.3">
      <c r="A1476" s="1">
        <v>46163</v>
      </c>
      <c r="B1476">
        <v>419.08999633789063</v>
      </c>
      <c r="C1476">
        <v>426.33999633789063</v>
      </c>
      <c r="D1476">
        <v>415.70999145507813</v>
      </c>
      <c r="E1476">
        <v>424.75</v>
      </c>
      <c r="F1476">
        <v>31393500</v>
      </c>
      <c r="G1476" s="2" t="s">
        <v>14</v>
      </c>
      <c r="H1476">
        <v>-0.25229027109182622</v>
      </c>
      <c r="I1476">
        <v>92.383694283249994</v>
      </c>
      <c r="J1476">
        <v>399.26020263671876</v>
      </c>
      <c r="K1476">
        <v>1.9408647452615535</v>
      </c>
      <c r="L1476">
        <v>0</v>
      </c>
      <c r="M1476" t="str">
        <f>VLOOKUP(fact_daily_prices[[#This Row],[Ticker]], dim_company[], 2, FALSE)</f>
        <v>Microsoft Corp.</v>
      </c>
      <c r="N1476" t="str">
        <f>VLOOKUP(fact_daily_prices[[#This Row],[Ticker]], dim_company[], 3, FALSE)</f>
        <v>Technology</v>
      </c>
    </row>
    <row r="1477" spans="1:14" x14ac:dyDescent="0.3">
      <c r="A1477" s="1">
        <v>46164</v>
      </c>
      <c r="B1477">
        <v>418.57000732421881</v>
      </c>
      <c r="C1477">
        <v>424.39999389648438</v>
      </c>
      <c r="D1477">
        <v>416.32998657226563</v>
      </c>
      <c r="E1477">
        <v>419.54000854492188</v>
      </c>
      <c r="F1477">
        <v>22390300</v>
      </c>
      <c r="G1477" s="2" t="s">
        <v>14</v>
      </c>
      <c r="H1477">
        <v>-0.1240757398686676</v>
      </c>
      <c r="I1477">
        <v>92.269068531050053</v>
      </c>
      <c r="J1477">
        <v>399.61177307128906</v>
      </c>
      <c r="K1477">
        <v>1.934413252191338</v>
      </c>
      <c r="L1477">
        <v>0</v>
      </c>
      <c r="M1477" t="str">
        <f>VLOOKUP(fact_daily_prices[[#This Row],[Ticker]], dim_company[], 2, FALSE)</f>
        <v>Microsoft Corp.</v>
      </c>
      <c r="N1477" t="str">
        <f>VLOOKUP(fact_daily_prices[[#This Row],[Ticker]], dim_company[], 3, FALSE)</f>
        <v>Technology</v>
      </c>
    </row>
    <row r="1478" spans="1:14" x14ac:dyDescent="0.3">
      <c r="A1478" s="1">
        <v>46168</v>
      </c>
      <c r="B1478">
        <v>416.02999877929688</v>
      </c>
      <c r="C1478">
        <v>419.76998901367188</v>
      </c>
      <c r="D1478">
        <v>413.01998901367188</v>
      </c>
      <c r="E1478">
        <v>416.42999267578131</v>
      </c>
      <c r="F1478">
        <v>30398000</v>
      </c>
      <c r="G1478" s="2" t="s">
        <v>14</v>
      </c>
      <c r="H1478">
        <v>-0.60683004048937006</v>
      </c>
      <c r="I1478">
        <v>91.709152105123906</v>
      </c>
      <c r="J1478">
        <v>400.03847045898436</v>
      </c>
      <c r="K1478">
        <v>1.8446659815871083</v>
      </c>
      <c r="L1478">
        <v>0</v>
      </c>
      <c r="M1478" t="str">
        <f>VLOOKUP(fact_daily_prices[[#This Row],[Ticker]], dim_company[], 2, FALSE)</f>
        <v>Microsoft Corp.</v>
      </c>
      <c r="N1478" t="str">
        <f>VLOOKUP(fact_daily_prices[[#This Row],[Ticker]], dim_company[], 3, FALSE)</f>
        <v>Technology</v>
      </c>
    </row>
    <row r="1479" spans="1:14" x14ac:dyDescent="0.3">
      <c r="A1479" s="1">
        <v>46169</v>
      </c>
      <c r="B1479">
        <v>412.67001342773438</v>
      </c>
      <c r="C1479">
        <v>415.94000244140631</v>
      </c>
      <c r="D1479">
        <v>409.57998657226563</v>
      </c>
      <c r="E1479">
        <v>411.010009765625</v>
      </c>
      <c r="F1479">
        <v>28901500</v>
      </c>
      <c r="G1479" s="2" t="s">
        <v>14</v>
      </c>
      <c r="H1479">
        <v>-0.80763054621572072</v>
      </c>
      <c r="I1479">
        <v>90.968480979047484</v>
      </c>
      <c r="J1479">
        <v>400.31015808105468</v>
      </c>
      <c r="K1479">
        <v>1.8158352015074122</v>
      </c>
      <c r="L1479">
        <v>0</v>
      </c>
      <c r="M1479" t="str">
        <f>VLOOKUP(fact_daily_prices[[#This Row],[Ticker]], dim_company[], 2, FALSE)</f>
        <v>Microsoft Corp.</v>
      </c>
      <c r="N1479" t="str">
        <f>VLOOKUP(fact_daily_prices[[#This Row],[Ticker]], dim_company[], 3, FALSE)</f>
        <v>Technology</v>
      </c>
    </row>
    <row r="1480" spans="1:14" x14ac:dyDescent="0.3">
      <c r="A1480" s="1">
        <v>46170</v>
      </c>
      <c r="B1480">
        <v>426.989990234375</v>
      </c>
      <c r="C1480">
        <v>429.489990234375</v>
      </c>
      <c r="D1480">
        <v>412.67001342773438</v>
      </c>
      <c r="E1480">
        <v>412.98001098632813</v>
      </c>
      <c r="F1480">
        <v>47250500</v>
      </c>
      <c r="G1480" s="2" t="s">
        <v>14</v>
      </c>
      <c r="H1480">
        <v>3.4700793226276616</v>
      </c>
      <c r="I1480">
        <v>94.125159427609901</v>
      </c>
      <c r="J1480">
        <v>400.8790222167969</v>
      </c>
      <c r="K1480">
        <v>1.7302251722153441</v>
      </c>
      <c r="L1480">
        <v>0</v>
      </c>
      <c r="M1480" t="str">
        <f>VLOOKUP(fact_daily_prices[[#This Row],[Ticker]], dim_company[], 2, FALSE)</f>
        <v>Microsoft Corp.</v>
      </c>
      <c r="N1480" t="str">
        <f>VLOOKUP(fact_daily_prices[[#This Row],[Ticker]], dim_company[], 3, FALSE)</f>
        <v>Technology</v>
      </c>
    </row>
    <row r="1481" spans="1:14" x14ac:dyDescent="0.3">
      <c r="A1481" s="1">
        <v>46171</v>
      </c>
      <c r="B1481">
        <v>450.239990234375</v>
      </c>
      <c r="C1481">
        <v>450.32998657226563</v>
      </c>
      <c r="D1481">
        <v>432.3599853515625</v>
      </c>
      <c r="E1481">
        <v>432.54998779296881</v>
      </c>
      <c r="F1481">
        <v>79654400</v>
      </c>
      <c r="G1481" s="2" t="s">
        <v>14</v>
      </c>
      <c r="H1481">
        <v>5.4450925154564178</v>
      </c>
      <c r="I1481">
        <v>99.250361438764088</v>
      </c>
      <c r="J1481">
        <v>402.06495666503906</v>
      </c>
      <c r="K1481">
        <v>1.9504678481892228</v>
      </c>
      <c r="L1481">
        <v>1</v>
      </c>
      <c r="M1481" t="str">
        <f>VLOOKUP(fact_daily_prices[[#This Row],[Ticker]], dim_company[], 2, FALSE)</f>
        <v>Microsoft Corp.</v>
      </c>
      <c r="N1481" t="str">
        <f>VLOOKUP(fact_daily_prices[[#This Row],[Ticker]], dim_company[], 3, FALSE)</f>
        <v>Technology</v>
      </c>
    </row>
    <row r="1482" spans="1:14" x14ac:dyDescent="0.3">
      <c r="A1482" s="1">
        <v>46174</v>
      </c>
      <c r="B1482">
        <v>460.51998901367188</v>
      </c>
      <c r="C1482">
        <v>466.32000732421881</v>
      </c>
      <c r="D1482">
        <v>458.26998901367188</v>
      </c>
      <c r="E1482">
        <v>464.83999633789063</v>
      </c>
      <c r="F1482">
        <v>53628900</v>
      </c>
      <c r="G1482" s="2" t="s">
        <v>14</v>
      </c>
      <c r="H1482">
        <v>2.2832265019252507</v>
      </c>
      <c r="I1482">
        <v>101.51647199439053</v>
      </c>
      <c r="J1482">
        <v>403.51177185058594</v>
      </c>
      <c r="K1482">
        <v>1.9846207204811348</v>
      </c>
      <c r="L1482">
        <v>0</v>
      </c>
      <c r="M1482" t="str">
        <f>VLOOKUP(fact_daily_prices[[#This Row],[Ticker]], dim_company[], 2, FALSE)</f>
        <v>Microsoft Corp.</v>
      </c>
      <c r="N1482" t="str">
        <f>VLOOKUP(fact_daily_prices[[#This Row],[Ticker]], dim_company[], 3, FALSE)</f>
        <v>Technology</v>
      </c>
    </row>
    <row r="1483" spans="1:14" x14ac:dyDescent="0.3">
      <c r="A1483" s="1">
        <v>46175</v>
      </c>
      <c r="B1483">
        <v>441.30999755859375</v>
      </c>
      <c r="C1483">
        <v>453.5</v>
      </c>
      <c r="D1483">
        <v>440.42999267578131</v>
      </c>
      <c r="E1483">
        <v>446.8800048828125</v>
      </c>
      <c r="F1483">
        <v>37036800</v>
      </c>
      <c r="G1483" s="2" t="s">
        <v>14</v>
      </c>
      <c r="H1483">
        <v>-4.1713697371142384</v>
      </c>
      <c r="I1483">
        <v>97.281844603430486</v>
      </c>
      <c r="J1483">
        <v>404.71707763671873</v>
      </c>
      <c r="K1483">
        <v>2.1332277142645757</v>
      </c>
      <c r="L1483">
        <v>0</v>
      </c>
      <c r="M1483" t="str">
        <f>VLOOKUP(fact_daily_prices[[#This Row],[Ticker]], dim_company[], 2, FALSE)</f>
        <v>Microsoft Corp.</v>
      </c>
      <c r="N1483" t="str">
        <f>VLOOKUP(fact_daily_prices[[#This Row],[Ticker]], dim_company[], 3, FALSE)</f>
        <v>Technology</v>
      </c>
    </row>
    <row r="1484" spans="1:14" x14ac:dyDescent="0.3">
      <c r="A1484" s="1">
        <v>46176</v>
      </c>
      <c r="B1484">
        <v>427.33999633789063</v>
      </c>
      <c r="C1484">
        <v>440.3900146484375</v>
      </c>
      <c r="D1484">
        <v>424.25</v>
      </c>
      <c r="E1484">
        <v>438.45001220703131</v>
      </c>
      <c r="F1484">
        <v>39037000</v>
      </c>
      <c r="G1484" s="2" t="s">
        <v>14</v>
      </c>
      <c r="H1484">
        <v>-3.1655755133551677</v>
      </c>
      <c r="I1484">
        <v>94.20231435172407</v>
      </c>
      <c r="J1484">
        <v>405.62043212890626</v>
      </c>
      <c r="K1484">
        <v>2.2057479135157982</v>
      </c>
      <c r="L1484">
        <v>0</v>
      </c>
      <c r="M1484" t="str">
        <f>VLOOKUP(fact_daily_prices[[#This Row],[Ticker]], dim_company[], 2, FALSE)</f>
        <v>Microsoft Corp.</v>
      </c>
      <c r="N1484" t="str">
        <f>VLOOKUP(fact_daily_prices[[#This Row],[Ticker]], dim_company[], 3, FALSE)</f>
        <v>Technology</v>
      </c>
    </row>
    <row r="1485" spans="1:14" x14ac:dyDescent="0.3">
      <c r="A1485" s="1">
        <v>46177</v>
      </c>
      <c r="B1485">
        <v>428.04998779296881</v>
      </c>
      <c r="C1485">
        <v>436.14999389648438</v>
      </c>
      <c r="D1485">
        <v>426.41000366210938</v>
      </c>
      <c r="E1485">
        <v>435.80999755859375</v>
      </c>
      <c r="F1485">
        <v>26899500</v>
      </c>
      <c r="G1485" s="2" t="s">
        <v>14</v>
      </c>
      <c r="H1485">
        <v>0.16614205577818453</v>
      </c>
      <c r="I1485">
        <v>94.358824013378651</v>
      </c>
      <c r="J1485">
        <v>406.74274353027346</v>
      </c>
      <c r="K1485">
        <v>2.1730935837845751</v>
      </c>
      <c r="L1485">
        <v>0</v>
      </c>
      <c r="M1485" t="str">
        <f>VLOOKUP(fact_daily_prices[[#This Row],[Ticker]], dim_company[], 2, FALSE)</f>
        <v>Microsoft Corp.</v>
      </c>
      <c r="N1485" t="str">
        <f>VLOOKUP(fact_daily_prices[[#This Row],[Ticker]], dim_company[], 3, FALSE)</f>
        <v>Technology</v>
      </c>
    </row>
    <row r="1486" spans="1:14" x14ac:dyDescent="0.3">
      <c r="A1486" s="1">
        <v>46178</v>
      </c>
      <c r="B1486">
        <v>416.67001342773438</v>
      </c>
      <c r="C1486">
        <v>429.47000122070313</v>
      </c>
      <c r="D1486">
        <v>414.39999389648438</v>
      </c>
      <c r="E1486">
        <v>428.33999633789063</v>
      </c>
      <c r="F1486">
        <v>34782200</v>
      </c>
      <c r="G1486" s="2" t="s">
        <v>14</v>
      </c>
      <c r="H1486">
        <v>-2.6585620113925734</v>
      </c>
      <c r="I1486">
        <v>91.85023616376219</v>
      </c>
      <c r="J1486">
        <v>407.67138122558595</v>
      </c>
      <c r="K1486">
        <v>2.1029446105812868</v>
      </c>
      <c r="L1486">
        <v>0</v>
      </c>
      <c r="M1486" t="str">
        <f>VLOOKUP(fact_daily_prices[[#This Row],[Ticker]], dim_company[], 2, FALSE)</f>
        <v>Microsoft Corp.</v>
      </c>
      <c r="N1486" t="str">
        <f>VLOOKUP(fact_daily_prices[[#This Row],[Ticker]], dim_company[], 3, FALSE)</f>
        <v>Technology</v>
      </c>
    </row>
    <row r="1487" spans="1:14" x14ac:dyDescent="0.3">
      <c r="A1487" s="1">
        <v>46181</v>
      </c>
      <c r="B1487">
        <v>411.739990234375</v>
      </c>
      <c r="C1487">
        <v>417.16000366210938</v>
      </c>
      <c r="D1487">
        <v>408.55999755859375</v>
      </c>
      <c r="E1487">
        <v>414.1400146484375</v>
      </c>
      <c r="F1487">
        <v>32086700</v>
      </c>
      <c r="G1487" s="2" t="s">
        <v>14</v>
      </c>
      <c r="H1487">
        <v>-1.1831960627074034</v>
      </c>
      <c r="I1487">
        <v>90.763467785885098</v>
      </c>
      <c r="J1487">
        <v>408.6025994873047</v>
      </c>
      <c r="K1487">
        <v>2.0758753988904561</v>
      </c>
      <c r="L1487">
        <v>0</v>
      </c>
      <c r="M1487" t="str">
        <f>VLOOKUP(fact_daily_prices[[#This Row],[Ticker]], dim_company[], 2, FALSE)</f>
        <v>Microsoft Corp.</v>
      </c>
      <c r="N1487" t="str">
        <f>VLOOKUP(fact_daily_prices[[#This Row],[Ticker]], dim_company[], 3, FALSE)</f>
        <v>Technology</v>
      </c>
    </row>
    <row r="1488" spans="1:14" x14ac:dyDescent="0.3">
      <c r="A1488" s="1">
        <v>46182</v>
      </c>
      <c r="B1488">
        <v>403.41000366210938</v>
      </c>
      <c r="C1488">
        <v>411.98001098632813</v>
      </c>
      <c r="D1488">
        <v>398.48001098632813</v>
      </c>
      <c r="E1488">
        <v>409.02999877929688</v>
      </c>
      <c r="F1488">
        <v>35317300</v>
      </c>
      <c r="G1488" s="2" t="s">
        <v>14</v>
      </c>
      <c r="H1488">
        <v>-2.0231181740505533</v>
      </c>
      <c r="I1488">
        <v>88.927215573710328</v>
      </c>
      <c r="J1488">
        <v>409.55082092285159</v>
      </c>
      <c r="K1488">
        <v>2.1058809853575902</v>
      </c>
      <c r="L1488">
        <v>0</v>
      </c>
      <c r="M1488" t="str">
        <f>VLOOKUP(fact_daily_prices[[#This Row],[Ticker]], dim_company[], 2, FALSE)</f>
        <v>Microsoft Corp.</v>
      </c>
      <c r="N1488" t="str">
        <f>VLOOKUP(fact_daily_prices[[#This Row],[Ticker]], dim_company[], 3, FALSE)</f>
        <v>Technology</v>
      </c>
    </row>
    <row r="1489" spans="1:14" x14ac:dyDescent="0.3">
      <c r="A1489" s="1">
        <v>46183</v>
      </c>
      <c r="B1489">
        <v>397.3599853515625</v>
      </c>
      <c r="C1489">
        <v>405.04000854492188</v>
      </c>
      <c r="D1489">
        <v>397.16000366210938</v>
      </c>
      <c r="E1489">
        <v>398.54998779296881</v>
      </c>
      <c r="F1489">
        <v>32576000</v>
      </c>
      <c r="G1489" s="2" t="s">
        <v>14</v>
      </c>
      <c r="H1489">
        <v>-1.4997194555478321</v>
      </c>
      <c r="I1489">
        <v>87.593556820474433</v>
      </c>
      <c r="J1489">
        <v>410.33433654785154</v>
      </c>
      <c r="K1489">
        <v>2.1076463977070277</v>
      </c>
      <c r="L1489">
        <v>0</v>
      </c>
      <c r="M1489" t="str">
        <f>VLOOKUP(fact_daily_prices[[#This Row],[Ticker]], dim_company[], 2, FALSE)</f>
        <v>Microsoft Corp.</v>
      </c>
      <c r="N1489" t="str">
        <f>VLOOKUP(fact_daily_prices[[#This Row],[Ticker]], dim_company[], 3, FALSE)</f>
        <v>Technology</v>
      </c>
    </row>
    <row r="1490" spans="1:14" x14ac:dyDescent="0.3">
      <c r="A1490" s="1">
        <v>46184</v>
      </c>
      <c r="B1490">
        <v>390.33999633789063</v>
      </c>
      <c r="C1490">
        <v>396.85000610351563</v>
      </c>
      <c r="D1490">
        <v>384</v>
      </c>
      <c r="E1490">
        <v>395.20999145507813</v>
      </c>
      <c r="F1490">
        <v>47224100</v>
      </c>
      <c r="G1490" s="2" t="s">
        <v>14</v>
      </c>
      <c r="H1490">
        <v>-1.7666572560045224</v>
      </c>
      <c r="I1490">
        <v>86.046078893113091</v>
      </c>
      <c r="J1490">
        <v>410.75373657226561</v>
      </c>
      <c r="K1490">
        <v>2.1204054745149952</v>
      </c>
      <c r="L1490">
        <v>0</v>
      </c>
      <c r="M1490" t="str">
        <f>VLOOKUP(fact_daily_prices[[#This Row],[Ticker]], dim_company[], 2, FALSE)</f>
        <v>Microsoft Corp.</v>
      </c>
      <c r="N1490" t="str">
        <f>VLOOKUP(fact_daily_prices[[#This Row],[Ticker]], dim_company[], 3, FALSE)</f>
        <v>Technology</v>
      </c>
    </row>
    <row r="1491" spans="1:14" x14ac:dyDescent="0.3">
      <c r="A1491" s="1">
        <v>46185</v>
      </c>
      <c r="B1491">
        <v>390.739990234375</v>
      </c>
      <c r="C1491">
        <v>391.739990234375</v>
      </c>
      <c r="D1491">
        <v>382.26998901367188</v>
      </c>
      <c r="E1491">
        <v>391.42999267578131</v>
      </c>
      <c r="F1491">
        <v>34865800</v>
      </c>
      <c r="G1491" s="2" t="s">
        <v>14</v>
      </c>
      <c r="H1491">
        <v>0.10247320290952544</v>
      </c>
      <c r="I1491">
        <v>86.134253066132914</v>
      </c>
      <c r="J1491">
        <v>411.19710205078127</v>
      </c>
      <c r="K1491">
        <v>2.0037077465312016</v>
      </c>
      <c r="L1491">
        <v>0</v>
      </c>
      <c r="M1491" t="str">
        <f>VLOOKUP(fact_daily_prices[[#This Row],[Ticker]], dim_company[], 2, FALSE)</f>
        <v>Microsoft Corp.</v>
      </c>
      <c r="N1491" t="str">
        <f>VLOOKUP(fact_daily_prices[[#This Row],[Ticker]], dim_company[], 3, FALSE)</f>
        <v>Technology</v>
      </c>
    </row>
    <row r="1492" spans="1:14" x14ac:dyDescent="0.3">
      <c r="A1492" s="1">
        <v>46188</v>
      </c>
      <c r="B1492">
        <v>399.760009765625</v>
      </c>
      <c r="C1492">
        <v>401.75</v>
      </c>
      <c r="D1492">
        <v>392.85000610351563</v>
      </c>
      <c r="E1492">
        <v>396.79998779296881</v>
      </c>
      <c r="F1492">
        <v>32266400</v>
      </c>
      <c r="G1492" s="2" t="s">
        <v>14</v>
      </c>
      <c r="H1492">
        <v>2.3084454513702557</v>
      </c>
      <c r="I1492">
        <v>88.122615313109804</v>
      </c>
      <c r="J1492">
        <v>411.73924499511719</v>
      </c>
      <c r="K1492">
        <v>2.02767935108833</v>
      </c>
      <c r="L1492">
        <v>0</v>
      </c>
      <c r="M1492" t="str">
        <f>VLOOKUP(fact_daily_prices[[#This Row],[Ticker]], dim_company[], 2, FALSE)</f>
        <v>Microsoft Corp.</v>
      </c>
      <c r="N1492" t="str">
        <f>VLOOKUP(fact_daily_prices[[#This Row],[Ticker]], dim_company[], 3, FALSE)</f>
        <v>Technology</v>
      </c>
    </row>
    <row r="1493" spans="1:14" x14ac:dyDescent="0.3">
      <c r="A1493" s="1">
        <v>46189</v>
      </c>
      <c r="B1493">
        <v>393.82998657226563</v>
      </c>
      <c r="C1493">
        <v>396.83999633789063</v>
      </c>
      <c r="D1493">
        <v>390.69000244140631</v>
      </c>
      <c r="E1493">
        <v>395.79000854492188</v>
      </c>
      <c r="F1493">
        <v>31506800</v>
      </c>
      <c r="G1493" s="2" t="s">
        <v>14</v>
      </c>
      <c r="H1493">
        <v>-1.4833957996038927</v>
      </c>
      <c r="I1493">
        <v>86.815408139054043</v>
      </c>
      <c r="J1493">
        <v>412.17436218261719</v>
      </c>
      <c r="K1493">
        <v>2.0434895535605975</v>
      </c>
      <c r="L1493">
        <v>0</v>
      </c>
      <c r="M1493" t="str">
        <f>VLOOKUP(fact_daily_prices[[#This Row],[Ticker]], dim_company[], 2, FALSE)</f>
        <v>Microsoft Corp.</v>
      </c>
      <c r="N1493" t="str">
        <f>VLOOKUP(fact_daily_prices[[#This Row],[Ticker]], dim_company[], 3, FALSE)</f>
        <v>Technology</v>
      </c>
    </row>
    <row r="1494" spans="1:14" x14ac:dyDescent="0.3">
      <c r="A1494" s="1">
        <v>46190</v>
      </c>
      <c r="B1494">
        <v>378.91000366210938</v>
      </c>
      <c r="C1494">
        <v>390.3699951171875</v>
      </c>
      <c r="D1494">
        <v>377.32000732421881</v>
      </c>
      <c r="E1494">
        <v>390.25</v>
      </c>
      <c r="F1494">
        <v>41987800</v>
      </c>
      <c r="G1494" s="2" t="s">
        <v>14</v>
      </c>
      <c r="H1494">
        <v>-3.7884324248678047</v>
      </c>
      <c r="I1494">
        <v>83.526465067332794</v>
      </c>
      <c r="J1494">
        <v>412.32285400390623</v>
      </c>
      <c r="K1494">
        <v>2.1489669619182847</v>
      </c>
      <c r="L1494">
        <v>0</v>
      </c>
      <c r="M1494" t="str">
        <f>VLOOKUP(fact_daily_prices[[#This Row],[Ticker]], dim_company[], 2, FALSE)</f>
        <v>Microsoft Corp.</v>
      </c>
      <c r="N1494" t="str">
        <f>VLOOKUP(fact_daily_prices[[#This Row],[Ticker]], dim_company[], 3, FALSE)</f>
        <v>Technology</v>
      </c>
    </row>
    <row r="1495" spans="1:14" x14ac:dyDescent="0.3">
      <c r="A1495" s="1">
        <v>46191</v>
      </c>
      <c r="B1495">
        <v>379.39999389648438</v>
      </c>
      <c r="C1495">
        <v>381.3699951171875</v>
      </c>
      <c r="D1495">
        <v>373.27999877929688</v>
      </c>
      <c r="E1495">
        <v>377.82000732421881</v>
      </c>
      <c r="F1495">
        <v>59714200</v>
      </c>
      <c r="G1495" s="2" t="s">
        <v>14</v>
      </c>
      <c r="H1495">
        <v>0.12931572923366996</v>
      </c>
      <c r="I1495">
        <v>83.634477924737723</v>
      </c>
      <c r="J1495">
        <v>412.44043395996096</v>
      </c>
      <c r="K1495">
        <v>2.1439219087555745</v>
      </c>
      <c r="L1495">
        <v>0</v>
      </c>
      <c r="M1495" t="str">
        <f>VLOOKUP(fact_daily_prices[[#This Row],[Ticker]], dim_company[], 2, FALSE)</f>
        <v>Microsoft Corp.</v>
      </c>
      <c r="N1495" t="str">
        <f>VLOOKUP(fact_daily_prices[[#This Row],[Ticker]], dim_company[], 3, FALSE)</f>
        <v>Technology</v>
      </c>
    </row>
    <row r="1496" spans="1:14" x14ac:dyDescent="0.3">
      <c r="A1496" s="1">
        <v>46195</v>
      </c>
      <c r="B1496">
        <v>367.33999633789063</v>
      </c>
      <c r="C1496">
        <v>381.6300048828125</v>
      </c>
      <c r="D1496">
        <v>367.07000732421881</v>
      </c>
      <c r="E1496">
        <v>375.739990234375</v>
      </c>
      <c r="F1496">
        <v>45171100</v>
      </c>
      <c r="G1496" s="2" t="s">
        <v>14</v>
      </c>
      <c r="H1496">
        <v>-3.178702623248908</v>
      </c>
      <c r="I1496">
        <v>80.975986581003554</v>
      </c>
      <c r="J1496">
        <v>412.34195922851563</v>
      </c>
      <c r="K1496">
        <v>2.1766873205968236</v>
      </c>
      <c r="L1496">
        <v>0</v>
      </c>
      <c r="M1496" t="str">
        <f>VLOOKUP(fact_daily_prices[[#This Row],[Ticker]], dim_company[], 2, FALSE)</f>
        <v>Microsoft Corp.</v>
      </c>
      <c r="N1496" t="str">
        <f>VLOOKUP(fact_daily_prices[[#This Row],[Ticker]], dim_company[], 3, FALSE)</f>
        <v>Technology</v>
      </c>
    </row>
    <row r="1497" spans="1:14" x14ac:dyDescent="0.3">
      <c r="A1497" s="1">
        <v>46196</v>
      </c>
      <c r="B1497">
        <v>373.94000244140631</v>
      </c>
      <c r="C1497">
        <v>377.22000122070313</v>
      </c>
      <c r="D1497">
        <v>370.67001342773438</v>
      </c>
      <c r="E1497">
        <v>372.3800048828125</v>
      </c>
      <c r="F1497">
        <v>40647600</v>
      </c>
      <c r="G1497" s="2" t="s">
        <v>14</v>
      </c>
      <c r="H1497">
        <v>1.7967022838005331</v>
      </c>
      <c r="I1497">
        <v>82.430883981234459</v>
      </c>
      <c r="J1497">
        <v>412.41938964843752</v>
      </c>
      <c r="K1497">
        <v>2.206145189707986</v>
      </c>
      <c r="L1497">
        <v>0</v>
      </c>
      <c r="M1497" t="str">
        <f>VLOOKUP(fact_daily_prices[[#This Row],[Ticker]], dim_company[], 2, FALSE)</f>
        <v>Microsoft Corp.</v>
      </c>
      <c r="N1497" t="str">
        <f>VLOOKUP(fact_daily_prices[[#This Row],[Ticker]], dim_company[], 3, FALSE)</f>
        <v>Technology</v>
      </c>
    </row>
    <row r="1498" spans="1:14" x14ac:dyDescent="0.3">
      <c r="A1498" s="1">
        <v>46197</v>
      </c>
      <c r="B1498">
        <v>365.45999145507813</v>
      </c>
      <c r="C1498">
        <v>378.8800048828125</v>
      </c>
      <c r="D1498">
        <v>364.77999877929688</v>
      </c>
      <c r="E1498">
        <v>371.57000732421881</v>
      </c>
      <c r="F1498">
        <v>44509900</v>
      </c>
      <c r="G1498" s="2" t="s">
        <v>14</v>
      </c>
      <c r="H1498">
        <v>-2.2677464114465584</v>
      </c>
      <c r="I1498">
        <v>80.561560567826334</v>
      </c>
      <c r="J1498">
        <v>412.05780334472655</v>
      </c>
      <c r="K1498">
        <v>2.2343794260001131</v>
      </c>
      <c r="L1498">
        <v>0</v>
      </c>
      <c r="M1498" t="str">
        <f>VLOOKUP(fact_daily_prices[[#This Row],[Ticker]], dim_company[], 2, FALSE)</f>
        <v>Microsoft Corp.</v>
      </c>
      <c r="N1498" t="str">
        <f>VLOOKUP(fact_daily_prices[[#This Row],[Ticker]], dim_company[], 3, FALSE)</f>
        <v>Technology</v>
      </c>
    </row>
    <row r="1499" spans="1:14" x14ac:dyDescent="0.3">
      <c r="A1499" s="1">
        <v>46198</v>
      </c>
      <c r="B1499">
        <v>352.82998657226563</v>
      </c>
      <c r="C1499">
        <v>364.23001098632813</v>
      </c>
      <c r="D1499">
        <v>349.20001220703125</v>
      </c>
      <c r="E1499">
        <v>362.76998901367188</v>
      </c>
      <c r="F1499">
        <v>66179000</v>
      </c>
      <c r="G1499" s="2" t="s">
        <v>14</v>
      </c>
      <c r="H1499">
        <v>-3.4559199852564393</v>
      </c>
      <c r="I1499">
        <v>77.777417495728358</v>
      </c>
      <c r="J1499">
        <v>411.26919494628908</v>
      </c>
      <c r="K1499">
        <v>2.3003366074022389</v>
      </c>
      <c r="L1499">
        <v>0</v>
      </c>
      <c r="M1499" t="str">
        <f>VLOOKUP(fact_daily_prices[[#This Row],[Ticker]], dim_company[], 2, FALSE)</f>
        <v>Microsoft Corp.</v>
      </c>
      <c r="N1499" t="str">
        <f>VLOOKUP(fact_daily_prices[[#This Row],[Ticker]], dim_company[], 3, FALSE)</f>
        <v>Technology</v>
      </c>
    </row>
    <row r="1500" spans="1:14" x14ac:dyDescent="0.3">
      <c r="A1500" s="1">
        <v>46199</v>
      </c>
      <c r="B1500">
        <v>372.97000122070313</v>
      </c>
      <c r="C1500">
        <v>376.6099853515625</v>
      </c>
      <c r="D1500">
        <v>355.42999267578125</v>
      </c>
      <c r="E1500">
        <v>357.14999389648438</v>
      </c>
      <c r="F1500">
        <v>186201600</v>
      </c>
      <c r="G1500" s="2" t="s">
        <v>14</v>
      </c>
      <c r="H1500">
        <v>5.7081357636569408</v>
      </c>
      <c r="I1500">
        <v>82.217058079850801</v>
      </c>
      <c r="J1500">
        <v>410.5219696044922</v>
      </c>
      <c r="K1500">
        <v>2.559562359284</v>
      </c>
      <c r="L1500">
        <v>1</v>
      </c>
      <c r="M1500" t="str">
        <f>VLOOKUP(fact_daily_prices[[#This Row],[Ticker]], dim_company[], 2, FALSE)</f>
        <v>Microsoft Corp.</v>
      </c>
      <c r="N1500" t="str">
        <f>VLOOKUP(fact_daily_prices[[#This Row],[Ticker]], dim_company[], 3, FALSE)</f>
        <v>Technology</v>
      </c>
    </row>
    <row r="1501" spans="1:14" x14ac:dyDescent="0.3">
      <c r="A1501" s="1">
        <v>46202</v>
      </c>
      <c r="B1501">
        <v>368.57000732421881</v>
      </c>
      <c r="C1501">
        <v>380.5</v>
      </c>
      <c r="D1501">
        <v>359.89999389648438</v>
      </c>
      <c r="E1501">
        <v>377.5</v>
      </c>
      <c r="F1501">
        <v>51229900</v>
      </c>
      <c r="G1501" s="2" t="s">
        <v>14</v>
      </c>
      <c r="H1501">
        <v>-1.1797179081651232</v>
      </c>
      <c r="I1501">
        <v>81.247128722116287</v>
      </c>
      <c r="J1501">
        <v>409.50633483886719</v>
      </c>
      <c r="K1501">
        <v>2.5534137420285479</v>
      </c>
      <c r="L1501">
        <v>0</v>
      </c>
      <c r="M1501" t="str">
        <f>VLOOKUP(fact_daily_prices[[#This Row],[Ticker]], dim_company[], 2, FALSE)</f>
        <v>Microsoft Corp.</v>
      </c>
      <c r="N1501" t="str">
        <f>VLOOKUP(fact_daily_prices[[#This Row],[Ticker]], dim_company[], 3, FALSE)</f>
        <v>Technology</v>
      </c>
    </row>
    <row r="1502" spans="1:14" x14ac:dyDescent="0.3">
      <c r="A1502" s="1">
        <v>46203</v>
      </c>
      <c r="B1502">
        <v>373.01998901367188</v>
      </c>
      <c r="C1502">
        <v>374.14999389648438</v>
      </c>
      <c r="D1502">
        <v>367.45001220703131</v>
      </c>
      <c r="E1502">
        <v>371.02999877929688</v>
      </c>
      <c r="F1502">
        <v>44945700</v>
      </c>
      <c r="G1502" s="2" t="s">
        <v>14</v>
      </c>
      <c r="H1502">
        <v>1.2073640288203347</v>
      </c>
      <c r="I1502">
        <v>82.22807732875647</v>
      </c>
      <c r="J1502">
        <v>408.52920898437497</v>
      </c>
      <c r="K1502">
        <v>2.4911444724875196</v>
      </c>
      <c r="L1502">
        <v>0</v>
      </c>
      <c r="M1502" t="str">
        <f>VLOOKUP(fact_daily_prices[[#This Row],[Ticker]], dim_company[], 2, FALSE)</f>
        <v>Microsoft Corp.</v>
      </c>
      <c r="N1502" t="str">
        <f>VLOOKUP(fact_daily_prices[[#This Row],[Ticker]], dim_company[], 3, FALSE)</f>
        <v>Technology</v>
      </c>
    </row>
    <row r="1503" spans="1:14" x14ac:dyDescent="0.3">
      <c r="A1503" s="1">
        <v>46204</v>
      </c>
      <c r="B1503">
        <v>384.27999877929688</v>
      </c>
      <c r="C1503">
        <v>388.82998657226563</v>
      </c>
      <c r="D1503">
        <v>374.8900146484375</v>
      </c>
      <c r="E1503">
        <v>380.82998657226563</v>
      </c>
      <c r="F1503">
        <v>48065800</v>
      </c>
      <c r="G1503" s="2" t="s">
        <v>14</v>
      </c>
      <c r="H1503">
        <v>3.0186076074363744</v>
      </c>
      <c r="I1503">
        <v>84.710220326450965</v>
      </c>
      <c r="J1503">
        <v>407.87147949218752</v>
      </c>
      <c r="K1503">
        <v>2.5641155352962364</v>
      </c>
      <c r="L1503">
        <v>0</v>
      </c>
      <c r="M1503" t="str">
        <f>VLOOKUP(fact_daily_prices[[#This Row],[Ticker]], dim_company[], 2, FALSE)</f>
        <v>Microsoft Corp.</v>
      </c>
      <c r="N1503" t="str">
        <f>VLOOKUP(fact_daily_prices[[#This Row],[Ticker]], dim_company[], 3, FALSE)</f>
        <v>Technology</v>
      </c>
    </row>
    <row r="1504" spans="1:14" x14ac:dyDescent="0.3">
      <c r="A1504" s="1">
        <v>46205</v>
      </c>
      <c r="B1504">
        <v>390.489990234375</v>
      </c>
      <c r="C1504">
        <v>392.20001220703131</v>
      </c>
      <c r="D1504">
        <v>383.70001220703131</v>
      </c>
      <c r="E1504">
        <v>384.48001098632813</v>
      </c>
      <c r="F1504">
        <v>42128900</v>
      </c>
      <c r="G1504" s="2" t="s">
        <v>14</v>
      </c>
      <c r="H1504">
        <v>1.6160069415022349</v>
      </c>
      <c r="I1504">
        <v>86.07914336708825</v>
      </c>
      <c r="J1504">
        <v>407.21641296386719</v>
      </c>
      <c r="K1504">
        <v>2.5772346615054795</v>
      </c>
      <c r="L1504">
        <v>0</v>
      </c>
      <c r="M1504" t="str">
        <f>VLOOKUP(fact_daily_prices[[#This Row],[Ticker]], dim_company[], 2, FALSE)</f>
        <v>Microsoft Corp.</v>
      </c>
      <c r="N1504" t="str">
        <f>VLOOKUP(fact_daily_prices[[#This Row],[Ticker]], dim_company[], 3, FALSE)</f>
        <v>Technology</v>
      </c>
    </row>
    <row r="1505" spans="1:14" x14ac:dyDescent="0.3">
      <c r="A1505" s="1">
        <v>45476</v>
      </c>
      <c r="B1505">
        <v>1533.927001953125</v>
      </c>
      <c r="C1505">
        <v>1556.2329594590622</v>
      </c>
      <c r="D1505">
        <v>1524.3919631894751</v>
      </c>
      <c r="E1505">
        <v>1547.6612788804939</v>
      </c>
      <c r="F1505">
        <v>11513110</v>
      </c>
      <c r="G1505" s="2" t="s">
        <v>15</v>
      </c>
      <c r="I1505">
        <v>100</v>
      </c>
      <c r="L1505">
        <v>0</v>
      </c>
      <c r="M1505" t="str">
        <f>VLOOKUP(fact_daily_prices[[#This Row],[Ticker]], dim_company[], 2, FALSE)</f>
        <v>Reliance Industries</v>
      </c>
      <c r="N1505" t="str">
        <f>VLOOKUP(fact_daily_prices[[#This Row],[Ticker]], dim_company[], 3, FALSE)</f>
        <v>Energy &amp; Conglomerate</v>
      </c>
    </row>
    <row r="1506" spans="1:14" x14ac:dyDescent="0.3">
      <c r="A1506" s="1">
        <v>45477</v>
      </c>
      <c r="B1506">
        <v>1535.5079345703125</v>
      </c>
      <c r="C1506">
        <v>1548.822348177101</v>
      </c>
      <c r="D1506">
        <v>1532.321386398175</v>
      </c>
      <c r="E1506">
        <v>1538.4474616342879</v>
      </c>
      <c r="F1506">
        <v>6837176</v>
      </c>
      <c r="G1506" s="2" t="s">
        <v>15</v>
      </c>
      <c r="H1506">
        <v>0.10306439714371507</v>
      </c>
      <c r="I1506">
        <v>100.10306439714371</v>
      </c>
      <c r="L1506">
        <v>0</v>
      </c>
      <c r="M1506" t="str">
        <f>VLOOKUP(fact_daily_prices[[#This Row],[Ticker]], dim_company[], 2, FALSE)</f>
        <v>Reliance Industries</v>
      </c>
      <c r="N1506" t="str">
        <f>VLOOKUP(fact_daily_prices[[#This Row],[Ticker]], dim_company[], 3, FALSE)</f>
        <v>Energy &amp; Conglomerate</v>
      </c>
    </row>
    <row r="1507" spans="1:14" x14ac:dyDescent="0.3">
      <c r="A1507" s="1">
        <v>45478</v>
      </c>
      <c r="B1507">
        <v>1569.6956787109375</v>
      </c>
      <c r="C1507">
        <v>1579.4530127748419</v>
      </c>
      <c r="D1507">
        <v>1529.5547474353805</v>
      </c>
      <c r="E1507">
        <v>1535.3102911811948</v>
      </c>
      <c r="F1507">
        <v>12269710</v>
      </c>
      <c r="G1507" s="2" t="s">
        <v>15</v>
      </c>
      <c r="H1507">
        <v>2.2264778560191489</v>
      </c>
      <c r="I1507">
        <v>102.33183695914269</v>
      </c>
      <c r="L1507">
        <v>0</v>
      </c>
      <c r="M1507" t="str">
        <f>VLOOKUP(fact_daily_prices[[#This Row],[Ticker]], dim_company[], 2, FALSE)</f>
        <v>Reliance Industries</v>
      </c>
      <c r="N1507" t="str">
        <f>VLOOKUP(fact_daily_prices[[#This Row],[Ticker]], dim_company[], 3, FALSE)</f>
        <v>Energy &amp; Conglomerate</v>
      </c>
    </row>
    <row r="1508" spans="1:14" x14ac:dyDescent="0.3">
      <c r="A1508" s="1">
        <v>45481</v>
      </c>
      <c r="B1508">
        <v>1581.824462890625</v>
      </c>
      <c r="C1508">
        <v>1589.6303543798022</v>
      </c>
      <c r="D1508">
        <v>1563.6684106310508</v>
      </c>
      <c r="E1508">
        <v>1570.0662334946016</v>
      </c>
      <c r="F1508">
        <v>9500806</v>
      </c>
      <c r="G1508" s="2" t="s">
        <v>15</v>
      </c>
      <c r="H1508">
        <v>0.77268379751467275</v>
      </c>
      <c r="I1508">
        <v>103.12253848302512</v>
      </c>
      <c r="L1508">
        <v>0</v>
      </c>
      <c r="M1508" t="str">
        <f>VLOOKUP(fact_daily_prices[[#This Row],[Ticker]], dim_company[], 2, FALSE)</f>
        <v>Reliance Industries</v>
      </c>
      <c r="N1508" t="str">
        <f>VLOOKUP(fact_daily_prices[[#This Row],[Ticker]], dim_company[], 3, FALSE)</f>
        <v>Energy &amp; Conglomerate</v>
      </c>
    </row>
    <row r="1509" spans="1:14" x14ac:dyDescent="0.3">
      <c r="A1509" s="1">
        <v>45482</v>
      </c>
      <c r="B1509">
        <v>1571.325927734375</v>
      </c>
      <c r="C1509">
        <v>1581.4290665009253</v>
      </c>
      <c r="D1509">
        <v>1561.6673786971023</v>
      </c>
      <c r="E1509">
        <v>1578.563597646217</v>
      </c>
      <c r="F1509">
        <v>6960002</v>
      </c>
      <c r="G1509" s="2" t="s">
        <v>15</v>
      </c>
      <c r="H1509">
        <v>-0.66369786297684197</v>
      </c>
      <c r="I1509">
        <v>102.43811639886582</v>
      </c>
      <c r="L1509">
        <v>0</v>
      </c>
      <c r="M1509" t="str">
        <f>VLOOKUP(fact_daily_prices[[#This Row],[Ticker]], dim_company[], 2, FALSE)</f>
        <v>Reliance Industries</v>
      </c>
      <c r="N1509" t="str">
        <f>VLOOKUP(fact_daily_prices[[#This Row],[Ticker]], dim_company[], 3, FALSE)</f>
        <v>Energy &amp; Conglomerate</v>
      </c>
    </row>
    <row r="1510" spans="1:14" x14ac:dyDescent="0.3">
      <c r="A1510" s="1">
        <v>45483</v>
      </c>
      <c r="B1510">
        <v>1565.3480224609375</v>
      </c>
      <c r="C1510">
        <v>1578.4648673124634</v>
      </c>
      <c r="D1510">
        <v>1544.5241914718106</v>
      </c>
      <c r="E1510">
        <v>1575.9946562525065</v>
      </c>
      <c r="F1510">
        <v>7134578</v>
      </c>
      <c r="G1510" s="2" t="s">
        <v>15</v>
      </c>
      <c r="H1510">
        <v>-0.3804370034202087</v>
      </c>
      <c r="I1510">
        <v>102.04840389847787</v>
      </c>
      <c r="L1510">
        <v>0</v>
      </c>
      <c r="M1510" t="str">
        <f>VLOOKUP(fact_daily_prices[[#This Row],[Ticker]], dim_company[], 2, FALSE)</f>
        <v>Reliance Industries</v>
      </c>
      <c r="N1510" t="str">
        <f>VLOOKUP(fact_daily_prices[[#This Row],[Ticker]], dim_company[], 3, FALSE)</f>
        <v>Energy &amp; Conglomerate</v>
      </c>
    </row>
    <row r="1511" spans="1:14" x14ac:dyDescent="0.3">
      <c r="A1511" s="1">
        <v>45484</v>
      </c>
      <c r="B1511">
        <v>1561.815673828125</v>
      </c>
      <c r="C1511">
        <v>1585.1344421846698</v>
      </c>
      <c r="D1511">
        <v>1551.7865927698449</v>
      </c>
      <c r="E1511">
        <v>1568.5840280306456</v>
      </c>
      <c r="F1511">
        <v>11940946</v>
      </c>
      <c r="G1511" s="2" t="s">
        <v>15</v>
      </c>
      <c r="H1511">
        <v>-0.22565899609079398</v>
      </c>
      <c r="I1511">
        <v>101.81812249471389</v>
      </c>
      <c r="L1511">
        <v>0</v>
      </c>
      <c r="M1511" t="str">
        <f>VLOOKUP(fact_daily_prices[[#This Row],[Ticker]], dim_company[], 2, FALSE)</f>
        <v>Reliance Industries</v>
      </c>
      <c r="N1511" t="str">
        <f>VLOOKUP(fact_daily_prices[[#This Row],[Ticker]], dim_company[], 3, FALSE)</f>
        <v>Energy &amp; Conglomerate</v>
      </c>
    </row>
    <row r="1512" spans="1:14" x14ac:dyDescent="0.3">
      <c r="A1512" s="1">
        <v>45485</v>
      </c>
      <c r="B1512">
        <v>1577.69921875</v>
      </c>
      <c r="C1512">
        <v>1586.0238790122885</v>
      </c>
      <c r="D1512">
        <v>1555.739064587694</v>
      </c>
      <c r="E1512">
        <v>1565.619909710512</v>
      </c>
      <c r="F1512">
        <v>12924784</v>
      </c>
      <c r="G1512" s="2" t="s">
        <v>15</v>
      </c>
      <c r="H1512">
        <v>1.0169922858401792</v>
      </c>
      <c r="I1512">
        <v>102.85360494607244</v>
      </c>
      <c r="L1512">
        <v>0</v>
      </c>
      <c r="M1512" t="str">
        <f>VLOOKUP(fact_daily_prices[[#This Row],[Ticker]], dim_company[], 2, FALSE)</f>
        <v>Reliance Industries</v>
      </c>
      <c r="N1512" t="str">
        <f>VLOOKUP(fact_daily_prices[[#This Row],[Ticker]], dim_company[], 3, FALSE)</f>
        <v>Energy &amp; Conglomerate</v>
      </c>
    </row>
    <row r="1513" spans="1:14" x14ac:dyDescent="0.3">
      <c r="A1513" s="1">
        <v>45488</v>
      </c>
      <c r="B1513">
        <v>1578.1932373046875</v>
      </c>
      <c r="C1513">
        <v>1586.7154660951303</v>
      </c>
      <c r="D1513">
        <v>1566.607970695329</v>
      </c>
      <c r="E1513">
        <v>1585.3321236755539</v>
      </c>
      <c r="F1513">
        <v>5329688</v>
      </c>
      <c r="G1513" s="2" t="s">
        <v>15</v>
      </c>
      <c r="H1513">
        <v>3.1312594239540914E-2</v>
      </c>
      <c r="I1513">
        <v>102.88581107804993</v>
      </c>
      <c r="L1513">
        <v>0</v>
      </c>
      <c r="M1513" t="str">
        <f>VLOOKUP(fact_daily_prices[[#This Row],[Ticker]], dim_company[], 2, FALSE)</f>
        <v>Reliance Industries</v>
      </c>
      <c r="N1513" t="str">
        <f>VLOOKUP(fact_daily_prices[[#This Row],[Ticker]], dim_company[], 3, FALSE)</f>
        <v>Energy &amp; Conglomerate</v>
      </c>
    </row>
    <row r="1514" spans="1:14" x14ac:dyDescent="0.3">
      <c r="A1514" s="1">
        <v>45489</v>
      </c>
      <c r="B1514">
        <v>1557.4681396484375</v>
      </c>
      <c r="C1514">
        <v>1580.9351457176842</v>
      </c>
      <c r="D1514">
        <v>1550.4280378276635</v>
      </c>
      <c r="E1514">
        <v>1574.5125966882065</v>
      </c>
      <c r="F1514">
        <v>11513110</v>
      </c>
      <c r="G1514" s="2" t="s">
        <v>15</v>
      </c>
      <c r="H1514">
        <v>-1.3132167320425991</v>
      </c>
      <c r="I1514">
        <v>101.53469739207523</v>
      </c>
      <c r="L1514">
        <v>0</v>
      </c>
      <c r="M1514" t="str">
        <f>VLOOKUP(fact_daily_prices[[#This Row],[Ticker]], dim_company[], 2, FALSE)</f>
        <v>Reliance Industries</v>
      </c>
      <c r="N1514" t="str">
        <f>VLOOKUP(fact_daily_prices[[#This Row],[Ticker]], dim_company[], 3, FALSE)</f>
        <v>Energy &amp; Conglomerate</v>
      </c>
    </row>
    <row r="1515" spans="1:14" x14ac:dyDescent="0.3">
      <c r="A1515" s="1">
        <v>45491</v>
      </c>
      <c r="B1515">
        <v>1567.7689208984375</v>
      </c>
      <c r="C1515">
        <v>1574.9078068261192</v>
      </c>
      <c r="D1515">
        <v>1539.2625884242743</v>
      </c>
      <c r="E1515">
        <v>1557.2210712967385</v>
      </c>
      <c r="F1515">
        <v>12298374</v>
      </c>
      <c r="G1515" s="2" t="s">
        <v>15</v>
      </c>
      <c r="H1515">
        <v>0.66137990163479543</v>
      </c>
      <c r="I1515">
        <v>102.20622747381212</v>
      </c>
      <c r="L1515">
        <v>0</v>
      </c>
      <c r="M1515" t="str">
        <f>VLOOKUP(fact_daily_prices[[#This Row],[Ticker]], dim_company[], 2, FALSE)</f>
        <v>Reliance Industries</v>
      </c>
      <c r="N1515" t="str">
        <f>VLOOKUP(fact_daily_prices[[#This Row],[Ticker]], dim_company[], 3, FALSE)</f>
        <v>Energy &amp; Conglomerate</v>
      </c>
    </row>
    <row r="1516" spans="1:14" x14ac:dyDescent="0.3">
      <c r="A1516" s="1">
        <v>45492</v>
      </c>
      <c r="B1516">
        <v>1536.61962890625</v>
      </c>
      <c r="C1516">
        <v>1571.0296232516939</v>
      </c>
      <c r="D1516">
        <v>1534.2976544625544</v>
      </c>
      <c r="E1516">
        <v>1567.1020115011324</v>
      </c>
      <c r="F1516">
        <v>13140390</v>
      </c>
      <c r="G1516" s="2" t="s">
        <v>15</v>
      </c>
      <c r="H1516">
        <v>-1.9868547958162619</v>
      </c>
      <c r="I1516">
        <v>100.17553814162581</v>
      </c>
      <c r="L1516">
        <v>0</v>
      </c>
      <c r="M1516" t="str">
        <f>VLOOKUP(fact_daily_prices[[#This Row],[Ticker]], dim_company[], 2, FALSE)</f>
        <v>Reliance Industries</v>
      </c>
      <c r="N1516" t="str">
        <f>VLOOKUP(fact_daily_prices[[#This Row],[Ticker]], dim_company[], 3, FALSE)</f>
        <v>Energy &amp; Conglomerate</v>
      </c>
    </row>
    <row r="1517" spans="1:14" x14ac:dyDescent="0.3">
      <c r="A1517" s="1">
        <v>45495</v>
      </c>
      <c r="B1517">
        <v>1482.793701171875</v>
      </c>
      <c r="C1517">
        <v>1519.1798633102128</v>
      </c>
      <c r="D1517">
        <v>1481.4103587992008</v>
      </c>
      <c r="E1517">
        <v>1518.9328421942273</v>
      </c>
      <c r="F1517">
        <v>19674376</v>
      </c>
      <c r="G1517" s="2" t="s">
        <v>15</v>
      </c>
      <c r="H1517">
        <v>-3.5028790939425791</v>
      </c>
      <c r="I1517">
        <v>96.666510158818326</v>
      </c>
      <c r="L1517">
        <v>0</v>
      </c>
      <c r="M1517" t="str">
        <f>VLOOKUP(fact_daily_prices[[#This Row],[Ticker]], dim_company[], 2, FALSE)</f>
        <v>Reliance Industries</v>
      </c>
      <c r="N1517" t="str">
        <f>VLOOKUP(fact_daily_prices[[#This Row],[Ticker]], dim_company[], 3, FALSE)</f>
        <v>Energy &amp; Conglomerate</v>
      </c>
    </row>
    <row r="1518" spans="1:14" x14ac:dyDescent="0.3">
      <c r="A1518" s="1">
        <v>45496</v>
      </c>
      <c r="B1518">
        <v>1470.1708984375</v>
      </c>
      <c r="C1518">
        <v>1487.808182000688</v>
      </c>
      <c r="D1518">
        <v>1445.5675711552426</v>
      </c>
      <c r="E1518">
        <v>1483.1147807956386</v>
      </c>
      <c r="F1518">
        <v>18052044</v>
      </c>
      <c r="G1518" s="2" t="s">
        <v>15</v>
      </c>
      <c r="H1518">
        <v>-0.85128516019450373</v>
      </c>
      <c r="I1518">
        <v>95.84360250295839</v>
      </c>
      <c r="L1518">
        <v>0</v>
      </c>
      <c r="M1518" t="str">
        <f>VLOOKUP(fact_daily_prices[[#This Row],[Ticker]], dim_company[], 2, FALSE)</f>
        <v>Reliance Industries</v>
      </c>
      <c r="N1518" t="str">
        <f>VLOOKUP(fact_daily_prices[[#This Row],[Ticker]], dim_company[], 3, FALSE)</f>
        <v>Energy &amp; Conglomerate</v>
      </c>
    </row>
    <row r="1519" spans="1:14" x14ac:dyDescent="0.3">
      <c r="A1519" s="1">
        <v>45497</v>
      </c>
      <c r="B1519">
        <v>1477.8779296875</v>
      </c>
      <c r="C1519">
        <v>1491.5135439533938</v>
      </c>
      <c r="D1519">
        <v>1458.8079713194404</v>
      </c>
      <c r="E1519">
        <v>1467.3054738461674</v>
      </c>
      <c r="F1519">
        <v>11913362</v>
      </c>
      <c r="G1519" s="2" t="s">
        <v>15</v>
      </c>
      <c r="H1519">
        <v>0.52422689485902563</v>
      </c>
      <c r="I1519">
        <v>96.346040444280689</v>
      </c>
      <c r="L1519">
        <v>0</v>
      </c>
      <c r="M1519" t="str">
        <f>VLOOKUP(fact_daily_prices[[#This Row],[Ticker]], dim_company[], 2, FALSE)</f>
        <v>Reliance Industries</v>
      </c>
      <c r="N1519" t="str">
        <f>VLOOKUP(fact_daily_prices[[#This Row],[Ticker]], dim_company[], 3, FALSE)</f>
        <v>Energy &amp; Conglomerate</v>
      </c>
    </row>
    <row r="1520" spans="1:14" x14ac:dyDescent="0.3">
      <c r="A1520" s="1">
        <v>45498</v>
      </c>
      <c r="B1520">
        <v>1474.6171875</v>
      </c>
      <c r="C1520">
        <v>1482.595920809754</v>
      </c>
      <c r="D1520">
        <v>1459.4747216510741</v>
      </c>
      <c r="E1520">
        <v>1463.3530011800513</v>
      </c>
      <c r="F1520">
        <v>12519876</v>
      </c>
      <c r="G1520" s="2" t="s">
        <v>15</v>
      </c>
      <c r="H1520">
        <v>-0.22063677398508341</v>
      </c>
      <c r="I1520">
        <v>96.133465648782064</v>
      </c>
      <c r="L1520">
        <v>0</v>
      </c>
      <c r="M1520" t="str">
        <f>VLOOKUP(fact_daily_prices[[#This Row],[Ticker]], dim_company[], 2, FALSE)</f>
        <v>Reliance Industries</v>
      </c>
      <c r="N1520" t="str">
        <f>VLOOKUP(fact_daily_prices[[#This Row],[Ticker]], dim_company[], 3, FALSE)</f>
        <v>Energy &amp; Conglomerate</v>
      </c>
    </row>
    <row r="1521" spans="1:14" x14ac:dyDescent="0.3">
      <c r="A1521" s="1">
        <v>45499</v>
      </c>
      <c r="B1521">
        <v>1491.044189453125</v>
      </c>
      <c r="C1521">
        <v>1494.4037007697482</v>
      </c>
      <c r="D1521">
        <v>1472.5916637544599</v>
      </c>
      <c r="E1521">
        <v>1474.6172851615388</v>
      </c>
      <c r="F1521">
        <v>9859940</v>
      </c>
      <c r="G1521" s="2" t="s">
        <v>15</v>
      </c>
      <c r="H1521">
        <v>1.1139841643223125</v>
      </c>
      <c r="I1521">
        <v>97.204377232723729</v>
      </c>
      <c r="L1521">
        <v>0</v>
      </c>
      <c r="M1521" t="str">
        <f>VLOOKUP(fact_daily_prices[[#This Row],[Ticker]], dim_company[], 2, FALSE)</f>
        <v>Reliance Industries</v>
      </c>
      <c r="N1521" t="str">
        <f>VLOOKUP(fact_daily_prices[[#This Row],[Ticker]], dim_company[], 3, FALSE)</f>
        <v>Energy &amp; Conglomerate</v>
      </c>
    </row>
    <row r="1522" spans="1:14" x14ac:dyDescent="0.3">
      <c r="A1522" s="1">
        <v>45502</v>
      </c>
      <c r="B1522">
        <v>1501.9871826171875</v>
      </c>
      <c r="C1522">
        <v>1509.2990318372968</v>
      </c>
      <c r="D1522">
        <v>1493.7614276294271</v>
      </c>
      <c r="E1522">
        <v>1493.9342700426571</v>
      </c>
      <c r="F1522">
        <v>7538550</v>
      </c>
      <c r="G1522" s="2" t="s">
        <v>15</v>
      </c>
      <c r="H1522">
        <v>0.73391474521462552</v>
      </c>
      <c r="I1522">
        <v>97.917774490228737</v>
      </c>
      <c r="L1522">
        <v>0</v>
      </c>
      <c r="M1522" t="str">
        <f>VLOOKUP(fact_daily_prices[[#This Row],[Ticker]], dim_company[], 2, FALSE)</f>
        <v>Reliance Industries</v>
      </c>
      <c r="N1522" t="str">
        <f>VLOOKUP(fact_daily_prices[[#This Row],[Ticker]], dim_company[], 3, FALSE)</f>
        <v>Energy &amp; Conglomerate</v>
      </c>
    </row>
    <row r="1523" spans="1:14" x14ac:dyDescent="0.3">
      <c r="A1523" s="1">
        <v>45503</v>
      </c>
      <c r="B1523">
        <v>1495.1199951171875</v>
      </c>
      <c r="C1523">
        <v>1506.8287716127938</v>
      </c>
      <c r="D1523">
        <v>1492.0075050067665</v>
      </c>
      <c r="E1523">
        <v>1498.9488223237445</v>
      </c>
      <c r="F1523">
        <v>8228208</v>
      </c>
      <c r="G1523" s="2" t="s">
        <v>15</v>
      </c>
      <c r="H1523">
        <v>-0.45720679773272321</v>
      </c>
      <c r="I1523">
        <v>97.470087769070815</v>
      </c>
      <c r="L1523">
        <v>0</v>
      </c>
      <c r="M1523" t="str">
        <f>VLOOKUP(fact_daily_prices[[#This Row],[Ticker]], dim_company[], 2, FALSE)</f>
        <v>Reliance Industries</v>
      </c>
      <c r="N1523" t="str">
        <f>VLOOKUP(fact_daily_prices[[#This Row],[Ticker]], dim_company[], 3, FALSE)</f>
        <v>Energy &amp; Conglomerate</v>
      </c>
    </row>
    <row r="1524" spans="1:14" x14ac:dyDescent="0.3">
      <c r="A1524" s="1">
        <v>45504</v>
      </c>
      <c r="B1524">
        <v>1487.4869384765625</v>
      </c>
      <c r="C1524">
        <v>1492.4519658681731</v>
      </c>
      <c r="D1524">
        <v>1483.2628537354881</v>
      </c>
      <c r="E1524">
        <v>1486.0788700242824</v>
      </c>
      <c r="F1524">
        <v>10057346</v>
      </c>
      <c r="G1524" s="2" t="s">
        <v>15</v>
      </c>
      <c r="H1524">
        <v>-0.51053137310405061</v>
      </c>
      <c r="I1524">
        <v>96.972472391617643</v>
      </c>
      <c r="L1524">
        <v>0</v>
      </c>
      <c r="M1524" t="str">
        <f>VLOOKUP(fact_daily_prices[[#This Row],[Ticker]], dim_company[], 2, FALSE)</f>
        <v>Reliance Industries</v>
      </c>
      <c r="N1524" t="str">
        <f>VLOOKUP(fact_daily_prices[[#This Row],[Ticker]], dim_company[], 3, FALSE)</f>
        <v>Energy &amp; Conglomerate</v>
      </c>
    </row>
    <row r="1525" spans="1:14" x14ac:dyDescent="0.3">
      <c r="A1525" s="1">
        <v>45505</v>
      </c>
      <c r="B1525">
        <v>1497.244384765625</v>
      </c>
      <c r="C1525">
        <v>1499.9121644798522</v>
      </c>
      <c r="D1525">
        <v>1486.37545603751</v>
      </c>
      <c r="E1525">
        <v>1493.9836579008804</v>
      </c>
      <c r="F1525">
        <v>10764222</v>
      </c>
      <c r="G1525" s="2" t="s">
        <v>15</v>
      </c>
      <c r="H1525">
        <v>0.65596853570060176</v>
      </c>
      <c r="I1525">
        <v>97.608581298797631</v>
      </c>
      <c r="L1525">
        <v>0</v>
      </c>
      <c r="M1525" t="str">
        <f>VLOOKUP(fact_daily_prices[[#This Row],[Ticker]], dim_company[], 2, FALSE)</f>
        <v>Reliance Industries</v>
      </c>
      <c r="N1525" t="str">
        <f>VLOOKUP(fact_daily_prices[[#This Row],[Ticker]], dim_company[], 3, FALSE)</f>
        <v>Energy &amp; Conglomerate</v>
      </c>
    </row>
    <row r="1526" spans="1:14" x14ac:dyDescent="0.3">
      <c r="A1526" s="1">
        <v>45506</v>
      </c>
      <c r="B1526">
        <v>1481.4595947265625</v>
      </c>
      <c r="C1526">
        <v>1491.3404387261814</v>
      </c>
      <c r="D1526">
        <v>1475.4817564762559</v>
      </c>
      <c r="E1526">
        <v>1487.0670219426547</v>
      </c>
      <c r="F1526">
        <v>10268248</v>
      </c>
      <c r="G1526" s="2" t="s">
        <v>15</v>
      </c>
      <c r="H1526">
        <v>-1.0542560853573302</v>
      </c>
      <c r="I1526">
        <v>96.579536890624098</v>
      </c>
      <c r="L1526">
        <v>0</v>
      </c>
      <c r="M1526" t="str">
        <f>VLOOKUP(fact_daily_prices[[#This Row],[Ticker]], dim_company[], 2, FALSE)</f>
        <v>Reliance Industries</v>
      </c>
      <c r="N1526" t="str">
        <f>VLOOKUP(fact_daily_prices[[#This Row],[Ticker]], dim_company[], 3, FALSE)</f>
        <v>Energy &amp; Conglomerate</v>
      </c>
    </row>
    <row r="1527" spans="1:14" x14ac:dyDescent="0.3">
      <c r="A1527" s="1">
        <v>45509</v>
      </c>
      <c r="B1527">
        <v>1430.0792236328125</v>
      </c>
      <c r="C1527">
        <v>1466.2184833782828</v>
      </c>
      <c r="D1527">
        <v>1416.1719837774867</v>
      </c>
      <c r="E1527">
        <v>1462.3649300475706</v>
      </c>
      <c r="F1527">
        <v>17046704</v>
      </c>
      <c r="G1527" s="2" t="s">
        <v>15</v>
      </c>
      <c r="H1527">
        <v>-3.4682262868757752</v>
      </c>
      <c r="I1527">
        <v>93.229940004440579</v>
      </c>
      <c r="L1527">
        <v>0</v>
      </c>
      <c r="M1527" t="str">
        <f>VLOOKUP(fact_daily_prices[[#This Row],[Ticker]], dim_company[], 2, FALSE)</f>
        <v>Reliance Industries</v>
      </c>
      <c r="N1527" t="str">
        <f>VLOOKUP(fact_daily_prices[[#This Row],[Ticker]], dim_company[], 3, FALSE)</f>
        <v>Energy &amp; Conglomerate</v>
      </c>
    </row>
    <row r="1528" spans="1:14" x14ac:dyDescent="0.3">
      <c r="A1528" s="1">
        <v>45510</v>
      </c>
      <c r="B1528">
        <v>1438.700439453125</v>
      </c>
      <c r="C1528">
        <v>1459.8948030686215</v>
      </c>
      <c r="D1528">
        <v>1434.0316438440889</v>
      </c>
      <c r="E1528">
        <v>1437.8111393077952</v>
      </c>
      <c r="F1528">
        <v>10236186</v>
      </c>
      <c r="G1528" s="2" t="s">
        <v>15</v>
      </c>
      <c r="H1528">
        <v>0.60284882668333317</v>
      </c>
      <c r="I1528">
        <v>93.791975603874917</v>
      </c>
      <c r="L1528">
        <v>0</v>
      </c>
      <c r="M1528" t="str">
        <f>VLOOKUP(fact_daily_prices[[#This Row],[Ticker]], dim_company[], 2, FALSE)</f>
        <v>Reliance Industries</v>
      </c>
      <c r="N1528" t="str">
        <f>VLOOKUP(fact_daily_prices[[#This Row],[Ticker]], dim_company[], 3, FALSE)</f>
        <v>Energy &amp; Conglomerate</v>
      </c>
    </row>
    <row r="1529" spans="1:14" x14ac:dyDescent="0.3">
      <c r="A1529" s="1">
        <v>45511</v>
      </c>
      <c r="B1529">
        <v>1447.3707275390625</v>
      </c>
      <c r="C1529">
        <v>1454.954323788822</v>
      </c>
      <c r="D1529">
        <v>1444.0853950542364</v>
      </c>
      <c r="E1529">
        <v>1451.4960282823629</v>
      </c>
      <c r="F1529">
        <v>8174568</v>
      </c>
      <c r="G1529" s="2" t="s">
        <v>15</v>
      </c>
      <c r="H1529">
        <v>0.60264721189862147</v>
      </c>
      <c r="I1529">
        <v>94.35721032983632</v>
      </c>
      <c r="L1529">
        <v>0</v>
      </c>
      <c r="M1529" t="str">
        <f>VLOOKUP(fact_daily_prices[[#This Row],[Ticker]], dim_company[], 2, FALSE)</f>
        <v>Reliance Industries</v>
      </c>
      <c r="N1529" t="str">
        <f>VLOOKUP(fact_daily_prices[[#This Row],[Ticker]], dim_company[], 3, FALSE)</f>
        <v>Energy &amp; Conglomerate</v>
      </c>
    </row>
    <row r="1530" spans="1:14" x14ac:dyDescent="0.3">
      <c r="A1530" s="1">
        <v>45512</v>
      </c>
      <c r="B1530">
        <v>1431.85791015625</v>
      </c>
      <c r="C1530">
        <v>1447.5437511456266</v>
      </c>
      <c r="D1530">
        <v>1428.6960880928923</v>
      </c>
      <c r="E1530">
        <v>1440.1578438422889</v>
      </c>
      <c r="F1530">
        <v>12387192</v>
      </c>
      <c r="G1530" s="2" t="s">
        <v>15</v>
      </c>
      <c r="H1530">
        <v>-1.0717929475600685</v>
      </c>
      <c r="I1530">
        <v>93.345896404006709</v>
      </c>
      <c r="L1530">
        <v>0</v>
      </c>
      <c r="M1530" t="str">
        <f>VLOOKUP(fact_daily_prices[[#This Row],[Ticker]], dim_company[], 2, FALSE)</f>
        <v>Reliance Industries</v>
      </c>
      <c r="N1530" t="str">
        <f>VLOOKUP(fact_daily_prices[[#This Row],[Ticker]], dim_company[], 3, FALSE)</f>
        <v>Energy &amp; Conglomerate</v>
      </c>
    </row>
    <row r="1531" spans="1:14" x14ac:dyDescent="0.3">
      <c r="A1531" s="1">
        <v>45513</v>
      </c>
      <c r="B1531">
        <v>1456.7330322265625</v>
      </c>
      <c r="C1531">
        <v>1458.9067698886504</v>
      </c>
      <c r="D1531">
        <v>1438.6510375603625</v>
      </c>
      <c r="E1531">
        <v>1442.6033755756382</v>
      </c>
      <c r="F1531">
        <v>6249776</v>
      </c>
      <c r="G1531" s="2" t="s">
        <v>15</v>
      </c>
      <c r="H1531">
        <v>1.7372619094305319</v>
      </c>
      <c r="I1531">
        <v>94.967559106249993</v>
      </c>
      <c r="L1531">
        <v>0</v>
      </c>
      <c r="M1531" t="str">
        <f>VLOOKUP(fact_daily_prices[[#This Row],[Ticker]], dim_company[], 2, FALSE)</f>
        <v>Reliance Industries</v>
      </c>
      <c r="N1531" t="str">
        <f>VLOOKUP(fact_daily_prices[[#This Row],[Ticker]], dim_company[], 3, FALSE)</f>
        <v>Energy &amp; Conglomerate</v>
      </c>
    </row>
    <row r="1532" spans="1:14" x14ac:dyDescent="0.3">
      <c r="A1532" s="1">
        <v>45516</v>
      </c>
      <c r="B1532">
        <v>1443.220947265625</v>
      </c>
      <c r="C1532">
        <v>1455.4484931603015</v>
      </c>
      <c r="D1532">
        <v>1440.380204279993</v>
      </c>
      <c r="E1532">
        <v>1452.4842396100769</v>
      </c>
      <c r="F1532">
        <v>8184584</v>
      </c>
      <c r="G1532" s="2" t="s">
        <v>15</v>
      </c>
      <c r="H1532">
        <v>-0.92756082700237164</v>
      </c>
      <c r="I1532">
        <v>94.086677229620093</v>
      </c>
      <c r="L1532">
        <v>0</v>
      </c>
      <c r="M1532" t="str">
        <f>VLOOKUP(fact_daily_prices[[#This Row],[Ticker]], dim_company[], 2, FALSE)</f>
        <v>Reliance Industries</v>
      </c>
      <c r="N1532" t="str">
        <f>VLOOKUP(fact_daily_prices[[#This Row],[Ticker]], dim_company[], 3, FALSE)</f>
        <v>Energy &amp; Conglomerate</v>
      </c>
    </row>
    <row r="1533" spans="1:14" x14ac:dyDescent="0.3">
      <c r="A1533" s="1">
        <v>45517</v>
      </c>
      <c r="B1533">
        <v>1446.1851806640625</v>
      </c>
      <c r="C1533">
        <v>1452.5582774619256</v>
      </c>
      <c r="D1533">
        <v>1440.6272053348389</v>
      </c>
      <c r="E1533">
        <v>1443.3444377180149</v>
      </c>
      <c r="F1533">
        <v>6265064</v>
      </c>
      <c r="G1533" s="2" t="s">
        <v>15</v>
      </c>
      <c r="H1533">
        <v>0.20539013129303729</v>
      </c>
      <c r="I1533">
        <v>94.279921979511258</v>
      </c>
      <c r="L1533">
        <v>0</v>
      </c>
      <c r="M1533" t="str">
        <f>VLOOKUP(fact_daily_prices[[#This Row],[Ticker]], dim_company[], 2, FALSE)</f>
        <v>Reliance Industries</v>
      </c>
      <c r="N1533" t="str">
        <f>VLOOKUP(fact_daily_prices[[#This Row],[Ticker]], dim_company[], 3, FALSE)</f>
        <v>Energy &amp; Conglomerate</v>
      </c>
    </row>
    <row r="1534" spans="1:14" x14ac:dyDescent="0.3">
      <c r="A1534" s="1">
        <v>45518</v>
      </c>
      <c r="B1534">
        <v>1444.4312744140625</v>
      </c>
      <c r="C1534">
        <v>1454.4603560192809</v>
      </c>
      <c r="D1534">
        <v>1436.3783617708266</v>
      </c>
      <c r="E1534">
        <v>1446.1110904012166</v>
      </c>
      <c r="F1534">
        <v>6267466</v>
      </c>
      <c r="G1534" s="2" t="s">
        <v>15</v>
      </c>
      <c r="H1534">
        <v>-0.12127812353841527</v>
      </c>
      <c r="I1534">
        <v>94.165581059261044</v>
      </c>
      <c r="L1534">
        <v>0</v>
      </c>
      <c r="M1534" t="str">
        <f>VLOOKUP(fact_daily_prices[[#This Row],[Ticker]], dim_company[], 2, FALSE)</f>
        <v>Reliance Industries</v>
      </c>
      <c r="N1534" t="str">
        <f>VLOOKUP(fact_daily_prices[[#This Row],[Ticker]], dim_company[], 3, FALSE)</f>
        <v>Energy &amp; Conglomerate</v>
      </c>
    </row>
    <row r="1535" spans="1:14" x14ac:dyDescent="0.3">
      <c r="A1535" s="1">
        <v>45520</v>
      </c>
      <c r="B1535">
        <v>1460.5863037109375</v>
      </c>
      <c r="C1535">
        <v>1462.760161748311</v>
      </c>
      <c r="D1535">
        <v>1440.676499654279</v>
      </c>
      <c r="E1535">
        <v>1451.1501701128775</v>
      </c>
      <c r="F1535">
        <v>9416902</v>
      </c>
      <c r="G1535" s="2" t="s">
        <v>15</v>
      </c>
      <c r="H1535">
        <v>1.1184353027407612</v>
      </c>
      <c r="I1535">
        <v>95.218762160858773</v>
      </c>
      <c r="K1535">
        <v>1.2975434700145987</v>
      </c>
      <c r="L1535">
        <v>0</v>
      </c>
      <c r="M1535" t="str">
        <f>VLOOKUP(fact_daily_prices[[#This Row],[Ticker]], dim_company[], 2, FALSE)</f>
        <v>Reliance Industries</v>
      </c>
      <c r="N1535" t="str">
        <f>VLOOKUP(fact_daily_prices[[#This Row],[Ticker]], dim_company[], 3, FALSE)</f>
        <v>Energy &amp; Conglomerate</v>
      </c>
    </row>
    <row r="1536" spans="1:14" x14ac:dyDescent="0.3">
      <c r="A1536" s="1">
        <v>45523</v>
      </c>
      <c r="B1536">
        <v>1475.65625</v>
      </c>
      <c r="C1536">
        <v>1485.47150978375</v>
      </c>
      <c r="D1536">
        <v>1467.8238660907391</v>
      </c>
      <c r="E1536">
        <v>1469.8067419652286</v>
      </c>
      <c r="F1536">
        <v>13797742</v>
      </c>
      <c r="G1536" s="2" t="s">
        <v>15</v>
      </c>
      <c r="H1536">
        <v>1.0317737644652603</v>
      </c>
      <c r="I1536">
        <v>96.20120436768309</v>
      </c>
      <c r="K1536">
        <v>1.3148747299760111</v>
      </c>
      <c r="L1536">
        <v>0</v>
      </c>
      <c r="M1536" t="str">
        <f>VLOOKUP(fact_daily_prices[[#This Row],[Ticker]], dim_company[], 2, FALSE)</f>
        <v>Reliance Industries</v>
      </c>
      <c r="N1536" t="str">
        <f>VLOOKUP(fact_daily_prices[[#This Row],[Ticker]], dim_company[], 3, FALSE)</f>
        <v>Energy &amp; Conglomerate</v>
      </c>
    </row>
    <row r="1537" spans="1:14" x14ac:dyDescent="0.3">
      <c r="A1537" s="1">
        <v>45524</v>
      </c>
      <c r="B1537">
        <v>1483.1416015625</v>
      </c>
      <c r="C1537">
        <v>1491.0484162933285</v>
      </c>
      <c r="D1537">
        <v>1477.2674041310693</v>
      </c>
      <c r="E1537">
        <v>1484.4057091952604</v>
      </c>
      <c r="F1537">
        <v>8411808</v>
      </c>
      <c r="G1537" s="2" t="s">
        <v>15</v>
      </c>
      <c r="H1537">
        <v>0.50725577603185634</v>
      </c>
      <c r="I1537">
        <v>96.689190533450358</v>
      </c>
      <c r="K1537">
        <v>1.244479663301242</v>
      </c>
      <c r="L1537">
        <v>0</v>
      </c>
      <c r="M1537" t="str">
        <f>VLOOKUP(fact_daily_prices[[#This Row],[Ticker]], dim_company[], 2, FALSE)</f>
        <v>Reliance Industries</v>
      </c>
      <c r="N1537" t="str">
        <f>VLOOKUP(fact_daily_prices[[#This Row],[Ticker]], dim_company[], 3, FALSE)</f>
        <v>Energy &amp; Conglomerate</v>
      </c>
    </row>
    <row r="1538" spans="1:14" x14ac:dyDescent="0.3">
      <c r="A1538" s="1">
        <v>45525</v>
      </c>
      <c r="B1538">
        <v>1485.8433837890625</v>
      </c>
      <c r="C1538">
        <v>1494.964564922092</v>
      </c>
      <c r="D1538">
        <v>1477.2426107826689</v>
      </c>
      <c r="E1538">
        <v>1480.4647842625641</v>
      </c>
      <c r="F1538">
        <v>7769996</v>
      </c>
      <c r="G1538" s="2" t="s">
        <v>15</v>
      </c>
      <c r="H1538">
        <v>0.1821661683359288</v>
      </c>
      <c r="I1538">
        <v>96.865325527040184</v>
      </c>
      <c r="K1538">
        <v>1.2334915507216013</v>
      </c>
      <c r="L1538">
        <v>0</v>
      </c>
      <c r="M1538" t="str">
        <f>VLOOKUP(fact_daily_prices[[#This Row],[Ticker]], dim_company[], 2, FALSE)</f>
        <v>Reliance Industries</v>
      </c>
      <c r="N1538" t="str">
        <f>VLOOKUP(fact_daily_prices[[#This Row],[Ticker]], dim_company[], 3, FALSE)</f>
        <v>Energy &amp; Conglomerate</v>
      </c>
    </row>
    <row r="1539" spans="1:14" x14ac:dyDescent="0.3">
      <c r="A1539" s="1">
        <v>45526</v>
      </c>
      <c r="B1539">
        <v>1485.2979736328125</v>
      </c>
      <c r="C1539">
        <v>1493.6012664349316</v>
      </c>
      <c r="D1539">
        <v>1477.8869991875908</v>
      </c>
      <c r="E1539">
        <v>1490.1312336221058</v>
      </c>
      <c r="F1539">
        <v>10445782</v>
      </c>
      <c r="G1539" s="2" t="s">
        <v>15</v>
      </c>
      <c r="H1539">
        <v>-3.6707109389899628E-2</v>
      </c>
      <c r="I1539">
        <v>96.829769066038082</v>
      </c>
      <c r="K1539">
        <v>1.2306899949777468</v>
      </c>
      <c r="L1539">
        <v>0</v>
      </c>
      <c r="M1539" t="str">
        <f>VLOOKUP(fact_daily_prices[[#This Row],[Ticker]], dim_company[], 2, FALSE)</f>
        <v>Reliance Industries</v>
      </c>
      <c r="N1539" t="str">
        <f>VLOOKUP(fact_daily_prices[[#This Row],[Ticker]], dim_company[], 3, FALSE)</f>
        <v>Energy &amp; Conglomerate</v>
      </c>
    </row>
    <row r="1540" spans="1:14" x14ac:dyDescent="0.3">
      <c r="A1540" s="1">
        <v>45527</v>
      </c>
      <c r="B1540">
        <v>1487.1322021484375</v>
      </c>
      <c r="C1540">
        <v>1498.3849993365056</v>
      </c>
      <c r="D1540">
        <v>1485.5955458508122</v>
      </c>
      <c r="E1540">
        <v>1490.8749048344312</v>
      </c>
      <c r="F1540">
        <v>9249654</v>
      </c>
      <c r="G1540" s="2" t="s">
        <v>15</v>
      </c>
      <c r="H1540">
        <v>0.12349229233368231</v>
      </c>
      <c r="I1540">
        <v>96.949346367519169</v>
      </c>
      <c r="K1540">
        <v>1.2313002039824774</v>
      </c>
      <c r="L1540">
        <v>0</v>
      </c>
      <c r="M1540" t="str">
        <f>VLOOKUP(fact_daily_prices[[#This Row],[Ticker]], dim_company[], 2, FALSE)</f>
        <v>Reliance Industries</v>
      </c>
      <c r="N1540" t="str">
        <f>VLOOKUP(fact_daily_prices[[#This Row],[Ticker]], dim_company[], 3, FALSE)</f>
        <v>Energy &amp; Conglomerate</v>
      </c>
    </row>
    <row r="1541" spans="1:14" x14ac:dyDescent="0.3">
      <c r="A1541" s="1">
        <v>45530</v>
      </c>
      <c r="B1541">
        <v>1499.6490478515625</v>
      </c>
      <c r="C1541">
        <v>1509.9600269352031</v>
      </c>
      <c r="D1541">
        <v>1490.131267553257</v>
      </c>
      <c r="E1541">
        <v>1494.0722092753902</v>
      </c>
      <c r="F1541">
        <v>8816114</v>
      </c>
      <c r="G1541" s="2" t="s">
        <v>15</v>
      </c>
      <c r="H1541">
        <v>0.84167673089468042</v>
      </c>
      <c r="I1541">
        <v>97.765346456649056</v>
      </c>
      <c r="K1541">
        <v>1.2447825531340335</v>
      </c>
      <c r="L1541">
        <v>0</v>
      </c>
      <c r="M1541" t="str">
        <f>VLOOKUP(fact_daily_prices[[#This Row],[Ticker]], dim_company[], 2, FALSE)</f>
        <v>Reliance Industries</v>
      </c>
      <c r="N1541" t="str">
        <f>VLOOKUP(fact_daily_prices[[#This Row],[Ticker]], dim_company[], 3, FALSE)</f>
        <v>Energy &amp; Conglomerate</v>
      </c>
    </row>
    <row r="1542" spans="1:14" x14ac:dyDescent="0.3">
      <c r="A1542" s="1">
        <v>45531</v>
      </c>
      <c r="B1542">
        <v>1487.6031494140625</v>
      </c>
      <c r="C1542">
        <v>1500.5166540094151</v>
      </c>
      <c r="D1542">
        <v>1486.6117113802566</v>
      </c>
      <c r="E1542">
        <v>1497.5671500638723</v>
      </c>
      <c r="F1542">
        <v>6251156</v>
      </c>
      <c r="G1542" s="2" t="s">
        <v>15</v>
      </c>
      <c r="H1542">
        <v>-0.8032478302011592</v>
      </c>
      <c r="I1542">
        <v>96.980048432547378</v>
      </c>
      <c r="K1542">
        <v>1.2313511077999755</v>
      </c>
      <c r="L1542">
        <v>0</v>
      </c>
      <c r="M1542" t="str">
        <f>VLOOKUP(fact_daily_prices[[#This Row],[Ticker]], dim_company[], 2, FALSE)</f>
        <v>Reliance Industries</v>
      </c>
      <c r="N1542" t="str">
        <f>VLOOKUP(fact_daily_prices[[#This Row],[Ticker]], dim_company[], 3, FALSE)</f>
        <v>Energy &amp; Conglomerate</v>
      </c>
    </row>
    <row r="1543" spans="1:14" x14ac:dyDescent="0.3">
      <c r="A1543" s="1">
        <v>45532</v>
      </c>
      <c r="B1543">
        <v>1485.4715576171875</v>
      </c>
      <c r="C1543">
        <v>1494.567928369235</v>
      </c>
      <c r="D1543">
        <v>1480.2168879705305</v>
      </c>
      <c r="E1543">
        <v>1492.1141436005682</v>
      </c>
      <c r="F1543">
        <v>9610286</v>
      </c>
      <c r="G1543" s="2" t="s">
        <v>15</v>
      </c>
      <c r="H1543">
        <v>-0.14329035251872124</v>
      </c>
      <c r="I1543">
        <v>96.841085379275555</v>
      </c>
      <c r="K1543">
        <v>1.2306892750507108</v>
      </c>
      <c r="L1543">
        <v>0</v>
      </c>
      <c r="M1543" t="str">
        <f>VLOOKUP(fact_daily_prices[[#This Row],[Ticker]], dim_company[], 2, FALSE)</f>
        <v>Reliance Industries</v>
      </c>
      <c r="N1543" t="str">
        <f>VLOOKUP(fact_daily_prices[[#This Row],[Ticker]], dim_company[], 3, FALSE)</f>
        <v>Energy &amp; Conglomerate</v>
      </c>
    </row>
    <row r="1544" spans="1:14" x14ac:dyDescent="0.3">
      <c r="A1544" s="1">
        <v>45533</v>
      </c>
      <c r="B1544">
        <v>1507.90283203125</v>
      </c>
      <c r="C1544">
        <v>1523.8401488737277</v>
      </c>
      <c r="D1544">
        <v>1481.2083164719252</v>
      </c>
      <c r="E1544">
        <v>1490.2303777286736</v>
      </c>
      <c r="F1544">
        <v>38335358</v>
      </c>
      <c r="G1544" s="2" t="s">
        <v>15</v>
      </c>
      <c r="H1544">
        <v>1.5100440192906905</v>
      </c>
      <c r="I1544">
        <v>98.303428397261484</v>
      </c>
      <c r="K1544">
        <v>1.2499647670295935</v>
      </c>
      <c r="L1544">
        <v>1</v>
      </c>
      <c r="M1544" t="str">
        <f>VLOOKUP(fact_daily_prices[[#This Row],[Ticker]], dim_company[], 2, FALSE)</f>
        <v>Reliance Industries</v>
      </c>
      <c r="N1544" t="str">
        <f>VLOOKUP(fact_daily_prices[[#This Row],[Ticker]], dim_company[], 3, FALSE)</f>
        <v>Energy &amp; Conglomerate</v>
      </c>
    </row>
    <row r="1545" spans="1:14" x14ac:dyDescent="0.3">
      <c r="A1545" s="1">
        <v>45534</v>
      </c>
      <c r="B1545">
        <v>1496.6995849609375</v>
      </c>
      <c r="C1545">
        <v>1526.5418444404818</v>
      </c>
      <c r="D1545">
        <v>1490.4534771750382</v>
      </c>
      <c r="E1545">
        <v>1520.8658861174649</v>
      </c>
      <c r="F1545">
        <v>41620730</v>
      </c>
      <c r="G1545" s="2" t="s">
        <v>15</v>
      </c>
      <c r="H1545">
        <v>-0.74296876644371901</v>
      </c>
      <c r="I1545">
        <v>97.57306462792647</v>
      </c>
      <c r="K1545">
        <v>1.2467558941677221</v>
      </c>
      <c r="L1545">
        <v>1</v>
      </c>
      <c r="M1545" t="str">
        <f>VLOOKUP(fact_daily_prices[[#This Row],[Ticker]], dim_company[], 2, FALSE)</f>
        <v>Reliance Industries</v>
      </c>
      <c r="N1545" t="str">
        <f>VLOOKUP(fact_daily_prices[[#This Row],[Ticker]], dim_company[], 3, FALSE)</f>
        <v>Energy &amp; Conglomerate</v>
      </c>
    </row>
    <row r="1546" spans="1:14" x14ac:dyDescent="0.3">
      <c r="A1546" s="1">
        <v>45537</v>
      </c>
      <c r="B1546">
        <v>1503.267822265625</v>
      </c>
      <c r="C1546">
        <v>1513.7275412609431</v>
      </c>
      <c r="D1546">
        <v>1493.7252318027679</v>
      </c>
      <c r="E1546">
        <v>1497.9388431759776</v>
      </c>
      <c r="F1546">
        <v>11240852</v>
      </c>
      <c r="G1546" s="2" t="s">
        <v>15</v>
      </c>
      <c r="H1546">
        <v>0.43884807416840754</v>
      </c>
      <c r="I1546">
        <v>98.001262142953209</v>
      </c>
      <c r="K1546">
        <v>1.2011380096777311</v>
      </c>
      <c r="L1546">
        <v>0</v>
      </c>
      <c r="M1546" t="str">
        <f>VLOOKUP(fact_daily_prices[[#This Row],[Ticker]], dim_company[], 2, FALSE)</f>
        <v>Reliance Industries</v>
      </c>
      <c r="N1546" t="str">
        <f>VLOOKUP(fact_daily_prices[[#This Row],[Ticker]], dim_company[], 3, FALSE)</f>
        <v>Energy &amp; Conglomerate</v>
      </c>
    </row>
    <row r="1547" spans="1:14" x14ac:dyDescent="0.3">
      <c r="A1547" s="1">
        <v>45538</v>
      </c>
      <c r="B1547">
        <v>1496.203857421875</v>
      </c>
      <c r="C1547">
        <v>1509.9600595401412</v>
      </c>
      <c r="D1547">
        <v>1494.5927706873033</v>
      </c>
      <c r="E1547">
        <v>1508.2250430567562</v>
      </c>
      <c r="F1547">
        <v>10923800</v>
      </c>
      <c r="G1547" s="2" t="s">
        <v>15</v>
      </c>
      <c r="H1547">
        <v>-0.46990727394827791</v>
      </c>
      <c r="I1547">
        <v>97.54074708358236</v>
      </c>
      <c r="K1547">
        <v>1.0151270763492837</v>
      </c>
      <c r="L1547">
        <v>0</v>
      </c>
      <c r="M1547" t="str">
        <f>VLOOKUP(fact_daily_prices[[#This Row],[Ticker]], dim_company[], 2, FALSE)</f>
        <v>Reliance Industries</v>
      </c>
      <c r="N1547" t="str">
        <f>VLOOKUP(fact_daily_prices[[#This Row],[Ticker]], dim_company[], 3, FALSE)</f>
        <v>Energy &amp; Conglomerate</v>
      </c>
    </row>
    <row r="1548" spans="1:14" x14ac:dyDescent="0.3">
      <c r="A1548" s="1">
        <v>45539</v>
      </c>
      <c r="B1548">
        <v>1501.5823974609375</v>
      </c>
      <c r="C1548">
        <v>1504.5070910070399</v>
      </c>
      <c r="D1548">
        <v>1486.6612078847161</v>
      </c>
      <c r="E1548">
        <v>1487.8508850161479</v>
      </c>
      <c r="F1548">
        <v>11983304</v>
      </c>
      <c r="G1548" s="2" t="s">
        <v>15</v>
      </c>
      <c r="H1548">
        <v>0.35947909186186955</v>
      </c>
      <c r="I1548">
        <v>97.891385675393707</v>
      </c>
      <c r="K1548">
        <v>1.0026661508838357</v>
      </c>
      <c r="L1548">
        <v>0</v>
      </c>
      <c r="M1548" t="str">
        <f>VLOOKUP(fact_daily_prices[[#This Row],[Ticker]], dim_company[], 2, FALSE)</f>
        <v>Reliance Industries</v>
      </c>
      <c r="N1548" t="str">
        <f>VLOOKUP(fact_daily_prices[[#This Row],[Ticker]], dim_company[], 3, FALSE)</f>
        <v>Energy &amp; Conglomerate</v>
      </c>
    </row>
    <row r="1549" spans="1:14" x14ac:dyDescent="0.3">
      <c r="A1549" s="1">
        <v>45540</v>
      </c>
      <c r="B1549">
        <v>1480.192138671875</v>
      </c>
      <c r="C1549">
        <v>1512.7113538076746</v>
      </c>
      <c r="D1549">
        <v>1474.3179410781215</v>
      </c>
      <c r="E1549">
        <v>1506.0439573959177</v>
      </c>
      <c r="F1549">
        <v>16264168</v>
      </c>
      <c r="G1549" s="2" t="s">
        <v>15</v>
      </c>
      <c r="H1549">
        <v>-1.4245144871990911</v>
      </c>
      <c r="I1549">
        <v>96.496908704727787</v>
      </c>
      <c r="K1549">
        <v>1.0351832882363747</v>
      </c>
      <c r="L1549">
        <v>0</v>
      </c>
      <c r="M1549" t="str">
        <f>VLOOKUP(fact_daily_prices[[#This Row],[Ticker]], dim_company[], 2, FALSE)</f>
        <v>Reliance Industries</v>
      </c>
      <c r="N1549" t="str">
        <f>VLOOKUP(fact_daily_prices[[#This Row],[Ticker]], dim_company[], 3, FALSE)</f>
        <v>Energy &amp; Conglomerate</v>
      </c>
    </row>
    <row r="1550" spans="1:14" x14ac:dyDescent="0.3">
      <c r="A1550" s="1">
        <v>45541</v>
      </c>
      <c r="B1550">
        <v>1480.192138671875</v>
      </c>
      <c r="C1550">
        <v>1484.1826462606271</v>
      </c>
      <c r="D1550">
        <v>1449.1105279496919</v>
      </c>
      <c r="E1550">
        <v>1479.7211753800841</v>
      </c>
      <c r="F1550">
        <v>19394228</v>
      </c>
      <c r="G1550" s="2" t="s">
        <v>15</v>
      </c>
      <c r="H1550">
        <v>0</v>
      </c>
      <c r="I1550">
        <v>96.496908704727787</v>
      </c>
      <c r="K1550">
        <v>1.0342683676467013</v>
      </c>
      <c r="L1550">
        <v>0</v>
      </c>
      <c r="M1550" t="str">
        <f>VLOOKUP(fact_daily_prices[[#This Row],[Ticker]], dim_company[], 2, FALSE)</f>
        <v>Reliance Industries</v>
      </c>
      <c r="N1550" t="str">
        <f>VLOOKUP(fact_daily_prices[[#This Row],[Ticker]], dim_company[], 3, FALSE)</f>
        <v>Energy &amp; Conglomerate</v>
      </c>
    </row>
    <row r="1551" spans="1:14" x14ac:dyDescent="0.3">
      <c r="A1551" s="1">
        <v>45544</v>
      </c>
      <c r="B1551">
        <v>1449.9283447265625</v>
      </c>
      <c r="C1551">
        <v>1457.3394400346181</v>
      </c>
      <c r="D1551">
        <v>1443.1370191466497</v>
      </c>
      <c r="E1551">
        <v>1453.943716732093</v>
      </c>
      <c r="F1551">
        <v>9010298</v>
      </c>
      <c r="G1551" s="2" t="s">
        <v>15</v>
      </c>
      <c r="H1551">
        <v>-2.044585507153629</v>
      </c>
      <c r="I1551">
        <v>94.523946894499659</v>
      </c>
      <c r="K1551">
        <v>1.0786456917481824</v>
      </c>
      <c r="L1551">
        <v>0</v>
      </c>
      <c r="M1551" t="str">
        <f>VLOOKUP(fact_daily_prices[[#This Row],[Ticker]], dim_company[], 2, FALSE)</f>
        <v>Reliance Industries</v>
      </c>
      <c r="N1551" t="str">
        <f>VLOOKUP(fact_daily_prices[[#This Row],[Ticker]], dim_company[], 3, FALSE)</f>
        <v>Energy &amp; Conglomerate</v>
      </c>
    </row>
    <row r="1552" spans="1:14" x14ac:dyDescent="0.3">
      <c r="A1552" s="1">
        <v>45545</v>
      </c>
      <c r="B1552">
        <v>1449.0113525390625</v>
      </c>
      <c r="C1552">
        <v>1459.4462610127246</v>
      </c>
      <c r="D1552">
        <v>1445.0951000796938</v>
      </c>
      <c r="E1552">
        <v>1447.9951044503912</v>
      </c>
      <c r="F1552">
        <v>10768260</v>
      </c>
      <c r="G1552" s="2" t="s">
        <v>15</v>
      </c>
      <c r="H1552">
        <v>-6.3243965871495611E-2</v>
      </c>
      <c r="I1552">
        <v>94.464166201785304</v>
      </c>
      <c r="K1552">
        <v>1.0674738189728985</v>
      </c>
      <c r="L1552">
        <v>0</v>
      </c>
      <c r="M1552" t="str">
        <f>VLOOKUP(fact_daily_prices[[#This Row],[Ticker]], dim_company[], 2, FALSE)</f>
        <v>Reliance Industries</v>
      </c>
      <c r="N1552" t="str">
        <f>VLOOKUP(fact_daily_prices[[#This Row],[Ticker]], dim_company[], 3, FALSE)</f>
        <v>Energy &amp; Conglomerate</v>
      </c>
    </row>
    <row r="1553" spans="1:14" x14ac:dyDescent="0.3">
      <c r="A1553" s="1">
        <v>45546</v>
      </c>
      <c r="B1553">
        <v>1439.0721435546875</v>
      </c>
      <c r="C1553">
        <v>1456.1744477064742</v>
      </c>
      <c r="D1553">
        <v>1435.1560121734635</v>
      </c>
      <c r="E1553">
        <v>1450.5232999620257</v>
      </c>
      <c r="F1553">
        <v>9760202</v>
      </c>
      <c r="G1553" s="2" t="s">
        <v>15</v>
      </c>
      <c r="H1553">
        <v>-0.68593037362743026</v>
      </c>
      <c r="I1553">
        <v>93.816207793613373</v>
      </c>
      <c r="K1553">
        <v>1.0708206480701294</v>
      </c>
      <c r="L1553">
        <v>0</v>
      </c>
      <c r="M1553" t="str">
        <f>VLOOKUP(fact_daily_prices[[#This Row],[Ticker]], dim_company[], 2, FALSE)</f>
        <v>Reliance Industries</v>
      </c>
      <c r="N1553" t="str">
        <f>VLOOKUP(fact_daily_prices[[#This Row],[Ticker]], dim_company[], 3, FALSE)</f>
        <v>Energy &amp; Conglomerate</v>
      </c>
    </row>
    <row r="1554" spans="1:14" x14ac:dyDescent="0.3">
      <c r="A1554" s="1">
        <v>45547</v>
      </c>
      <c r="B1554">
        <v>1467.1298828125</v>
      </c>
      <c r="C1554">
        <v>1473.2767495080643</v>
      </c>
      <c r="D1554">
        <v>1433.4953029575861</v>
      </c>
      <c r="E1554">
        <v>1444.5250498204912</v>
      </c>
      <c r="F1554">
        <v>22349376</v>
      </c>
      <c r="G1554" s="2" t="s">
        <v>15</v>
      </c>
      <c r="H1554">
        <v>1.949710400793836</v>
      </c>
      <c r="I1554">
        <v>95.645352154595798</v>
      </c>
      <c r="J1554">
        <v>1495.1427709960938</v>
      </c>
      <c r="K1554">
        <v>1.1324492844620067</v>
      </c>
      <c r="L1554">
        <v>0</v>
      </c>
      <c r="M1554" t="str">
        <f>VLOOKUP(fact_daily_prices[[#This Row],[Ticker]], dim_company[], 2, FALSE)</f>
        <v>Reliance Industries</v>
      </c>
      <c r="N1554" t="str">
        <f>VLOOKUP(fact_daily_prices[[#This Row],[Ticker]], dim_company[], 3, FALSE)</f>
        <v>Energy &amp; Conglomerate</v>
      </c>
    </row>
    <row r="1555" spans="1:14" x14ac:dyDescent="0.3">
      <c r="A1555" s="1">
        <v>45548</v>
      </c>
      <c r="B1555">
        <v>1460.016357421875</v>
      </c>
      <c r="C1555">
        <v>1470.4512663815869</v>
      </c>
      <c r="D1555">
        <v>1456.9181137298669</v>
      </c>
      <c r="E1555">
        <v>1463.7590600068495</v>
      </c>
      <c r="F1555">
        <v>8711328</v>
      </c>
      <c r="G1555" s="2" t="s">
        <v>15</v>
      </c>
      <c r="H1555">
        <v>-0.48485996188615266</v>
      </c>
      <c r="I1555">
        <v>95.18160613659316</v>
      </c>
      <c r="J1555">
        <v>1493.6645581054688</v>
      </c>
      <c r="K1555">
        <v>1.127427142742681</v>
      </c>
      <c r="L1555">
        <v>0</v>
      </c>
      <c r="M1555" t="str">
        <f>VLOOKUP(fact_daily_prices[[#This Row],[Ticker]], dim_company[], 2, FALSE)</f>
        <v>Reliance Industries</v>
      </c>
      <c r="N1555" t="str">
        <f>VLOOKUP(fact_daily_prices[[#This Row],[Ticker]], dim_company[], 3, FALSE)</f>
        <v>Energy &amp; Conglomerate</v>
      </c>
    </row>
    <row r="1556" spans="1:14" x14ac:dyDescent="0.3">
      <c r="A1556" s="1">
        <v>45551</v>
      </c>
      <c r="B1556">
        <v>1458.752197265625</v>
      </c>
      <c r="C1556">
        <v>1468.2204780575375</v>
      </c>
      <c r="D1556">
        <v>1452.2087310287416</v>
      </c>
      <c r="E1556">
        <v>1464.8991851443227</v>
      </c>
      <c r="F1556">
        <v>5481774</v>
      </c>
      <c r="G1556" s="2" t="s">
        <v>15</v>
      </c>
      <c r="H1556">
        <v>-8.6585341994538378E-2</v>
      </c>
      <c r="I1556">
        <v>95.099192817403889</v>
      </c>
      <c r="J1556">
        <v>1492.129443359375</v>
      </c>
      <c r="K1556">
        <v>1.1122653665441808</v>
      </c>
      <c r="L1556">
        <v>0</v>
      </c>
      <c r="M1556" t="str">
        <f>VLOOKUP(fact_daily_prices[[#This Row],[Ticker]], dim_company[], 2, FALSE)</f>
        <v>Reliance Industries</v>
      </c>
      <c r="N1556" t="str">
        <f>VLOOKUP(fact_daily_prices[[#This Row],[Ticker]], dim_company[], 3, FALSE)</f>
        <v>Energy &amp; Conglomerate</v>
      </c>
    </row>
    <row r="1557" spans="1:14" x14ac:dyDescent="0.3">
      <c r="A1557" s="1">
        <v>45552</v>
      </c>
      <c r="B1557">
        <v>1459.6942138671875</v>
      </c>
      <c r="C1557">
        <v>1464.8248328952709</v>
      </c>
      <c r="D1557">
        <v>1454.0677548146175</v>
      </c>
      <c r="E1557">
        <v>1461.3796100548857</v>
      </c>
      <c r="F1557">
        <v>5935328</v>
      </c>
      <c r="G1557" s="2" t="s">
        <v>15</v>
      </c>
      <c r="H1557">
        <v>6.4576876273325645E-2</v>
      </c>
      <c r="I1557">
        <v>95.160604905486508</v>
      </c>
      <c r="J1557">
        <v>1489.9294140625</v>
      </c>
      <c r="K1557">
        <v>0.90511226515314158</v>
      </c>
      <c r="L1557">
        <v>0</v>
      </c>
      <c r="M1557" t="str">
        <f>VLOOKUP(fact_daily_prices[[#This Row],[Ticker]], dim_company[], 2, FALSE)</f>
        <v>Reliance Industries</v>
      </c>
      <c r="N1557" t="str">
        <f>VLOOKUP(fact_daily_prices[[#This Row],[Ticker]], dim_company[], 3, FALSE)</f>
        <v>Energy &amp; Conglomerate</v>
      </c>
    </row>
    <row r="1558" spans="1:14" x14ac:dyDescent="0.3">
      <c r="A1558" s="1">
        <v>45553</v>
      </c>
      <c r="B1558">
        <v>1450.919921875</v>
      </c>
      <c r="C1558">
        <v>1469.3111455549956</v>
      </c>
      <c r="D1558">
        <v>1448.0448484372855</v>
      </c>
      <c r="E1558">
        <v>1457.4138893156839</v>
      </c>
      <c r="F1558">
        <v>8574714</v>
      </c>
      <c r="G1558" s="2" t="s">
        <v>15</v>
      </c>
      <c r="H1558">
        <v>-0.60110480050076243</v>
      </c>
      <c r="I1558">
        <v>94.588589941214067</v>
      </c>
      <c r="J1558">
        <v>1487.3113232421874</v>
      </c>
      <c r="K1558">
        <v>0.90746528482879252</v>
      </c>
      <c r="L1558">
        <v>0</v>
      </c>
      <c r="M1558" t="str">
        <f>VLOOKUP(fact_daily_prices[[#This Row],[Ticker]], dim_company[], 2, FALSE)</f>
        <v>Reliance Industries</v>
      </c>
      <c r="N1558" t="str">
        <f>VLOOKUP(fact_daily_prices[[#This Row],[Ticker]], dim_company[], 3, FALSE)</f>
        <v>Energy &amp; Conglomerate</v>
      </c>
    </row>
    <row r="1559" spans="1:14" x14ac:dyDescent="0.3">
      <c r="A1559" s="1">
        <v>45554</v>
      </c>
      <c r="B1559">
        <v>1457.0916748046875</v>
      </c>
      <c r="C1559">
        <v>1463.8581906691411</v>
      </c>
      <c r="D1559">
        <v>1443.0876132109174</v>
      </c>
      <c r="E1559">
        <v>1453.6959512825115</v>
      </c>
      <c r="F1559">
        <v>16955902</v>
      </c>
      <c r="G1559" s="2" t="s">
        <v>15</v>
      </c>
      <c r="H1559">
        <v>0.42536826716885745</v>
      </c>
      <c r="I1559">
        <v>94.990939787186463</v>
      </c>
      <c r="J1559">
        <v>1485.0266381835938</v>
      </c>
      <c r="K1559">
        <v>0.90419364023545135</v>
      </c>
      <c r="L1559">
        <v>0</v>
      </c>
      <c r="M1559" t="str">
        <f>VLOOKUP(fact_daily_prices[[#This Row],[Ticker]], dim_company[], 2, FALSE)</f>
        <v>Reliance Industries</v>
      </c>
      <c r="N1559" t="str">
        <f>VLOOKUP(fact_daily_prices[[#This Row],[Ticker]], dim_company[], 3, FALSE)</f>
        <v>Energy &amp; Conglomerate</v>
      </c>
    </row>
    <row r="1560" spans="1:14" x14ac:dyDescent="0.3">
      <c r="A1560" s="1">
        <v>45555</v>
      </c>
      <c r="B1560">
        <v>1473.2025146484375</v>
      </c>
      <c r="C1560">
        <v>1482.1997658201983</v>
      </c>
      <c r="D1560">
        <v>1458.7770437683578</v>
      </c>
      <c r="E1560">
        <v>1461.3795684407844</v>
      </c>
      <c r="F1560">
        <v>30897320</v>
      </c>
      <c r="G1560" s="2" t="s">
        <v>15</v>
      </c>
      <c r="H1560">
        <v>1.1056847089535138</v>
      </c>
      <c r="I1560">
        <v>96.041240083304615</v>
      </c>
      <c r="J1560">
        <v>1483.1837280273437</v>
      </c>
      <c r="K1560">
        <v>0.90039826078274465</v>
      </c>
      <c r="L1560">
        <v>1</v>
      </c>
      <c r="M1560" t="str">
        <f>VLOOKUP(fact_daily_prices[[#This Row],[Ticker]], dim_company[], 2, FALSE)</f>
        <v>Reliance Industries</v>
      </c>
      <c r="N1560" t="str">
        <f>VLOOKUP(fact_daily_prices[[#This Row],[Ticker]], dim_company[], 3, FALSE)</f>
        <v>Energy &amp; Conglomerate</v>
      </c>
    </row>
    <row r="1561" spans="1:14" x14ac:dyDescent="0.3">
      <c r="A1561" s="1">
        <v>45558</v>
      </c>
      <c r="B1561">
        <v>1480.5887451171875</v>
      </c>
      <c r="C1561">
        <v>1488.6441789861601</v>
      </c>
      <c r="D1561">
        <v>1476.2015834923338</v>
      </c>
      <c r="E1561">
        <v>1478.2340798324108</v>
      </c>
      <c r="F1561">
        <v>8832314</v>
      </c>
      <c r="G1561" s="2" t="s">
        <v>15</v>
      </c>
      <c r="H1561">
        <v>0.50137237720591088</v>
      </c>
      <c r="I1561">
        <v>96.522764331808304</v>
      </c>
      <c r="J1561">
        <v>1481.5591894531251</v>
      </c>
      <c r="K1561">
        <v>0.84969569415577118</v>
      </c>
      <c r="L1561">
        <v>0</v>
      </c>
      <c r="M1561" t="str">
        <f>VLOOKUP(fact_daily_prices[[#This Row],[Ticker]], dim_company[], 2, FALSE)</f>
        <v>Reliance Industries</v>
      </c>
      <c r="N1561" t="str">
        <f>VLOOKUP(fact_daily_prices[[#This Row],[Ticker]], dim_company[], 3, FALSE)</f>
        <v>Energy &amp; Conglomerate</v>
      </c>
    </row>
    <row r="1562" spans="1:14" x14ac:dyDescent="0.3">
      <c r="A1562" s="1">
        <v>45559</v>
      </c>
      <c r="B1562">
        <v>1476.6229248046875</v>
      </c>
      <c r="C1562">
        <v>1487.6526722077606</v>
      </c>
      <c r="D1562">
        <v>1475.1357678514642</v>
      </c>
      <c r="E1562">
        <v>1475.7554165819738</v>
      </c>
      <c r="F1562">
        <v>17137444</v>
      </c>
      <c r="G1562" s="2" t="s">
        <v>15</v>
      </c>
      <c r="H1562">
        <v>-0.26785427929117978</v>
      </c>
      <c r="I1562">
        <v>96.264223977055423</v>
      </c>
      <c r="J1562">
        <v>1479.5376635742186</v>
      </c>
      <c r="K1562">
        <v>0.83166443935390688</v>
      </c>
      <c r="L1562">
        <v>0</v>
      </c>
      <c r="M1562" t="str">
        <f>VLOOKUP(fact_daily_prices[[#This Row],[Ticker]], dim_company[], 2, FALSE)</f>
        <v>Reliance Industries</v>
      </c>
      <c r="N1562" t="str">
        <f>VLOOKUP(fact_daily_prices[[#This Row],[Ticker]], dim_company[], 3, FALSE)</f>
        <v>Energy &amp; Conglomerate</v>
      </c>
    </row>
    <row r="1563" spans="1:14" x14ac:dyDescent="0.3">
      <c r="A1563" s="1">
        <v>45560</v>
      </c>
      <c r="B1563">
        <v>1481.15869140625</v>
      </c>
      <c r="C1563">
        <v>1483.6869066134093</v>
      </c>
      <c r="D1563">
        <v>1467.5264194610884</v>
      </c>
      <c r="E1563">
        <v>1471.1948125268714</v>
      </c>
      <c r="F1563">
        <v>7069002</v>
      </c>
      <c r="G1563" s="2" t="s">
        <v>15</v>
      </c>
      <c r="H1563">
        <v>0.30717162285438526</v>
      </c>
      <c r="I1563">
        <v>96.559920356073931</v>
      </c>
      <c r="J1563">
        <v>1477.59697265625</v>
      </c>
      <c r="K1563">
        <v>0.8324023958000627</v>
      </c>
      <c r="L1563">
        <v>0</v>
      </c>
      <c r="M1563" t="str">
        <f>VLOOKUP(fact_daily_prices[[#This Row],[Ticker]], dim_company[], 2, FALSE)</f>
        <v>Reliance Industries</v>
      </c>
      <c r="N1563" t="str">
        <f>VLOOKUP(fact_daily_prices[[#This Row],[Ticker]], dim_company[], 3, FALSE)</f>
        <v>Energy &amp; Conglomerate</v>
      </c>
    </row>
    <row r="1564" spans="1:14" x14ac:dyDescent="0.3">
      <c r="A1564" s="1">
        <v>45561</v>
      </c>
      <c r="B1564">
        <v>1485.12451171875</v>
      </c>
      <c r="C1564">
        <v>1491.122760061236</v>
      </c>
      <c r="D1564">
        <v>1475.309372285805</v>
      </c>
      <c r="E1564">
        <v>1477.8870868947113</v>
      </c>
      <c r="F1564">
        <v>18818998</v>
      </c>
      <c r="G1564" s="2" t="s">
        <v>15</v>
      </c>
      <c r="H1564">
        <v>0.267751209611089</v>
      </c>
      <c r="I1564">
        <v>96.818460710826812</v>
      </c>
      <c r="J1564">
        <v>1476.1501000976561</v>
      </c>
      <c r="K1564">
        <v>0.83213999204692868</v>
      </c>
      <c r="L1564">
        <v>0</v>
      </c>
      <c r="M1564" t="str">
        <f>VLOOKUP(fact_daily_prices[[#This Row],[Ticker]], dim_company[], 2, FALSE)</f>
        <v>Reliance Industries</v>
      </c>
      <c r="N1564" t="str">
        <f>VLOOKUP(fact_daily_prices[[#This Row],[Ticker]], dim_company[], 3, FALSE)</f>
        <v>Energy &amp; Conglomerate</v>
      </c>
    </row>
    <row r="1565" spans="1:14" x14ac:dyDescent="0.3">
      <c r="A1565" s="1">
        <v>45562</v>
      </c>
      <c r="B1565">
        <v>1513.10791015625</v>
      </c>
      <c r="C1565">
        <v>1520.3453348076939</v>
      </c>
      <c r="D1565">
        <v>1479.2254687210309</v>
      </c>
      <c r="E1565">
        <v>1486.1655345930462</v>
      </c>
      <c r="F1565">
        <v>20597478</v>
      </c>
      <c r="G1565" s="2" t="s">
        <v>15</v>
      </c>
      <c r="H1565">
        <v>1.8842459481807738</v>
      </c>
      <c r="I1565">
        <v>98.642758633861561</v>
      </c>
      <c r="J1565">
        <v>1475.0568798828126</v>
      </c>
      <c r="K1565">
        <v>0.87521726256349008</v>
      </c>
      <c r="L1565">
        <v>0</v>
      </c>
      <c r="M1565" t="str">
        <f>VLOOKUP(fact_daily_prices[[#This Row],[Ticker]], dim_company[], 2, FALSE)</f>
        <v>Reliance Industries</v>
      </c>
      <c r="N1565" t="str">
        <f>VLOOKUP(fact_daily_prices[[#This Row],[Ticker]], dim_company[], 3, FALSE)</f>
        <v>Energy &amp; Conglomerate</v>
      </c>
    </row>
    <row r="1566" spans="1:14" x14ac:dyDescent="0.3">
      <c r="A1566" s="1">
        <v>45565</v>
      </c>
      <c r="B1566">
        <v>1463.9324951171875</v>
      </c>
      <c r="C1566">
        <v>1511.9181178232873</v>
      </c>
      <c r="D1566">
        <v>1461.7761901136828</v>
      </c>
      <c r="E1566">
        <v>1506.3908994638518</v>
      </c>
      <c r="F1566">
        <v>27008814</v>
      </c>
      <c r="G1566" s="2" t="s">
        <v>15</v>
      </c>
      <c r="H1566">
        <v>-3.2499608725186313</v>
      </c>
      <c r="I1566">
        <v>95.436907574688064</v>
      </c>
      <c r="J1566">
        <v>1473.6031372070313</v>
      </c>
      <c r="K1566">
        <v>1.0527701953210251</v>
      </c>
      <c r="L1566">
        <v>0</v>
      </c>
      <c r="M1566" t="str">
        <f>VLOOKUP(fact_daily_prices[[#This Row],[Ticker]], dim_company[], 2, FALSE)</f>
        <v>Reliance Industries</v>
      </c>
      <c r="N1566" t="str">
        <f>VLOOKUP(fact_daily_prices[[#This Row],[Ticker]], dim_company[], 3, FALSE)</f>
        <v>Energy &amp; Conglomerate</v>
      </c>
    </row>
    <row r="1567" spans="1:14" x14ac:dyDescent="0.3">
      <c r="A1567" s="1">
        <v>45566</v>
      </c>
      <c r="B1567">
        <v>1452.2830810546875</v>
      </c>
      <c r="C1567">
        <v>1475.2100841908111</v>
      </c>
      <c r="D1567">
        <v>1450.3002051077794</v>
      </c>
      <c r="E1567">
        <v>1467.9726595996829</v>
      </c>
      <c r="F1567">
        <v>16431642</v>
      </c>
      <c r="G1567" s="2" t="s">
        <v>15</v>
      </c>
      <c r="H1567">
        <v>-0.79576169675552588</v>
      </c>
      <c r="I1567">
        <v>94.677457219640729</v>
      </c>
      <c r="J1567">
        <v>1472.9929248046874</v>
      </c>
      <c r="K1567">
        <v>1.0570864281881087</v>
      </c>
      <c r="L1567">
        <v>0</v>
      </c>
      <c r="M1567" t="str">
        <f>VLOOKUP(fact_daily_prices[[#This Row],[Ticker]], dim_company[], 2, FALSE)</f>
        <v>Reliance Industries</v>
      </c>
      <c r="N1567" t="str">
        <f>VLOOKUP(fact_daily_prices[[#This Row],[Ticker]], dim_company[], 3, FALSE)</f>
        <v>Energy &amp; Conglomerate</v>
      </c>
    </row>
    <row r="1568" spans="1:14" x14ac:dyDescent="0.3">
      <c r="A1568" s="1">
        <v>45568</v>
      </c>
      <c r="B1568">
        <v>1394.928466796875</v>
      </c>
      <c r="C1568">
        <v>1436.9902726871703</v>
      </c>
      <c r="D1568">
        <v>1390.0703963537039</v>
      </c>
      <c r="E1568">
        <v>1424.2750076222519</v>
      </c>
      <c r="F1568">
        <v>11513110</v>
      </c>
      <c r="G1568" s="2" t="s">
        <v>15</v>
      </c>
      <c r="H1568">
        <v>-3.9492723564719889</v>
      </c>
      <c r="I1568">
        <v>90.938386573854856</v>
      </c>
      <c r="J1568">
        <v>1471.488076171875</v>
      </c>
      <c r="K1568">
        <v>1.2712482136751502</v>
      </c>
      <c r="L1568">
        <v>0</v>
      </c>
      <c r="M1568" t="str">
        <f>VLOOKUP(fact_daily_prices[[#This Row],[Ticker]], dim_company[], 2, FALSE)</f>
        <v>Reliance Industries</v>
      </c>
      <c r="N1568" t="str">
        <f>VLOOKUP(fact_daily_prices[[#This Row],[Ticker]], dim_company[], 3, FALSE)</f>
        <v>Energy &amp; Conglomerate</v>
      </c>
    </row>
    <row r="1569" spans="1:14" x14ac:dyDescent="0.3">
      <c r="A1569" s="1">
        <v>45569</v>
      </c>
      <c r="B1569">
        <v>1374.653564453125</v>
      </c>
      <c r="C1569">
        <v>1405.2145916660445</v>
      </c>
      <c r="D1569">
        <v>1369.9442340651565</v>
      </c>
      <c r="E1569">
        <v>1391.9046094477658</v>
      </c>
      <c r="F1569">
        <v>37072876</v>
      </c>
      <c r="G1569" s="2" t="s">
        <v>15</v>
      </c>
      <c r="H1569">
        <v>-1.453472549048096</v>
      </c>
      <c r="I1569">
        <v>89.616622088456637</v>
      </c>
      <c r="J1569">
        <v>1469.4235888671874</v>
      </c>
      <c r="K1569">
        <v>1.2910442599390815</v>
      </c>
      <c r="L1569">
        <v>1</v>
      </c>
      <c r="M1569" t="str">
        <f>VLOOKUP(fact_daily_prices[[#This Row],[Ticker]], dim_company[], 2, FALSE)</f>
        <v>Reliance Industries</v>
      </c>
      <c r="N1569" t="str">
        <f>VLOOKUP(fact_daily_prices[[#This Row],[Ticker]], dim_company[], 3, FALSE)</f>
        <v>Energy &amp; Conglomerate</v>
      </c>
    </row>
    <row r="1570" spans="1:14" x14ac:dyDescent="0.3">
      <c r="A1570" s="1">
        <v>45572</v>
      </c>
      <c r="B1570">
        <v>1374.653564453125</v>
      </c>
      <c r="C1570">
        <v>1384.5432314460647</v>
      </c>
      <c r="D1570">
        <v>1349.7189700751069</v>
      </c>
      <c r="E1570">
        <v>1381.5689173076198</v>
      </c>
      <c r="F1570">
        <v>22181340</v>
      </c>
      <c r="G1570" s="2" t="s">
        <v>15</v>
      </c>
      <c r="H1570">
        <v>0</v>
      </c>
      <c r="I1570">
        <v>89.616622088456637</v>
      </c>
      <c r="J1570">
        <v>1467.42431640625</v>
      </c>
      <c r="K1570">
        <v>1.29001021379533</v>
      </c>
      <c r="L1570">
        <v>0</v>
      </c>
      <c r="M1570" t="str">
        <f>VLOOKUP(fact_daily_prices[[#This Row],[Ticker]], dim_company[], 2, FALSE)</f>
        <v>Reliance Industries</v>
      </c>
      <c r="N1570" t="str">
        <f>VLOOKUP(fact_daily_prices[[#This Row],[Ticker]], dim_company[], 3, FALSE)</f>
        <v>Energy &amp; Conglomerate</v>
      </c>
    </row>
    <row r="1571" spans="1:14" x14ac:dyDescent="0.3">
      <c r="A1571" s="1">
        <v>45573</v>
      </c>
      <c r="B1571">
        <v>1385.3858642578125</v>
      </c>
      <c r="C1571">
        <v>1389.004637160655</v>
      </c>
      <c r="D1571">
        <v>1353.4119887771335</v>
      </c>
      <c r="E1571">
        <v>1361.2195630224155</v>
      </c>
      <c r="F1571">
        <v>17020808</v>
      </c>
      <c r="G1571" s="2" t="s">
        <v>15</v>
      </c>
      <c r="H1571">
        <v>0.78072760164538124</v>
      </c>
      <c r="I1571">
        <v>90.316283792763457</v>
      </c>
      <c r="J1571">
        <v>1465.3111499023437</v>
      </c>
      <c r="K1571">
        <v>1.2882724619734824</v>
      </c>
      <c r="L1571">
        <v>0</v>
      </c>
      <c r="M1571" t="str">
        <f>VLOOKUP(fact_daily_prices[[#This Row],[Ticker]], dim_company[], 2, FALSE)</f>
        <v>Reliance Industries</v>
      </c>
      <c r="N1571" t="str">
        <f>VLOOKUP(fact_daily_prices[[#This Row],[Ticker]], dim_company[], 3, FALSE)</f>
        <v>Energy &amp; Conglomerate</v>
      </c>
    </row>
    <row r="1572" spans="1:14" x14ac:dyDescent="0.3">
      <c r="A1572" s="1">
        <v>45574</v>
      </c>
      <c r="B1572">
        <v>1362.8306884765625</v>
      </c>
      <c r="C1572">
        <v>1388.9798664534119</v>
      </c>
      <c r="D1572">
        <v>1360.7486928237199</v>
      </c>
      <c r="E1572">
        <v>1385.5594536683957</v>
      </c>
      <c r="F1572">
        <v>11513110</v>
      </c>
      <c r="G1572" s="2" t="s">
        <v>15</v>
      </c>
      <c r="H1572">
        <v>-1.6280789607546198</v>
      </c>
      <c r="I1572">
        <v>88.845863378198032</v>
      </c>
      <c r="J1572">
        <v>1462.5280200195311</v>
      </c>
      <c r="K1572">
        <v>1.3089958960329766</v>
      </c>
      <c r="L1572">
        <v>0</v>
      </c>
      <c r="M1572" t="str">
        <f>VLOOKUP(fact_daily_prices[[#This Row],[Ticker]], dim_company[], 2, FALSE)</f>
        <v>Reliance Industries</v>
      </c>
      <c r="N1572" t="str">
        <f>VLOOKUP(fact_daily_prices[[#This Row],[Ticker]], dim_company[], 3, FALSE)</f>
        <v>Energy &amp; Conglomerate</v>
      </c>
    </row>
    <row r="1573" spans="1:14" x14ac:dyDescent="0.3">
      <c r="A1573" s="1">
        <v>45575</v>
      </c>
      <c r="B1573">
        <v>1359.31103515625</v>
      </c>
      <c r="C1573">
        <v>1374.1329839394809</v>
      </c>
      <c r="D1573">
        <v>1357.6999485048059</v>
      </c>
      <c r="E1573">
        <v>1368.2091664568909</v>
      </c>
      <c r="F1573">
        <v>22358646</v>
      </c>
      <c r="G1573" s="2" t="s">
        <v>15</v>
      </c>
      <c r="H1573">
        <v>-0.25826049780599547</v>
      </c>
      <c r="I1573">
        <v>88.616409609157472</v>
      </c>
      <c r="J1573">
        <v>1459.8118408203125</v>
      </c>
      <c r="K1573">
        <v>1.3087403911459585</v>
      </c>
      <c r="L1573">
        <v>0</v>
      </c>
      <c r="M1573" t="str">
        <f>VLOOKUP(fact_daily_prices[[#This Row],[Ticker]], dim_company[], 2, FALSE)</f>
        <v>Reliance Industries</v>
      </c>
      <c r="N1573" t="str">
        <f>VLOOKUP(fact_daily_prices[[#This Row],[Ticker]], dim_company[], 3, FALSE)</f>
        <v>Energy &amp; Conglomerate</v>
      </c>
    </row>
    <row r="1574" spans="1:14" x14ac:dyDescent="0.3">
      <c r="A1574" s="1">
        <v>45576</v>
      </c>
      <c r="B1574">
        <v>1360.35205078125</v>
      </c>
      <c r="C1574">
        <v>1371.4314188021033</v>
      </c>
      <c r="D1574">
        <v>1357.1050671377104</v>
      </c>
      <c r="E1574">
        <v>1358.2700551936466</v>
      </c>
      <c r="F1574">
        <v>7980122</v>
      </c>
      <c r="G1574" s="2" t="s">
        <v>15</v>
      </c>
      <c r="H1574">
        <v>7.658406340240731E-2</v>
      </c>
      <c r="I1574">
        <v>88.684275656477467</v>
      </c>
      <c r="J1574">
        <v>1457.2691430664063</v>
      </c>
      <c r="K1574">
        <v>1.2663474695094761</v>
      </c>
      <c r="L1574">
        <v>0</v>
      </c>
      <c r="M1574" t="str">
        <f>VLOOKUP(fact_daily_prices[[#This Row],[Ticker]], dim_company[], 2, FALSE)</f>
        <v>Reliance Industries</v>
      </c>
      <c r="N1574" t="str">
        <f>VLOOKUP(fact_daily_prices[[#This Row],[Ticker]], dim_company[], 3, FALSE)</f>
        <v>Energy &amp; Conglomerate</v>
      </c>
    </row>
    <row r="1575" spans="1:14" x14ac:dyDescent="0.3">
      <c r="A1575" s="1">
        <v>45579</v>
      </c>
      <c r="B1575">
        <v>1360.7734375</v>
      </c>
      <c r="C1575">
        <v>1368.2587216327886</v>
      </c>
      <c r="D1575">
        <v>1356.5350159311083</v>
      </c>
      <c r="E1575">
        <v>1367.6390728953818</v>
      </c>
      <c r="F1575">
        <v>12221432</v>
      </c>
      <c r="G1575" s="2" t="s">
        <v>15</v>
      </c>
      <c r="H1575">
        <v>3.097629900348231E-2</v>
      </c>
      <c r="I1575">
        <v>88.711746762873901</v>
      </c>
      <c r="J1575">
        <v>1454.5397241210937</v>
      </c>
      <c r="K1575">
        <v>1.2656293119356152</v>
      </c>
      <c r="L1575">
        <v>0</v>
      </c>
      <c r="M1575" t="str">
        <f>VLOOKUP(fact_daily_prices[[#This Row],[Ticker]], dim_company[], 2, FALSE)</f>
        <v>Reliance Industries</v>
      </c>
      <c r="N1575" t="str">
        <f>VLOOKUP(fact_daily_prices[[#This Row],[Ticker]], dim_company[], 3, FALSE)</f>
        <v>Energy &amp; Conglomerate</v>
      </c>
    </row>
    <row r="1576" spans="1:14" x14ac:dyDescent="0.3">
      <c r="A1576" s="1">
        <v>45580</v>
      </c>
      <c r="B1576">
        <v>1332.5174560546875</v>
      </c>
      <c r="C1576">
        <v>1359.9554295521657</v>
      </c>
      <c r="D1576">
        <v>1329.2208521541709</v>
      </c>
      <c r="E1576">
        <v>1346.8933067731043</v>
      </c>
      <c r="F1576">
        <v>33762794</v>
      </c>
      <c r="G1576" s="2" t="s">
        <v>15</v>
      </c>
      <c r="H1576">
        <v>-2.0764648005787145</v>
      </c>
      <c r="I1576">
        <v>86.869678567364289</v>
      </c>
      <c r="J1576">
        <v>1451.5608813476563</v>
      </c>
      <c r="K1576">
        <v>1.2972958689109386</v>
      </c>
      <c r="L1576">
        <v>1</v>
      </c>
      <c r="M1576" t="str">
        <f>VLOOKUP(fact_daily_prices[[#This Row],[Ticker]], dim_company[], 2, FALSE)</f>
        <v>Reliance Industries</v>
      </c>
      <c r="N1576" t="str">
        <f>VLOOKUP(fact_daily_prices[[#This Row],[Ticker]], dim_company[], 3, FALSE)</f>
        <v>Energy &amp; Conglomerate</v>
      </c>
    </row>
    <row r="1577" spans="1:14" x14ac:dyDescent="0.3">
      <c r="A1577" s="1">
        <v>45581</v>
      </c>
      <c r="B1577">
        <v>1342.4813232421875</v>
      </c>
      <c r="C1577">
        <v>1352.3213935222657</v>
      </c>
      <c r="D1577">
        <v>1326.1722170162907</v>
      </c>
      <c r="E1577">
        <v>1328.5268821992931</v>
      </c>
      <c r="F1577">
        <v>20034438</v>
      </c>
      <c r="G1577" s="2" t="s">
        <v>15</v>
      </c>
      <c r="H1577">
        <v>0.74774759176521322</v>
      </c>
      <c r="I1577">
        <v>87.519244496825948</v>
      </c>
      <c r="J1577">
        <v>1449.8089233398437</v>
      </c>
      <c r="K1577">
        <v>1.3137466875522521</v>
      </c>
      <c r="L1577">
        <v>0</v>
      </c>
      <c r="M1577" t="str">
        <f>VLOOKUP(fact_daily_prices[[#This Row],[Ticker]], dim_company[], 2, FALSE)</f>
        <v>Reliance Industries</v>
      </c>
      <c r="N1577" t="str">
        <f>VLOOKUP(fact_daily_prices[[#This Row],[Ticker]], dim_company[], 3, FALSE)</f>
        <v>Energy &amp; Conglomerate</v>
      </c>
    </row>
    <row r="1578" spans="1:14" x14ac:dyDescent="0.3">
      <c r="A1578" s="1">
        <v>45582</v>
      </c>
      <c r="B1578">
        <v>1344.811279296875</v>
      </c>
      <c r="C1578">
        <v>1356.7332239102464</v>
      </c>
      <c r="D1578">
        <v>1340.4737382347969</v>
      </c>
      <c r="E1578">
        <v>1354.0067695283683</v>
      </c>
      <c r="F1578">
        <v>15543660</v>
      </c>
      <c r="G1578" s="2" t="s">
        <v>15</v>
      </c>
      <c r="H1578">
        <v>0.17355593812362624</v>
      </c>
      <c r="I1578">
        <v>87.671139342651117</v>
      </c>
      <c r="J1578">
        <v>1447.9311401367188</v>
      </c>
      <c r="K1578">
        <v>1.3107082670827521</v>
      </c>
      <c r="L1578">
        <v>0</v>
      </c>
      <c r="M1578" t="str">
        <f>VLOOKUP(fact_daily_prices[[#This Row],[Ticker]], dim_company[], 2, FALSE)</f>
        <v>Reliance Industries</v>
      </c>
      <c r="N1578" t="str">
        <f>VLOOKUP(fact_daily_prices[[#This Row],[Ticker]], dim_company[], 3, FALSE)</f>
        <v>Energy &amp; Conglomerate</v>
      </c>
    </row>
    <row r="1579" spans="1:14" x14ac:dyDescent="0.3">
      <c r="A1579" s="1">
        <v>45583</v>
      </c>
      <c r="B1579">
        <v>1347.66162109375</v>
      </c>
      <c r="C1579">
        <v>1356.7084921676401</v>
      </c>
      <c r="D1579">
        <v>1329.840427555484</v>
      </c>
      <c r="E1579">
        <v>1340.5976258716714</v>
      </c>
      <c r="F1579">
        <v>12082452</v>
      </c>
      <c r="G1579" s="2" t="s">
        <v>15</v>
      </c>
      <c r="H1579">
        <v>0.21195106263276475</v>
      </c>
      <c r="I1579">
        <v>87.856959254110123</v>
      </c>
      <c r="J1579">
        <v>1445.9369580078126</v>
      </c>
      <c r="K1579">
        <v>1.2988115508431997</v>
      </c>
      <c r="L1579">
        <v>0</v>
      </c>
      <c r="M1579" t="str">
        <f>VLOOKUP(fact_daily_prices[[#This Row],[Ticker]], dim_company[], 2, FALSE)</f>
        <v>Reliance Industries</v>
      </c>
      <c r="N1579" t="str">
        <f>VLOOKUP(fact_daily_prices[[#This Row],[Ticker]], dim_company[], 3, FALSE)</f>
        <v>Energy &amp; Conglomerate</v>
      </c>
    </row>
    <row r="1580" spans="1:14" x14ac:dyDescent="0.3">
      <c r="A1580" s="1">
        <v>45586</v>
      </c>
      <c r="B1580">
        <v>1357.476806640625</v>
      </c>
      <c r="C1580">
        <v>1362.2357572594483</v>
      </c>
      <c r="D1580">
        <v>1346.1000802528206</v>
      </c>
      <c r="E1580">
        <v>1355.4196212833499</v>
      </c>
      <c r="F1580">
        <v>14067408</v>
      </c>
      <c r="G1580" s="2" t="s">
        <v>15</v>
      </c>
      <c r="H1580">
        <v>0.72831231469729918</v>
      </c>
      <c r="I1580">
        <v>88.496832307676385</v>
      </c>
      <c r="J1580">
        <v>1444.4493359375001</v>
      </c>
      <c r="K1580">
        <v>1.3114338926442282</v>
      </c>
      <c r="L1580">
        <v>0</v>
      </c>
      <c r="M1580" t="str">
        <f>VLOOKUP(fact_daily_prices[[#This Row],[Ticker]], dim_company[], 2, FALSE)</f>
        <v>Reliance Industries</v>
      </c>
      <c r="N1580" t="str">
        <f>VLOOKUP(fact_daily_prices[[#This Row],[Ticker]], dim_company[], 3, FALSE)</f>
        <v>Energy &amp; Conglomerate</v>
      </c>
    </row>
    <row r="1581" spans="1:14" x14ac:dyDescent="0.3">
      <c r="A1581" s="1">
        <v>45587</v>
      </c>
      <c r="B1581">
        <v>1331.8482666015625</v>
      </c>
      <c r="C1581">
        <v>1364.2187428070656</v>
      </c>
      <c r="D1581">
        <v>1328.7500227270916</v>
      </c>
      <c r="E1581">
        <v>1357.4769157261562</v>
      </c>
      <c r="F1581">
        <v>15831960</v>
      </c>
      <c r="G1581" s="2" t="s">
        <v>15</v>
      </c>
      <c r="H1581">
        <v>-1.8879541745163153</v>
      </c>
      <c r="I1581">
        <v>86.826052667808909</v>
      </c>
      <c r="J1581">
        <v>1441.951640625</v>
      </c>
      <c r="K1581">
        <v>1.3044583506364511</v>
      </c>
      <c r="L1581">
        <v>0</v>
      </c>
      <c r="M1581" t="str">
        <f>VLOOKUP(fact_daily_prices[[#This Row],[Ticker]], dim_company[], 2, FALSE)</f>
        <v>Reliance Industries</v>
      </c>
      <c r="N1581" t="str">
        <f>VLOOKUP(fact_daily_prices[[#This Row],[Ticker]], dim_company[], 3, FALSE)</f>
        <v>Energy &amp; Conglomerate</v>
      </c>
    </row>
    <row r="1582" spans="1:14" x14ac:dyDescent="0.3">
      <c r="A1582" s="1">
        <v>45588</v>
      </c>
      <c r="B1582">
        <v>1327.0645751953125</v>
      </c>
      <c r="C1582">
        <v>1345.8522769141389</v>
      </c>
      <c r="D1582">
        <v>1323.56973203491</v>
      </c>
      <c r="E1582">
        <v>1326.0483270387208</v>
      </c>
      <c r="F1582">
        <v>11513110</v>
      </c>
      <c r="G1582" s="2" t="s">
        <v>15</v>
      </c>
      <c r="H1582">
        <v>-0.35917690672500058</v>
      </c>
      <c r="I1582">
        <v>86.514193537605252</v>
      </c>
      <c r="J1582">
        <v>1439.6285131835937</v>
      </c>
      <c r="K1582">
        <v>1.3039250564654623</v>
      </c>
      <c r="L1582">
        <v>0</v>
      </c>
      <c r="M1582" t="str">
        <f>VLOOKUP(fact_daily_prices[[#This Row],[Ticker]], dim_company[], 2, FALSE)</f>
        <v>Reliance Industries</v>
      </c>
      <c r="N1582" t="str">
        <f>VLOOKUP(fact_daily_prices[[#This Row],[Ticker]], dim_company[], 3, FALSE)</f>
        <v>Energy &amp; Conglomerate</v>
      </c>
    </row>
    <row r="1583" spans="1:14" x14ac:dyDescent="0.3">
      <c r="A1583" s="1">
        <v>45589</v>
      </c>
      <c r="B1583">
        <v>1328.3287353515625</v>
      </c>
      <c r="C1583">
        <v>1332.1952468902052</v>
      </c>
      <c r="D1583">
        <v>1311.7964576126849</v>
      </c>
      <c r="E1583">
        <v>1323.8424540123256</v>
      </c>
      <c r="F1583">
        <v>22155934</v>
      </c>
      <c r="G1583" s="2" t="s">
        <v>15</v>
      </c>
      <c r="H1583">
        <v>9.5259882591913758E-2</v>
      </c>
      <c r="I1583">
        <v>86.596606856794523</v>
      </c>
      <c r="J1583">
        <v>1437.2713842773437</v>
      </c>
      <c r="K1583">
        <v>1.3034280122123088</v>
      </c>
      <c r="L1583">
        <v>0</v>
      </c>
      <c r="M1583" t="str">
        <f>VLOOKUP(fact_daily_prices[[#This Row],[Ticker]], dim_company[], 2, FALSE)</f>
        <v>Reliance Industries</v>
      </c>
      <c r="N1583" t="str">
        <f>VLOOKUP(fact_daily_prices[[#This Row],[Ticker]], dim_company[], 3, FALSE)</f>
        <v>Energy &amp; Conglomerate</v>
      </c>
    </row>
    <row r="1584" spans="1:14" x14ac:dyDescent="0.3">
      <c r="A1584" s="1">
        <v>45590</v>
      </c>
      <c r="B1584">
        <v>1316.4808349609375</v>
      </c>
      <c r="C1584">
        <v>1332.8395608533488</v>
      </c>
      <c r="D1584">
        <v>1310.6809472586556</v>
      </c>
      <c r="E1584">
        <v>1331.996862815434</v>
      </c>
      <c r="F1584">
        <v>18597496</v>
      </c>
      <c r="G1584" s="2" t="s">
        <v>15</v>
      </c>
      <c r="H1584">
        <v>-0.89194038157197619</v>
      </c>
      <c r="I1584">
        <v>85.82421675116764</v>
      </c>
      <c r="J1584">
        <v>1434.7123754882812</v>
      </c>
      <c r="K1584">
        <v>1.2391051050598307</v>
      </c>
      <c r="L1584">
        <v>0</v>
      </c>
      <c r="M1584" t="str">
        <f>VLOOKUP(fact_daily_prices[[#This Row],[Ticker]], dim_company[], 2, FALSE)</f>
        <v>Reliance Industries</v>
      </c>
      <c r="N1584" t="str">
        <f>VLOOKUP(fact_daily_prices[[#This Row],[Ticker]], dim_company[], 3, FALSE)</f>
        <v>Energy &amp; Conglomerate</v>
      </c>
    </row>
    <row r="1585" spans="1:14" x14ac:dyDescent="0.3">
      <c r="A1585" s="1">
        <v>45593</v>
      </c>
      <c r="B1585">
        <v>1316.4808349609375</v>
      </c>
      <c r="C1585">
        <v>1341.4155124030335</v>
      </c>
      <c r="D1585">
        <v>1310.7800563182918</v>
      </c>
      <c r="E1585">
        <v>1325.552505604476</v>
      </c>
      <c r="F1585">
        <v>10824350</v>
      </c>
      <c r="G1585" s="2" t="s">
        <v>15</v>
      </c>
      <c r="H1585">
        <v>0</v>
      </c>
      <c r="I1585">
        <v>85.82421675116764</v>
      </c>
      <c r="J1585">
        <v>1431.8302661132811</v>
      </c>
      <c r="K1585">
        <v>1.2404869820758495</v>
      </c>
      <c r="L1585">
        <v>0</v>
      </c>
      <c r="M1585" t="str">
        <f>VLOOKUP(fact_daily_prices[[#This Row],[Ticker]], dim_company[], 2, FALSE)</f>
        <v>Reliance Industries</v>
      </c>
      <c r="N1585" t="str">
        <f>VLOOKUP(fact_daily_prices[[#This Row],[Ticker]], dim_company[], 3, FALSE)</f>
        <v>Energy &amp; Conglomerate</v>
      </c>
    </row>
    <row r="1586" spans="1:14" x14ac:dyDescent="0.3">
      <c r="A1586" s="1">
        <v>45594</v>
      </c>
      <c r="B1586">
        <v>1328.52685546875</v>
      </c>
      <c r="C1586">
        <v>1331.6994085045892</v>
      </c>
      <c r="D1586">
        <v>1308.9955762275119</v>
      </c>
      <c r="E1586">
        <v>1316.7287196367979</v>
      </c>
      <c r="F1586">
        <v>12008361</v>
      </c>
      <c r="G1586" s="2" t="s">
        <v>15</v>
      </c>
      <c r="H1586">
        <v>0.91501677714662666</v>
      </c>
      <c r="I1586">
        <v>86.609522733295506</v>
      </c>
      <c r="J1586">
        <v>1428.8876782226562</v>
      </c>
      <c r="K1586">
        <v>1.2607669868368203</v>
      </c>
      <c r="L1586">
        <v>0</v>
      </c>
      <c r="M1586" t="str">
        <f>VLOOKUP(fact_daily_prices[[#This Row],[Ticker]], dim_company[], 2, FALSE)</f>
        <v>Reliance Industries</v>
      </c>
      <c r="N1586" t="str">
        <f>VLOOKUP(fact_daily_prices[[#This Row],[Ticker]], dim_company[], 3, FALSE)</f>
        <v>Energy &amp; Conglomerate</v>
      </c>
    </row>
    <row r="1587" spans="1:14" x14ac:dyDescent="0.3">
      <c r="A1587" s="1">
        <v>45595</v>
      </c>
      <c r="B1587">
        <v>1332.3935546875</v>
      </c>
      <c r="C1587">
        <v>1338.4413022928309</v>
      </c>
      <c r="D1587">
        <v>1314.0023313459362</v>
      </c>
      <c r="E1587">
        <v>1323.569732267355</v>
      </c>
      <c r="F1587">
        <v>11984423</v>
      </c>
      <c r="G1587" s="2" t="s">
        <v>15</v>
      </c>
      <c r="H1587">
        <v>0.29105164135998507</v>
      </c>
      <c r="I1587">
        <v>86.861601170784809</v>
      </c>
      <c r="J1587">
        <v>1425.8727172851563</v>
      </c>
      <c r="K1587">
        <v>1.2637211012504084</v>
      </c>
      <c r="L1587">
        <v>0</v>
      </c>
      <c r="M1587" t="str">
        <f>VLOOKUP(fact_daily_prices[[#This Row],[Ticker]], dim_company[], 2, FALSE)</f>
        <v>Reliance Industries</v>
      </c>
      <c r="N1587" t="str">
        <f>VLOOKUP(fact_daily_prices[[#This Row],[Ticker]], dim_company[], 3, FALSE)</f>
        <v>Energy &amp; Conglomerate</v>
      </c>
    </row>
    <row r="1588" spans="1:14" x14ac:dyDescent="0.3">
      <c r="A1588" s="1">
        <v>45596</v>
      </c>
      <c r="B1588">
        <v>1320.64501953125</v>
      </c>
      <c r="C1588">
        <v>1331.5012170832631</v>
      </c>
      <c r="D1588">
        <v>1314.7955112005386</v>
      </c>
      <c r="E1588">
        <v>1328.5269031210521</v>
      </c>
      <c r="F1588">
        <v>9331650</v>
      </c>
      <c r="G1588" s="2" t="s">
        <v>15</v>
      </c>
      <c r="H1588">
        <v>-0.88176163228330662</v>
      </c>
      <c r="I1588">
        <v>86.095688898473881</v>
      </c>
      <c r="J1588">
        <v>1422.5687499999999</v>
      </c>
      <c r="K1588">
        <v>1.267092882206373</v>
      </c>
      <c r="L1588">
        <v>0</v>
      </c>
      <c r="M1588" t="str">
        <f>VLOOKUP(fact_daily_prices[[#This Row],[Ticker]], dim_company[], 2, FALSE)</f>
        <v>Reliance Industries</v>
      </c>
      <c r="N1588" t="str">
        <f>VLOOKUP(fact_daily_prices[[#This Row],[Ticker]], dim_company[], 3, FALSE)</f>
        <v>Energy &amp; Conglomerate</v>
      </c>
    </row>
    <row r="1589" spans="1:14" x14ac:dyDescent="0.3">
      <c r="A1589" s="1">
        <v>45597</v>
      </c>
      <c r="B1589">
        <v>1327.1884765625</v>
      </c>
      <c r="C1589">
        <v>1330.4601492824747</v>
      </c>
      <c r="D1589">
        <v>1321.5868277686543</v>
      </c>
      <c r="E1589">
        <v>1321.6364480777279</v>
      </c>
      <c r="F1589">
        <v>2127335</v>
      </c>
      <c r="G1589" s="2" t="s">
        <v>15</v>
      </c>
      <c r="H1589">
        <v>0.49547432765637556</v>
      </c>
      <c r="I1589">
        <v>86.522270934184732</v>
      </c>
      <c r="J1589">
        <v>1419.4065600585936</v>
      </c>
      <c r="K1589">
        <v>1.268550596666054</v>
      </c>
      <c r="L1589">
        <v>0</v>
      </c>
      <c r="M1589" t="str">
        <f>VLOOKUP(fact_daily_prices[[#This Row],[Ticker]], dim_company[], 2, FALSE)</f>
        <v>Reliance Industries</v>
      </c>
      <c r="N1589" t="str">
        <f>VLOOKUP(fact_daily_prices[[#This Row],[Ticker]], dim_company[], 3, FALSE)</f>
        <v>Energy &amp; Conglomerate</v>
      </c>
    </row>
    <row r="1590" spans="1:14" x14ac:dyDescent="0.3">
      <c r="A1590" s="1">
        <v>45600</v>
      </c>
      <c r="B1590">
        <v>1291.0009765625</v>
      </c>
      <c r="C1590">
        <v>1328.52687951389</v>
      </c>
      <c r="D1590">
        <v>1274.0969107675833</v>
      </c>
      <c r="E1590">
        <v>1326.3952636738204</v>
      </c>
      <c r="F1590">
        <v>19796890</v>
      </c>
      <c r="G1590" s="2" t="s">
        <v>15</v>
      </c>
      <c r="H1590">
        <v>-2.7266285564600312</v>
      </c>
      <c r="I1590">
        <v>84.163129987195546</v>
      </c>
      <c r="J1590">
        <v>1415.483935546875</v>
      </c>
      <c r="K1590">
        <v>1.3139591867562206</v>
      </c>
      <c r="L1590">
        <v>0</v>
      </c>
      <c r="M1590" t="str">
        <f>VLOOKUP(fact_daily_prices[[#This Row],[Ticker]], dim_company[], 2, FALSE)</f>
        <v>Reliance Industries</v>
      </c>
      <c r="N1590" t="str">
        <f>VLOOKUP(fact_daily_prices[[#This Row],[Ticker]], dim_company[], 3, FALSE)</f>
        <v>Energy &amp; Conglomerate</v>
      </c>
    </row>
    <row r="1591" spans="1:14" x14ac:dyDescent="0.3">
      <c r="A1591" s="1">
        <v>45601</v>
      </c>
      <c r="B1591">
        <v>1294.1240234375</v>
      </c>
      <c r="C1591">
        <v>1298.337634786513</v>
      </c>
      <c r="D1591">
        <v>1275.1379622128013</v>
      </c>
      <c r="E1591">
        <v>1281.9292880644173</v>
      </c>
      <c r="F1591">
        <v>16267479</v>
      </c>
      <c r="G1591" s="2" t="s">
        <v>15</v>
      </c>
      <c r="H1591">
        <v>0.24190894752966763</v>
      </c>
      <c r="I1591">
        <v>84.366728129155575</v>
      </c>
      <c r="J1591">
        <v>1411.3734350585937</v>
      </c>
      <c r="K1591">
        <v>1.3084552789479058</v>
      </c>
      <c r="L1591">
        <v>0</v>
      </c>
      <c r="M1591" t="str">
        <f>VLOOKUP(fact_daily_prices[[#This Row],[Ticker]], dim_company[], 2, FALSE)</f>
        <v>Reliance Industries</v>
      </c>
      <c r="N1591" t="str">
        <f>VLOOKUP(fact_daily_prices[[#This Row],[Ticker]], dim_company[], 3, FALSE)</f>
        <v>Energy &amp; Conglomerate</v>
      </c>
    </row>
    <row r="1592" spans="1:14" x14ac:dyDescent="0.3">
      <c r="A1592" s="1">
        <v>45602</v>
      </c>
      <c r="B1592">
        <v>1314.002197265625</v>
      </c>
      <c r="C1592">
        <v>1316.9270116872765</v>
      </c>
      <c r="D1592">
        <v>1289.0675098622075</v>
      </c>
      <c r="E1592">
        <v>1298.7836496974789</v>
      </c>
      <c r="F1592">
        <v>21625209</v>
      </c>
      <c r="G1592" s="2" t="s">
        <v>15</v>
      </c>
      <c r="H1592">
        <v>1.5360331365554813</v>
      </c>
      <c r="I1592">
        <v>85.662629029447075</v>
      </c>
      <c r="J1592">
        <v>1407.901416015625</v>
      </c>
      <c r="K1592">
        <v>1.3571479211799575</v>
      </c>
      <c r="L1592">
        <v>0</v>
      </c>
      <c r="M1592" t="str">
        <f>VLOOKUP(fact_daily_prices[[#This Row],[Ticker]], dim_company[], 2, FALSE)</f>
        <v>Reliance Industries</v>
      </c>
      <c r="N1592" t="str">
        <f>VLOOKUP(fact_daily_prices[[#This Row],[Ticker]], dim_company[], 3, FALSE)</f>
        <v>Energy &amp; Conglomerate</v>
      </c>
    </row>
    <row r="1593" spans="1:14" x14ac:dyDescent="0.3">
      <c r="A1593" s="1">
        <v>45603</v>
      </c>
      <c r="B1593">
        <v>1294.470947265625</v>
      </c>
      <c r="C1593">
        <v>1312.6638089321268</v>
      </c>
      <c r="D1593">
        <v>1291.447013193</v>
      </c>
      <c r="E1593">
        <v>1312.6638089321268</v>
      </c>
      <c r="F1593">
        <v>9611974</v>
      </c>
      <c r="G1593" s="2" t="s">
        <v>15</v>
      </c>
      <c r="H1593">
        <v>-1.4863940136967457</v>
      </c>
      <c r="I1593">
        <v>84.389344839578129</v>
      </c>
      <c r="J1593">
        <v>1404.0814038085937</v>
      </c>
      <c r="K1593">
        <v>1.3653511736642585</v>
      </c>
      <c r="L1593">
        <v>0</v>
      </c>
      <c r="M1593" t="str">
        <f>VLOOKUP(fact_daily_prices[[#This Row],[Ticker]], dim_company[], 2, FALSE)</f>
        <v>Reliance Industries</v>
      </c>
      <c r="N1593" t="str">
        <f>VLOOKUP(fact_daily_prices[[#This Row],[Ticker]], dim_company[], 3, FALSE)</f>
        <v>Energy &amp; Conglomerate</v>
      </c>
    </row>
    <row r="1594" spans="1:14" x14ac:dyDescent="0.3">
      <c r="A1594" s="1">
        <v>45604</v>
      </c>
      <c r="B1594">
        <v>1272.758544921875</v>
      </c>
      <c r="C1594">
        <v>1290.5053095001092</v>
      </c>
      <c r="D1594">
        <v>1264.0834623372079</v>
      </c>
      <c r="E1594">
        <v>1286.5395574614042</v>
      </c>
      <c r="F1594">
        <v>19814406</v>
      </c>
      <c r="G1594" s="2" t="s">
        <v>15</v>
      </c>
      <c r="H1594">
        <v>-1.6773186288664199</v>
      </c>
      <c r="I1594">
        <v>82.973866637805557</v>
      </c>
      <c r="J1594">
        <v>1399.3785180664063</v>
      </c>
      <c r="K1594">
        <v>1.3767696748757918</v>
      </c>
      <c r="L1594">
        <v>0</v>
      </c>
      <c r="M1594" t="str">
        <f>VLOOKUP(fact_daily_prices[[#This Row],[Ticker]], dim_company[], 2, FALSE)</f>
        <v>Reliance Industries</v>
      </c>
      <c r="N1594" t="str">
        <f>VLOOKUP(fact_daily_prices[[#This Row],[Ticker]], dim_company[], 3, FALSE)</f>
        <v>Energy &amp; Conglomerate</v>
      </c>
    </row>
    <row r="1595" spans="1:14" x14ac:dyDescent="0.3">
      <c r="A1595" s="1">
        <v>45607</v>
      </c>
      <c r="B1595">
        <v>1261.802978515625</v>
      </c>
      <c r="C1595">
        <v>1274.9891511168566</v>
      </c>
      <c r="D1595">
        <v>1256.151830843746</v>
      </c>
      <c r="E1595">
        <v>1267.9994654475693</v>
      </c>
      <c r="F1595">
        <v>9056552</v>
      </c>
      <c r="G1595" s="2" t="s">
        <v>15</v>
      </c>
      <c r="H1595">
        <v>-0.86077335327749971</v>
      </c>
      <c r="I1595">
        <v>82.259649703603316</v>
      </c>
      <c r="J1595">
        <v>1394.6805859374999</v>
      </c>
      <c r="K1595">
        <v>1.3017616180154525</v>
      </c>
      <c r="L1595">
        <v>0</v>
      </c>
      <c r="M1595" t="str">
        <f>VLOOKUP(fact_daily_prices[[#This Row],[Ticker]], dim_company[], 2, FALSE)</f>
        <v>Reliance Industries</v>
      </c>
      <c r="N1595" t="str">
        <f>VLOOKUP(fact_daily_prices[[#This Row],[Ticker]], dim_company[], 3, FALSE)</f>
        <v>Energy &amp; Conglomerate</v>
      </c>
    </row>
    <row r="1596" spans="1:14" x14ac:dyDescent="0.3">
      <c r="A1596" s="1">
        <v>45608</v>
      </c>
      <c r="B1596">
        <v>1263.33984375</v>
      </c>
      <c r="C1596">
        <v>1278.2610337323058</v>
      </c>
      <c r="D1596">
        <v>1256.6476373969983</v>
      </c>
      <c r="E1596">
        <v>1264.6287615317467</v>
      </c>
      <c r="F1596">
        <v>10671091</v>
      </c>
      <c r="G1596" s="2" t="s">
        <v>15</v>
      </c>
      <c r="H1596">
        <v>0.12179914460044294</v>
      </c>
      <c r="I1596">
        <v>82.359841253293638</v>
      </c>
      <c r="J1596">
        <v>1389.8820263671876</v>
      </c>
      <c r="K1596">
        <v>1.2067465309929677</v>
      </c>
      <c r="L1596">
        <v>0</v>
      </c>
      <c r="M1596" t="str">
        <f>VLOOKUP(fact_daily_prices[[#This Row],[Ticker]], dim_company[], 2, FALSE)</f>
        <v>Reliance Industries</v>
      </c>
      <c r="N1596" t="str">
        <f>VLOOKUP(fact_daily_prices[[#This Row],[Ticker]], dim_company[], 3, FALSE)</f>
        <v>Energy &amp; Conglomerate</v>
      </c>
    </row>
    <row r="1597" spans="1:14" x14ac:dyDescent="0.3">
      <c r="A1597" s="1">
        <v>45609</v>
      </c>
      <c r="B1597">
        <v>1241.3299560546875</v>
      </c>
      <c r="C1597">
        <v>1264.5295076822267</v>
      </c>
      <c r="D1597">
        <v>1238.8017408266169</v>
      </c>
      <c r="E1597">
        <v>1259.3740786594719</v>
      </c>
      <c r="F1597">
        <v>14633633</v>
      </c>
      <c r="G1597" s="2" t="s">
        <v>15</v>
      </c>
      <c r="H1597">
        <v>-1.7421984911027644</v>
      </c>
      <c r="I1597">
        <v>80.924969341704113</v>
      </c>
      <c r="J1597">
        <v>1384.7845483398437</v>
      </c>
      <c r="K1597">
        <v>1.2274023526111826</v>
      </c>
      <c r="L1597">
        <v>0</v>
      </c>
      <c r="M1597" t="str">
        <f>VLOOKUP(fact_daily_prices[[#This Row],[Ticker]], dim_company[], 2, FALSE)</f>
        <v>Reliance Industries</v>
      </c>
      <c r="N1597" t="str">
        <f>VLOOKUP(fact_daily_prices[[#This Row],[Ticker]], dim_company[], 3, FALSE)</f>
        <v>Energy &amp; Conglomerate</v>
      </c>
    </row>
    <row r="1598" spans="1:14" x14ac:dyDescent="0.3">
      <c r="A1598" s="1">
        <v>45610</v>
      </c>
      <c r="B1598">
        <v>1256.746826171875</v>
      </c>
      <c r="C1598">
        <v>1261.7040163358736</v>
      </c>
      <c r="D1598">
        <v>1240.3880986306799</v>
      </c>
      <c r="E1598">
        <v>1242.8666937126791</v>
      </c>
      <c r="F1598">
        <v>11513110</v>
      </c>
      <c r="G1598" s="2" t="s">
        <v>15</v>
      </c>
      <c r="H1598">
        <v>1.2419639147505102</v>
      </c>
      <c r="I1598">
        <v>81.930028258950998</v>
      </c>
      <c r="J1598">
        <v>1379.8878369140625</v>
      </c>
      <c r="K1598">
        <v>1.0840154684174808</v>
      </c>
      <c r="L1598">
        <v>0</v>
      </c>
      <c r="M1598" t="str">
        <f>VLOOKUP(fact_daily_prices[[#This Row],[Ticker]], dim_company[], 2, FALSE)</f>
        <v>Reliance Industries</v>
      </c>
      <c r="N1598" t="str">
        <f>VLOOKUP(fact_daily_prices[[#This Row],[Ticker]], dim_company[], 3, FALSE)</f>
        <v>Energy &amp; Conglomerate</v>
      </c>
    </row>
    <row r="1599" spans="1:14" x14ac:dyDescent="0.3">
      <c r="A1599" s="1">
        <v>45614</v>
      </c>
      <c r="B1599">
        <v>1249.9554443359375</v>
      </c>
      <c r="C1599">
        <v>1262.0014401044657</v>
      </c>
      <c r="D1599">
        <v>1233.2497384302701</v>
      </c>
      <c r="E1599">
        <v>1256.7467703539512</v>
      </c>
      <c r="F1599">
        <v>13620611</v>
      </c>
      <c r="G1599" s="2" t="s">
        <v>15</v>
      </c>
      <c r="H1599">
        <v>-0.54039379248916886</v>
      </c>
      <c r="I1599">
        <v>81.487283472054997</v>
      </c>
      <c r="J1599">
        <v>1375.2831030273437</v>
      </c>
      <c r="K1599">
        <v>1.0643551221598493</v>
      </c>
      <c r="L1599">
        <v>0</v>
      </c>
      <c r="M1599" t="str">
        <f>VLOOKUP(fact_daily_prices[[#This Row],[Ticker]], dim_company[], 2, FALSE)</f>
        <v>Reliance Industries</v>
      </c>
      <c r="N1599" t="str">
        <f>VLOOKUP(fact_daily_prices[[#This Row],[Ticker]], dim_company[], 3, FALSE)</f>
        <v>Energy &amp; Conglomerate</v>
      </c>
    </row>
    <row r="1600" spans="1:14" x14ac:dyDescent="0.3">
      <c r="A1600" s="1">
        <v>45615</v>
      </c>
      <c r="B1600">
        <v>1231.0189208984375</v>
      </c>
      <c r="C1600">
        <v>1270.5276979121372</v>
      </c>
      <c r="D1600">
        <v>1224.5745744010292</v>
      </c>
      <c r="E1600">
        <v>1249.9553610165642</v>
      </c>
      <c r="F1600">
        <v>14183746</v>
      </c>
      <c r="G1600" s="2" t="s">
        <v>15</v>
      </c>
      <c r="H1600">
        <v>-1.5149758756049403</v>
      </c>
      <c r="I1600">
        <v>80.252770785767552</v>
      </c>
      <c r="J1600">
        <v>1370.2996386718751</v>
      </c>
      <c r="K1600">
        <v>1.084834925686712</v>
      </c>
      <c r="L1600">
        <v>0</v>
      </c>
      <c r="M1600" t="str">
        <f>VLOOKUP(fact_daily_prices[[#This Row],[Ticker]], dim_company[], 2, FALSE)</f>
        <v>Reliance Industries</v>
      </c>
      <c r="N1600" t="str">
        <f>VLOOKUP(fact_daily_prices[[#This Row],[Ticker]], dim_company[], 3, FALSE)</f>
        <v>Energy &amp; Conglomerate</v>
      </c>
    </row>
    <row r="1601" spans="1:14" x14ac:dyDescent="0.3">
      <c r="A1601" s="1">
        <v>45617</v>
      </c>
      <c r="B1601">
        <v>1212.528564453125</v>
      </c>
      <c r="C1601">
        <v>1233.299140266532</v>
      </c>
      <c r="D1601">
        <v>1206.8277964681656</v>
      </c>
      <c r="E1601">
        <v>1231.0189056876295</v>
      </c>
      <c r="F1601">
        <v>19433843</v>
      </c>
      <c r="G1601" s="2" t="s">
        <v>15</v>
      </c>
      <c r="H1601">
        <v>-1.5020367381370248</v>
      </c>
      <c r="I1601">
        <v>79.047344685192428</v>
      </c>
      <c r="J1601">
        <v>1365.5516430664063</v>
      </c>
      <c r="K1601">
        <v>1.0820117924394879</v>
      </c>
      <c r="L1601">
        <v>0</v>
      </c>
      <c r="M1601" t="str">
        <f>VLOOKUP(fact_daily_prices[[#This Row],[Ticker]], dim_company[], 2, FALSE)</f>
        <v>Reliance Industries</v>
      </c>
      <c r="N1601" t="str">
        <f>VLOOKUP(fact_daily_prices[[#This Row],[Ticker]], dim_company[], 3, FALSE)</f>
        <v>Energy &amp; Conglomerate</v>
      </c>
    </row>
    <row r="1602" spans="1:14" x14ac:dyDescent="0.3">
      <c r="A1602" s="1">
        <v>45618</v>
      </c>
      <c r="B1602">
        <v>1254.565673828125</v>
      </c>
      <c r="C1602">
        <v>1257.9860865301257</v>
      </c>
      <c r="D1602">
        <v>1211.9833389629089</v>
      </c>
      <c r="E1602">
        <v>1218.8739057022899</v>
      </c>
      <c r="F1602">
        <v>20471957</v>
      </c>
      <c r="G1602" s="2" t="s">
        <v>15</v>
      </c>
      <c r="H1602">
        <v>3.4668964185565088</v>
      </c>
      <c r="I1602">
        <v>81.787834247047371</v>
      </c>
      <c r="J1602">
        <v>1361.6627294921875</v>
      </c>
      <c r="K1602">
        <v>1.2718959718580907</v>
      </c>
      <c r="L1602">
        <v>0</v>
      </c>
      <c r="M1602" t="str">
        <f>VLOOKUP(fact_daily_prices[[#This Row],[Ticker]], dim_company[], 2, FALSE)</f>
        <v>Reliance Industries</v>
      </c>
      <c r="N1602" t="str">
        <f>VLOOKUP(fact_daily_prices[[#This Row],[Ticker]], dim_company[], 3, FALSE)</f>
        <v>Energy &amp; Conglomerate</v>
      </c>
    </row>
    <row r="1603" spans="1:14" x14ac:dyDescent="0.3">
      <c r="A1603" s="1">
        <v>45621</v>
      </c>
      <c r="B1603">
        <v>1275.9805908203125</v>
      </c>
      <c r="C1603">
        <v>1293.2811339485756</v>
      </c>
      <c r="D1603">
        <v>1271.4694999174592</v>
      </c>
      <c r="E1603">
        <v>1278.9549045518283</v>
      </c>
      <c r="F1603">
        <v>28923341</v>
      </c>
      <c r="G1603" s="2" t="s">
        <v>15</v>
      </c>
      <c r="H1603">
        <v>1.7069586263143144</v>
      </c>
      <c r="I1603">
        <v>83.183918739003005</v>
      </c>
      <c r="J1603">
        <v>1358.4008984375</v>
      </c>
      <c r="K1603">
        <v>1.3220205369067697</v>
      </c>
      <c r="L1603">
        <v>0</v>
      </c>
      <c r="M1603" t="str">
        <f>VLOOKUP(fact_daily_prices[[#This Row],[Ticker]], dim_company[], 2, FALSE)</f>
        <v>Reliance Industries</v>
      </c>
      <c r="N1603" t="str">
        <f>VLOOKUP(fact_daily_prices[[#This Row],[Ticker]], dim_company[], 3, FALSE)</f>
        <v>Energy &amp; Conglomerate</v>
      </c>
    </row>
    <row r="1604" spans="1:14" x14ac:dyDescent="0.3">
      <c r="A1604" s="1">
        <v>45622</v>
      </c>
      <c r="B1604">
        <v>1284.6060791015625</v>
      </c>
      <c r="C1604">
        <v>1286.7376948587628</v>
      </c>
      <c r="D1604">
        <v>1273.2045428922677</v>
      </c>
      <c r="E1604">
        <v>1283.8625006531302</v>
      </c>
      <c r="F1604">
        <v>9247557</v>
      </c>
      <c r="G1604" s="2" t="s">
        <v>15</v>
      </c>
      <c r="H1604">
        <v>0.67598898786578321</v>
      </c>
      <c r="I1604">
        <v>83.746232869353875</v>
      </c>
      <c r="J1604">
        <v>1354.7504223632814</v>
      </c>
      <c r="K1604">
        <v>1.3308792906887501</v>
      </c>
      <c r="L1604">
        <v>0</v>
      </c>
      <c r="M1604" t="str">
        <f>VLOOKUP(fact_daily_prices[[#This Row],[Ticker]], dim_company[], 2, FALSE)</f>
        <v>Reliance Industries</v>
      </c>
      <c r="N1604" t="str">
        <f>VLOOKUP(fact_daily_prices[[#This Row],[Ticker]], dim_company[], 3, FALSE)</f>
        <v>Energy &amp; Conglomerate</v>
      </c>
    </row>
    <row r="1605" spans="1:14" x14ac:dyDescent="0.3">
      <c r="A1605" s="1">
        <v>45623</v>
      </c>
      <c r="B1605">
        <v>1282.1275634765625</v>
      </c>
      <c r="C1605">
        <v>1292.6864023015985</v>
      </c>
      <c r="D1605">
        <v>1274.9892583407009</v>
      </c>
      <c r="E1605">
        <v>1282.4250432843671</v>
      </c>
      <c r="F1605">
        <v>9572746</v>
      </c>
      <c r="G1605" s="2" t="s">
        <v>15</v>
      </c>
      <c r="H1605">
        <v>-0.19293973968529388</v>
      </c>
      <c r="I1605">
        <v>83.584653105659513</v>
      </c>
      <c r="J1605">
        <v>1351.192646484375</v>
      </c>
      <c r="K1605">
        <v>1.3302700539809929</v>
      </c>
      <c r="L1605">
        <v>0</v>
      </c>
      <c r="M1605" t="str">
        <f>VLOOKUP(fact_daily_prices[[#This Row],[Ticker]], dim_company[], 2, FALSE)</f>
        <v>Reliance Industries</v>
      </c>
      <c r="N1605" t="str">
        <f>VLOOKUP(fact_daily_prices[[#This Row],[Ticker]], dim_company[], 3, FALSE)</f>
        <v>Energy &amp; Conglomerate</v>
      </c>
    </row>
    <row r="1606" spans="1:14" x14ac:dyDescent="0.3">
      <c r="A1606" s="1">
        <v>45624</v>
      </c>
      <c r="B1606">
        <v>1259.91943359375</v>
      </c>
      <c r="C1606">
        <v>1285.4984608667178</v>
      </c>
      <c r="D1606">
        <v>1258.1844171284749</v>
      </c>
      <c r="E1606">
        <v>1278.905374093644</v>
      </c>
      <c r="F1606">
        <v>15027412</v>
      </c>
      <c r="G1606" s="2" t="s">
        <v>15</v>
      </c>
      <c r="H1606">
        <v>-1.732131069906484</v>
      </c>
      <c r="I1606">
        <v>82.13685735954283</v>
      </c>
      <c r="J1606">
        <v>1347.2159912109375</v>
      </c>
      <c r="K1606">
        <v>1.3148252140561694</v>
      </c>
      <c r="L1606">
        <v>0</v>
      </c>
      <c r="M1606" t="str">
        <f>VLOOKUP(fact_daily_prices[[#This Row],[Ticker]], dim_company[], 2, FALSE)</f>
        <v>Reliance Industries</v>
      </c>
      <c r="N1606" t="str">
        <f>VLOOKUP(fact_daily_prices[[#This Row],[Ticker]], dim_company[], 3, FALSE)</f>
        <v>Energy &amp; Conglomerate</v>
      </c>
    </row>
    <row r="1607" spans="1:14" x14ac:dyDescent="0.3">
      <c r="A1607" s="1">
        <v>45625</v>
      </c>
      <c r="B1607">
        <v>1281.1361083984375</v>
      </c>
      <c r="C1607">
        <v>1288.3736540571424</v>
      </c>
      <c r="D1607">
        <v>1264.3312830599236</v>
      </c>
      <c r="E1607">
        <v>1269.0406134614409</v>
      </c>
      <c r="F1607">
        <v>13202307</v>
      </c>
      <c r="G1607" s="2" t="s">
        <v>15</v>
      </c>
      <c r="H1607">
        <v>1.6839707555085237</v>
      </c>
      <c r="I1607">
        <v>83.520018016971292</v>
      </c>
      <c r="J1607">
        <v>1343.6448291015624</v>
      </c>
      <c r="K1607">
        <v>1.3482469178730425</v>
      </c>
      <c r="L1607">
        <v>0</v>
      </c>
      <c r="M1607" t="str">
        <f>VLOOKUP(fact_daily_prices[[#This Row],[Ticker]], dim_company[], 2, FALSE)</f>
        <v>Reliance Industries</v>
      </c>
      <c r="N1607" t="str">
        <f>VLOOKUP(fact_daily_prices[[#This Row],[Ticker]], dim_company[], 3, FALSE)</f>
        <v>Energy &amp; Conglomerate</v>
      </c>
    </row>
    <row r="1608" spans="1:14" x14ac:dyDescent="0.3">
      <c r="A1608" s="1">
        <v>45628</v>
      </c>
      <c r="B1608">
        <v>1297.9410400390625</v>
      </c>
      <c r="C1608">
        <v>1300.1221551586505</v>
      </c>
      <c r="D1608">
        <v>1266.1159054706329</v>
      </c>
      <c r="E1608">
        <v>1276.9721028104004</v>
      </c>
      <c r="F1608">
        <v>11024152</v>
      </c>
      <c r="G1608" s="2" t="s">
        <v>15</v>
      </c>
      <c r="H1608">
        <v>1.3117210209329766</v>
      </c>
      <c r="I1608">
        <v>84.615567649986914</v>
      </c>
      <c r="J1608">
        <v>1340.5852514648439</v>
      </c>
      <c r="K1608">
        <v>1.373358450552997</v>
      </c>
      <c r="L1608">
        <v>0</v>
      </c>
      <c r="M1608" t="str">
        <f>VLOOKUP(fact_daily_prices[[#This Row],[Ticker]], dim_company[], 2, FALSE)</f>
        <v>Reliance Industries</v>
      </c>
      <c r="N1608" t="str">
        <f>VLOOKUP(fact_daily_prices[[#This Row],[Ticker]], dim_company[], 3, FALSE)</f>
        <v>Energy &amp; Conglomerate</v>
      </c>
    </row>
    <row r="1609" spans="1:14" x14ac:dyDescent="0.3">
      <c r="A1609" s="1">
        <v>45629</v>
      </c>
      <c r="B1609">
        <v>1311.969970703125</v>
      </c>
      <c r="C1609">
        <v>1315.4400037478051</v>
      </c>
      <c r="D1609">
        <v>1295.8094826849822</v>
      </c>
      <c r="E1609">
        <v>1305.7238628126408</v>
      </c>
      <c r="F1609">
        <v>16869482</v>
      </c>
      <c r="G1609" s="2" t="s">
        <v>15</v>
      </c>
      <c r="H1609">
        <v>1.0808603959113761</v>
      </c>
      <c r="I1609">
        <v>85.530143809491221</v>
      </c>
      <c r="J1609">
        <v>1337.6828173828126</v>
      </c>
      <c r="K1609">
        <v>1.3894307337917124</v>
      </c>
      <c r="L1609">
        <v>0</v>
      </c>
      <c r="M1609" t="str">
        <f>VLOOKUP(fact_daily_prices[[#This Row],[Ticker]], dim_company[], 2, FALSE)</f>
        <v>Reliance Industries</v>
      </c>
      <c r="N1609" t="str">
        <f>VLOOKUP(fact_daily_prices[[#This Row],[Ticker]], dim_company[], 3, FALSE)</f>
        <v>Energy &amp; Conglomerate</v>
      </c>
    </row>
    <row r="1610" spans="1:14" x14ac:dyDescent="0.3">
      <c r="A1610" s="1">
        <v>45630</v>
      </c>
      <c r="B1610">
        <v>1297.74267578125</v>
      </c>
      <c r="C1610">
        <v>1317.0262168141671</v>
      </c>
      <c r="D1610">
        <v>1292.8847265732211</v>
      </c>
      <c r="E1610">
        <v>1314.6467414933138</v>
      </c>
      <c r="F1610">
        <v>19608540</v>
      </c>
      <c r="G1610" s="2" t="s">
        <v>15</v>
      </c>
      <c r="H1610">
        <v>-1.0844222992581254</v>
      </c>
      <c r="I1610">
        <v>84.602635857433555</v>
      </c>
      <c r="J1610">
        <v>1334.1736206054688</v>
      </c>
      <c r="K1610">
        <v>1.3924744189312026</v>
      </c>
      <c r="L1610">
        <v>0</v>
      </c>
      <c r="M1610" t="str">
        <f>VLOOKUP(fact_daily_prices[[#This Row],[Ticker]], dim_company[], 2, FALSE)</f>
        <v>Reliance Industries</v>
      </c>
      <c r="N1610" t="str">
        <f>VLOOKUP(fact_daily_prices[[#This Row],[Ticker]], dim_company[], 3, FALSE)</f>
        <v>Energy &amp; Conglomerate</v>
      </c>
    </row>
    <row r="1611" spans="1:14" x14ac:dyDescent="0.3">
      <c r="A1611" s="1">
        <v>45631</v>
      </c>
      <c r="B1611">
        <v>1310.7305908203125</v>
      </c>
      <c r="C1611">
        <v>1318.5628538088615</v>
      </c>
      <c r="D1611">
        <v>1294.9667032029149</v>
      </c>
      <c r="E1611">
        <v>1303.0964459866591</v>
      </c>
      <c r="F1611">
        <v>16858723</v>
      </c>
      <c r="G1611" s="2" t="s">
        <v>15</v>
      </c>
      <c r="H1611">
        <v>1.0008081942164404</v>
      </c>
      <c r="I1611">
        <v>85.449345969617852</v>
      </c>
      <c r="J1611">
        <v>1330.7764575195313</v>
      </c>
      <c r="K1611">
        <v>1.367121421476978</v>
      </c>
      <c r="L1611">
        <v>0</v>
      </c>
      <c r="M1611" t="str">
        <f>VLOOKUP(fact_daily_prices[[#This Row],[Ticker]], dim_company[], 2, FALSE)</f>
        <v>Reliance Industries</v>
      </c>
      <c r="N1611" t="str">
        <f>VLOOKUP(fact_daily_prices[[#This Row],[Ticker]], dim_company[], 3, FALSE)</f>
        <v>Energy &amp; Conglomerate</v>
      </c>
    </row>
    <row r="1612" spans="1:14" x14ac:dyDescent="0.3">
      <c r="A1612" s="1">
        <v>45632</v>
      </c>
      <c r="B1612">
        <v>1300.320556640625</v>
      </c>
      <c r="C1612">
        <v>1312.564791729292</v>
      </c>
      <c r="D1612">
        <v>1298.7837793313574</v>
      </c>
      <c r="E1612">
        <v>1312.564791729292</v>
      </c>
      <c r="F1612">
        <v>9037514</v>
      </c>
      <c r="G1612" s="2" t="s">
        <v>15</v>
      </c>
      <c r="H1612">
        <v>-0.79421616101692516</v>
      </c>
      <c r="I1612">
        <v>84.770693454443887</v>
      </c>
      <c r="J1612">
        <v>1327.2504101562499</v>
      </c>
      <c r="K1612">
        <v>1.3728723174279212</v>
      </c>
      <c r="L1612">
        <v>0</v>
      </c>
      <c r="M1612" t="str">
        <f>VLOOKUP(fact_daily_prices[[#This Row],[Ticker]], dim_company[], 2, FALSE)</f>
        <v>Reliance Industries</v>
      </c>
      <c r="N1612" t="str">
        <f>VLOOKUP(fact_daily_prices[[#This Row],[Ticker]], dim_company[], 3, FALSE)</f>
        <v>Energy &amp; Conglomerate</v>
      </c>
    </row>
    <row r="1613" spans="1:14" x14ac:dyDescent="0.3">
      <c r="A1613" s="1">
        <v>45635</v>
      </c>
      <c r="B1613">
        <v>1284.0609130859375</v>
      </c>
      <c r="C1613">
        <v>1303.7409326166044</v>
      </c>
      <c r="D1613">
        <v>1282.0284168341586</v>
      </c>
      <c r="E1613">
        <v>1291.8436769577456</v>
      </c>
      <c r="F1613">
        <v>14650002</v>
      </c>
      <c r="G1613" s="2" t="s">
        <v>15</v>
      </c>
      <c r="H1613">
        <v>-1.2504334774722237</v>
      </c>
      <c r="I1613">
        <v>83.710692324404164</v>
      </c>
      <c r="J1613">
        <v>1323.3084545898437</v>
      </c>
      <c r="K1613">
        <v>1.3895497701846806</v>
      </c>
      <c r="L1613">
        <v>0</v>
      </c>
      <c r="M1613" t="str">
        <f>VLOOKUP(fact_daily_prices[[#This Row],[Ticker]], dim_company[], 2, FALSE)</f>
        <v>Reliance Industries</v>
      </c>
      <c r="N1613" t="str">
        <f>VLOOKUP(fact_daily_prices[[#This Row],[Ticker]], dim_company[], 3, FALSE)</f>
        <v>Energy &amp; Conglomerate</v>
      </c>
    </row>
    <row r="1614" spans="1:14" x14ac:dyDescent="0.3">
      <c r="A1614" s="1">
        <v>45636</v>
      </c>
      <c r="B1614">
        <v>1273.8489990234375</v>
      </c>
      <c r="C1614">
        <v>1283.8129986211379</v>
      </c>
      <c r="D1614">
        <v>1269.238788448007</v>
      </c>
      <c r="E1614">
        <v>1278.2113501165884</v>
      </c>
      <c r="F1614">
        <v>16043729</v>
      </c>
      <c r="G1614" s="2" t="s">
        <v>15</v>
      </c>
      <c r="H1614">
        <v>-0.79528268156361381</v>
      </c>
      <c r="I1614">
        <v>83.044955685731182</v>
      </c>
      <c r="J1614">
        <v>1319.0829443359376</v>
      </c>
      <c r="K1614">
        <v>1.3877697566047245</v>
      </c>
      <c r="L1614">
        <v>0</v>
      </c>
      <c r="M1614" t="str">
        <f>VLOOKUP(fact_daily_prices[[#This Row],[Ticker]], dim_company[], 2, FALSE)</f>
        <v>Reliance Industries</v>
      </c>
      <c r="N1614" t="str">
        <f>VLOOKUP(fact_daily_prices[[#This Row],[Ticker]], dim_company[], 3, FALSE)</f>
        <v>Energy &amp; Conglomerate</v>
      </c>
    </row>
    <row r="1615" spans="1:14" x14ac:dyDescent="0.3">
      <c r="A1615" s="1">
        <v>45637</v>
      </c>
      <c r="B1615">
        <v>1267.2559814453125</v>
      </c>
      <c r="C1615">
        <v>1278.9549980546296</v>
      </c>
      <c r="D1615">
        <v>1265.1244866020038</v>
      </c>
      <c r="E1615">
        <v>1273.9978081396894</v>
      </c>
      <c r="F1615">
        <v>11724373</v>
      </c>
      <c r="G1615" s="2" t="s">
        <v>15</v>
      </c>
      <c r="H1615">
        <v>-0.51756664904391014</v>
      </c>
      <c r="I1615">
        <v>82.615142691388542</v>
      </c>
      <c r="J1615">
        <v>1314.1659057617187</v>
      </c>
      <c r="K1615">
        <v>1.3896945773772309</v>
      </c>
      <c r="L1615">
        <v>0</v>
      </c>
      <c r="M1615" t="str">
        <f>VLOOKUP(fact_daily_prices[[#This Row],[Ticker]], dim_company[], 2, FALSE)</f>
        <v>Reliance Industries</v>
      </c>
      <c r="N1615" t="str">
        <f>VLOOKUP(fact_daily_prices[[#This Row],[Ticker]], dim_company[], 3, FALSE)</f>
        <v>Energy &amp; Conglomerate</v>
      </c>
    </row>
    <row r="1616" spans="1:14" x14ac:dyDescent="0.3">
      <c r="A1616" s="1">
        <v>45638</v>
      </c>
      <c r="B1616">
        <v>1252.0870361328125</v>
      </c>
      <c r="C1616">
        <v>1267.2559644540599</v>
      </c>
      <c r="D1616">
        <v>1249.8066803924569</v>
      </c>
      <c r="E1616">
        <v>1259.1262215126185</v>
      </c>
      <c r="F1616">
        <v>20906813</v>
      </c>
      <c r="G1616" s="2" t="s">
        <v>15</v>
      </c>
      <c r="H1616">
        <v>-1.1969914156727657</v>
      </c>
      <c r="I1616">
        <v>81.62624652532682</v>
      </c>
      <c r="J1616">
        <v>1309.9289965820312</v>
      </c>
      <c r="K1616">
        <v>1.3890735967742129</v>
      </c>
      <c r="L1616">
        <v>0</v>
      </c>
      <c r="M1616" t="str">
        <f>VLOOKUP(fact_daily_prices[[#This Row],[Ticker]], dim_company[], 2, FALSE)</f>
        <v>Reliance Industries</v>
      </c>
      <c r="N1616" t="str">
        <f>VLOOKUP(fact_daily_prices[[#This Row],[Ticker]], dim_company[], 3, FALSE)</f>
        <v>Energy &amp; Conglomerate</v>
      </c>
    </row>
    <row r="1617" spans="1:14" x14ac:dyDescent="0.3">
      <c r="A1617" s="1">
        <v>45639</v>
      </c>
      <c r="B1617">
        <v>1261.9517822265625</v>
      </c>
      <c r="C1617">
        <v>1264.2816372257721</v>
      </c>
      <c r="D1617">
        <v>1228.9864700814942</v>
      </c>
      <c r="E1617">
        <v>1249.2118286552261</v>
      </c>
      <c r="F1617">
        <v>28630222</v>
      </c>
      <c r="G1617" s="2" t="s">
        <v>15</v>
      </c>
      <c r="H1617">
        <v>0.78786424657970588</v>
      </c>
      <c r="I1617">
        <v>82.269350537524872</v>
      </c>
      <c r="J1617">
        <v>1306.1223706054689</v>
      </c>
      <c r="K1617">
        <v>1.3979155106311592</v>
      </c>
      <c r="L1617">
        <v>0</v>
      </c>
      <c r="M1617" t="str">
        <f>VLOOKUP(fact_daily_prices[[#This Row],[Ticker]], dim_company[], 2, FALSE)</f>
        <v>Reliance Industries</v>
      </c>
      <c r="N1617" t="str">
        <f>VLOOKUP(fact_daily_prices[[#This Row],[Ticker]], dim_company[], 3, FALSE)</f>
        <v>Energy &amp; Conglomerate</v>
      </c>
    </row>
    <row r="1618" spans="1:14" x14ac:dyDescent="0.3">
      <c r="A1618" s="1">
        <v>45642</v>
      </c>
      <c r="B1618">
        <v>1257.4407958984375</v>
      </c>
      <c r="C1618">
        <v>1270.032009408355</v>
      </c>
      <c r="D1618">
        <v>1255.7057794921418</v>
      </c>
      <c r="E1618">
        <v>1264.0833817296273</v>
      </c>
      <c r="F1618">
        <v>9486781</v>
      </c>
      <c r="G1618" s="2" t="s">
        <v>15</v>
      </c>
      <c r="H1618">
        <v>-0.35746106877125872</v>
      </c>
      <c r="I1618">
        <v>81.975269637822265</v>
      </c>
      <c r="J1618">
        <v>1303.3726171875001</v>
      </c>
      <c r="K1618">
        <v>1.391994165916137</v>
      </c>
      <c r="L1618">
        <v>0</v>
      </c>
      <c r="M1618" t="str">
        <f>VLOOKUP(fact_daily_prices[[#This Row],[Ticker]], dim_company[], 2, FALSE)</f>
        <v>Reliance Industries</v>
      </c>
      <c r="N1618" t="str">
        <f>VLOOKUP(fact_daily_prices[[#This Row],[Ticker]], dim_company[], 3, FALSE)</f>
        <v>Energy &amp; Conglomerate</v>
      </c>
    </row>
    <row r="1619" spans="1:14" x14ac:dyDescent="0.3">
      <c r="A1619" s="1">
        <v>45643</v>
      </c>
      <c r="B1619">
        <v>1234.6378173828125</v>
      </c>
      <c r="C1619">
        <v>1253.0785403896136</v>
      </c>
      <c r="D1619">
        <v>1232.1592223274588</v>
      </c>
      <c r="E1619">
        <v>1250.2529662315403</v>
      </c>
      <c r="F1619">
        <v>17462791</v>
      </c>
      <c r="G1619" s="2" t="s">
        <v>15</v>
      </c>
      <c r="H1619">
        <v>-1.8134435108201119</v>
      </c>
      <c r="I1619">
        <v>80.488694430097894</v>
      </c>
      <c r="J1619">
        <v>1300.5723022460938</v>
      </c>
      <c r="K1619">
        <v>1.4184259173056208</v>
      </c>
      <c r="L1619">
        <v>0</v>
      </c>
      <c r="M1619" t="str">
        <f>VLOOKUP(fact_daily_prices[[#This Row],[Ticker]], dim_company[], 2, FALSE)</f>
        <v>Reliance Industries</v>
      </c>
      <c r="N1619" t="str">
        <f>VLOOKUP(fact_daily_prices[[#This Row],[Ticker]], dim_company[], 3, FALSE)</f>
        <v>Energy &amp; Conglomerate</v>
      </c>
    </row>
    <row r="1620" spans="1:14" x14ac:dyDescent="0.3">
      <c r="A1620" s="1">
        <v>45644</v>
      </c>
      <c r="B1620">
        <v>1234.6378173828125</v>
      </c>
      <c r="C1620">
        <v>1249.1622394023721</v>
      </c>
      <c r="D1620">
        <v>1230.0275589282251</v>
      </c>
      <c r="E1620">
        <v>1230.0275589282251</v>
      </c>
      <c r="F1620">
        <v>12670179</v>
      </c>
      <c r="G1620" s="2" t="s">
        <v>15</v>
      </c>
      <c r="H1620">
        <v>0</v>
      </c>
      <c r="I1620">
        <v>80.488694430097894</v>
      </c>
      <c r="J1620">
        <v>1297.7719873046874</v>
      </c>
      <c r="K1620">
        <v>1.3380789206313008</v>
      </c>
      <c r="L1620">
        <v>0</v>
      </c>
      <c r="M1620" t="str">
        <f>VLOOKUP(fact_daily_prices[[#This Row],[Ticker]], dim_company[], 2, FALSE)</f>
        <v>Reliance Industries</v>
      </c>
      <c r="N1620" t="str">
        <f>VLOOKUP(fact_daily_prices[[#This Row],[Ticker]], dim_company[], 3, FALSE)</f>
        <v>Energy &amp; Conglomerate</v>
      </c>
    </row>
    <row r="1621" spans="1:14" x14ac:dyDescent="0.3">
      <c r="A1621" s="1">
        <v>45645</v>
      </c>
      <c r="B1621">
        <v>1219.914794921875</v>
      </c>
      <c r="C1621">
        <v>1234.2411461229626</v>
      </c>
      <c r="D1621">
        <v>1218.4772582835096</v>
      </c>
      <c r="E1621">
        <v>1228.3916379278016</v>
      </c>
      <c r="F1621">
        <v>14244653</v>
      </c>
      <c r="G1621" s="2" t="s">
        <v>15</v>
      </c>
      <c r="H1621">
        <v>-1.192497285734162</v>
      </c>
      <c r="I1621">
        <v>79.528868933696117</v>
      </c>
      <c r="J1621">
        <v>1294.4625659179687</v>
      </c>
      <c r="K1621">
        <v>1.3495376208618488</v>
      </c>
      <c r="L1621">
        <v>0</v>
      </c>
      <c r="M1621" t="str">
        <f>VLOOKUP(fact_daily_prices[[#This Row],[Ticker]], dim_company[], 2, FALSE)</f>
        <v>Reliance Industries</v>
      </c>
      <c r="N1621" t="str">
        <f>VLOOKUP(fact_daily_prices[[#This Row],[Ticker]], dim_company[], 3, FALSE)</f>
        <v>Energy &amp; Conglomerate</v>
      </c>
    </row>
    <row r="1622" spans="1:14" x14ac:dyDescent="0.3">
      <c r="A1622" s="1">
        <v>45646</v>
      </c>
      <c r="B1622">
        <v>1194.9803466796875</v>
      </c>
      <c r="C1622">
        <v>1228.8874800507767</v>
      </c>
      <c r="D1622">
        <v>1191.2128336272758</v>
      </c>
      <c r="E1622">
        <v>1213.5201900622435</v>
      </c>
      <c r="F1622">
        <v>20312896</v>
      </c>
      <c r="G1622" s="2" t="s">
        <v>15</v>
      </c>
      <c r="H1622">
        <v>-2.0439499828989516</v>
      </c>
      <c r="I1622">
        <v>77.903338630726097</v>
      </c>
      <c r="J1622">
        <v>1291.1055590820313</v>
      </c>
      <c r="K1622">
        <v>1.3501233842935625</v>
      </c>
      <c r="L1622">
        <v>0</v>
      </c>
      <c r="M1622" t="str">
        <f>VLOOKUP(fact_daily_prices[[#This Row],[Ticker]], dim_company[], 2, FALSE)</f>
        <v>Reliance Industries</v>
      </c>
      <c r="N1622" t="str">
        <f>VLOOKUP(fact_daily_prices[[#This Row],[Ticker]], dim_company[], 3, FALSE)</f>
        <v>Energy &amp; Conglomerate</v>
      </c>
    </row>
    <row r="1623" spans="1:14" x14ac:dyDescent="0.3">
      <c r="A1623" s="1">
        <v>45649</v>
      </c>
      <c r="B1623">
        <v>1211.834716796875</v>
      </c>
      <c r="C1623">
        <v>1216.6926661807136</v>
      </c>
      <c r="D1623">
        <v>1202.8125341694108</v>
      </c>
      <c r="E1623">
        <v>1204.5971709809228</v>
      </c>
      <c r="F1623">
        <v>10052824</v>
      </c>
      <c r="G1623" s="2" t="s">
        <v>15</v>
      </c>
      <c r="H1623">
        <v>1.4104307375446101</v>
      </c>
      <c r="I1623">
        <v>79.002111264347334</v>
      </c>
      <c r="J1623">
        <v>1288.1560327148438</v>
      </c>
      <c r="K1623">
        <v>1.3663734190573147</v>
      </c>
      <c r="L1623">
        <v>0</v>
      </c>
      <c r="M1623" t="str">
        <f>VLOOKUP(fact_daily_prices[[#This Row],[Ticker]], dim_company[], 2, FALSE)</f>
        <v>Reliance Industries</v>
      </c>
      <c r="N1623" t="str">
        <f>VLOOKUP(fact_daily_prices[[#This Row],[Ticker]], dim_company[], 3, FALSE)</f>
        <v>Energy &amp; Conglomerate</v>
      </c>
    </row>
    <row r="1624" spans="1:14" x14ac:dyDescent="0.3">
      <c r="A1624" s="1">
        <v>45650</v>
      </c>
      <c r="B1624">
        <v>1212.2808837890625</v>
      </c>
      <c r="C1624">
        <v>1222.988463211123</v>
      </c>
      <c r="D1624">
        <v>1210.5458671898959</v>
      </c>
      <c r="E1624">
        <v>1211.8347850736238</v>
      </c>
      <c r="F1624">
        <v>6734917</v>
      </c>
      <c r="G1624" s="2" t="s">
        <v>15</v>
      </c>
      <c r="H1624">
        <v>3.6817478984829677E-2</v>
      </c>
      <c r="I1624">
        <v>79.031197850059641</v>
      </c>
      <c r="J1624">
        <v>1285.194609375</v>
      </c>
      <c r="K1624">
        <v>1.3384824824345471</v>
      </c>
      <c r="L1624">
        <v>0</v>
      </c>
      <c r="M1624" t="str">
        <f>VLOOKUP(fact_daily_prices[[#This Row],[Ticker]], dim_company[], 2, FALSE)</f>
        <v>Reliance Industries</v>
      </c>
      <c r="N1624" t="str">
        <f>VLOOKUP(fact_daily_prices[[#This Row],[Ticker]], dim_company[], 3, FALSE)</f>
        <v>Energy &amp; Conglomerate</v>
      </c>
    </row>
    <row r="1625" spans="1:14" x14ac:dyDescent="0.3">
      <c r="A1625" s="1">
        <v>45652</v>
      </c>
      <c r="B1625">
        <v>1206.1339111328125</v>
      </c>
      <c r="C1625">
        <v>1217.1883476811242</v>
      </c>
      <c r="D1625">
        <v>1203.8535553911518</v>
      </c>
      <c r="E1625">
        <v>1213.767935093776</v>
      </c>
      <c r="F1625">
        <v>10016178</v>
      </c>
      <c r="G1625" s="2" t="s">
        <v>15</v>
      </c>
      <c r="H1625">
        <v>-0.50705844977422254</v>
      </c>
      <c r="I1625">
        <v>78.630463483403133</v>
      </c>
      <c r="J1625">
        <v>1282.1018188476562</v>
      </c>
      <c r="K1625">
        <v>1.3335865275450862</v>
      </c>
      <c r="L1625">
        <v>0</v>
      </c>
      <c r="M1625" t="str">
        <f>VLOOKUP(fact_daily_prices[[#This Row],[Ticker]], dim_company[], 2, FALSE)</f>
        <v>Reliance Industries</v>
      </c>
      <c r="N1625" t="str">
        <f>VLOOKUP(fact_daily_prices[[#This Row],[Ticker]], dim_company[], 3, FALSE)</f>
        <v>Energy &amp; Conglomerate</v>
      </c>
    </row>
    <row r="1626" spans="1:14" x14ac:dyDescent="0.3">
      <c r="A1626" s="1">
        <v>45653</v>
      </c>
      <c r="B1626">
        <v>1210.595458984375</v>
      </c>
      <c r="C1626">
        <v>1217.3867853075249</v>
      </c>
      <c r="D1626">
        <v>1206.5800865394056</v>
      </c>
      <c r="E1626">
        <v>1207.86900439277</v>
      </c>
      <c r="F1626">
        <v>7000397</v>
      </c>
      <c r="G1626" s="2" t="s">
        <v>15</v>
      </c>
      <c r="H1626">
        <v>0.36990485139185569</v>
      </c>
      <c r="I1626">
        <v>78.921321382500139</v>
      </c>
      <c r="J1626">
        <v>1279.66337890625</v>
      </c>
      <c r="K1626">
        <v>1.3360441971727837</v>
      </c>
      <c r="L1626">
        <v>0</v>
      </c>
      <c r="M1626" t="str">
        <f>VLOOKUP(fact_daily_prices[[#This Row],[Ticker]], dim_company[], 2, FALSE)</f>
        <v>Reliance Industries</v>
      </c>
      <c r="N1626" t="str">
        <f>VLOOKUP(fact_daily_prices[[#This Row],[Ticker]], dim_company[], 3, FALSE)</f>
        <v>Energy &amp; Conglomerate</v>
      </c>
    </row>
    <row r="1627" spans="1:14" x14ac:dyDescent="0.3">
      <c r="A1627" s="1">
        <v>45656</v>
      </c>
      <c r="B1627">
        <v>1200.3338623046875</v>
      </c>
      <c r="C1627">
        <v>1212.7268365212019</v>
      </c>
      <c r="D1627">
        <v>1197.7561478726802</v>
      </c>
      <c r="E1627">
        <v>1205.9851311625014</v>
      </c>
      <c r="F1627">
        <v>8818766</v>
      </c>
      <c r="G1627" s="2" t="s">
        <v>15</v>
      </c>
      <c r="H1627">
        <v>-0.84764870077213006</v>
      </c>
      <c r="I1627">
        <v>78.252345827169179</v>
      </c>
      <c r="J1627">
        <v>1276.8204296875001</v>
      </c>
      <c r="K1627">
        <v>1.3086023285726462</v>
      </c>
      <c r="L1627">
        <v>0</v>
      </c>
      <c r="M1627" t="str">
        <f>VLOOKUP(fact_daily_prices[[#This Row],[Ticker]], dim_company[], 2, FALSE)</f>
        <v>Reliance Industries</v>
      </c>
      <c r="N1627" t="str">
        <f>VLOOKUP(fact_daily_prices[[#This Row],[Ticker]], dim_company[], 3, FALSE)</f>
        <v>Energy &amp; Conglomerate</v>
      </c>
    </row>
    <row r="1628" spans="1:14" x14ac:dyDescent="0.3">
      <c r="A1628" s="1">
        <v>45657</v>
      </c>
      <c r="B1628">
        <v>1205.043212890625</v>
      </c>
      <c r="C1628">
        <v>1208.6619856280877</v>
      </c>
      <c r="D1628">
        <v>1195.8229125326573</v>
      </c>
      <c r="E1628">
        <v>1197.6570485426987</v>
      </c>
      <c r="F1628">
        <v>6405475</v>
      </c>
      <c r="G1628" s="2" t="s">
        <v>15</v>
      </c>
      <c r="H1628">
        <v>0.39233672679159781</v>
      </c>
      <c r="I1628">
        <v>78.559358519425146</v>
      </c>
      <c r="J1628">
        <v>1274.0250683593749</v>
      </c>
      <c r="K1628">
        <v>1.2875001010843226</v>
      </c>
      <c r="L1628">
        <v>0</v>
      </c>
      <c r="M1628" t="str">
        <f>VLOOKUP(fact_daily_prices[[#This Row],[Ticker]], dim_company[], 2, FALSE)</f>
        <v>Reliance Industries</v>
      </c>
      <c r="N1628" t="str">
        <f>VLOOKUP(fact_daily_prices[[#This Row],[Ticker]], dim_company[], 3, FALSE)</f>
        <v>Energy &amp; Conglomerate</v>
      </c>
    </row>
    <row r="1629" spans="1:14" x14ac:dyDescent="0.3">
      <c r="A1629" s="1">
        <v>45658</v>
      </c>
      <c r="B1629">
        <v>1210.7935791015625</v>
      </c>
      <c r="C1629">
        <v>1215.800389087432</v>
      </c>
      <c r="D1629">
        <v>1201.2261788160188</v>
      </c>
      <c r="E1629">
        <v>1204.4483521073844</v>
      </c>
      <c r="F1629">
        <v>5892590</v>
      </c>
      <c r="G1629" s="2" t="s">
        <v>15</v>
      </c>
      <c r="H1629">
        <v>0.4771917014613658</v>
      </c>
      <c r="I1629">
        <v>78.934237259001122</v>
      </c>
      <c r="J1629">
        <v>1271.2877075195313</v>
      </c>
      <c r="K1629">
        <v>1.2897711178891051</v>
      </c>
      <c r="L1629">
        <v>0</v>
      </c>
      <c r="M1629" t="str">
        <f>VLOOKUP(fact_daily_prices[[#This Row],[Ticker]], dim_company[], 2, FALSE)</f>
        <v>Reliance Industries</v>
      </c>
      <c r="N1629" t="str">
        <f>VLOOKUP(fact_daily_prices[[#This Row],[Ticker]], dim_company[], 3, FALSE)</f>
        <v>Energy &amp; Conglomerate</v>
      </c>
    </row>
    <row r="1630" spans="1:14" x14ac:dyDescent="0.3">
      <c r="A1630" s="1">
        <v>45659</v>
      </c>
      <c r="B1630">
        <v>1231.167724609375</v>
      </c>
      <c r="C1630">
        <v>1233.7949384205442</v>
      </c>
      <c r="D1630">
        <v>1209.5543283646059</v>
      </c>
      <c r="E1630">
        <v>1210.7936258321929</v>
      </c>
      <c r="F1630">
        <v>15486276</v>
      </c>
      <c r="G1630" s="2" t="s">
        <v>15</v>
      </c>
      <c r="H1630">
        <v>1.6827100720942623</v>
      </c>
      <c r="I1630">
        <v>80.262471619689109</v>
      </c>
      <c r="J1630">
        <v>1268.7615258789062</v>
      </c>
      <c r="K1630">
        <v>1.3007202597842014</v>
      </c>
      <c r="L1630">
        <v>0</v>
      </c>
      <c r="M1630" t="str">
        <f>VLOOKUP(fact_daily_prices[[#This Row],[Ticker]], dim_company[], 2, FALSE)</f>
        <v>Reliance Industries</v>
      </c>
      <c r="N1630" t="str">
        <f>VLOOKUP(fact_daily_prices[[#This Row],[Ticker]], dim_company[], 3, FALSE)</f>
        <v>Energy &amp; Conglomerate</v>
      </c>
    </row>
    <row r="1631" spans="1:14" x14ac:dyDescent="0.3">
      <c r="A1631" s="1">
        <v>45660</v>
      </c>
      <c r="B1631">
        <v>1240.4376220703125</v>
      </c>
      <c r="C1631">
        <v>1251.2443199889096</v>
      </c>
      <c r="D1631">
        <v>1224.9215938636924</v>
      </c>
      <c r="E1631">
        <v>1233.2496968938565</v>
      </c>
      <c r="F1631">
        <v>15521102</v>
      </c>
      <c r="G1631" s="2" t="s">
        <v>15</v>
      </c>
      <c r="H1631">
        <v>0.75293538610903266</v>
      </c>
      <c r="I1631">
        <v>80.866796170279471</v>
      </c>
      <c r="J1631">
        <v>1266.9333129882812</v>
      </c>
      <c r="K1631">
        <v>1.2753239100525395</v>
      </c>
      <c r="L1631">
        <v>0</v>
      </c>
      <c r="M1631" t="str">
        <f>VLOOKUP(fact_daily_prices[[#This Row],[Ticker]], dim_company[], 2, FALSE)</f>
        <v>Reliance Industries</v>
      </c>
      <c r="N1631" t="str">
        <f>VLOOKUP(fact_daily_prices[[#This Row],[Ticker]], dim_company[], 3, FALSE)</f>
        <v>Energy &amp; Conglomerate</v>
      </c>
    </row>
    <row r="1632" spans="1:14" x14ac:dyDescent="0.3">
      <c r="A1632" s="1">
        <v>45663</v>
      </c>
      <c r="B1632">
        <v>1207.571533203125</v>
      </c>
      <c r="C1632">
        <v>1251.1948069805778</v>
      </c>
      <c r="D1632">
        <v>1204.597219081935</v>
      </c>
      <c r="E1632">
        <v>1243.2136823453243</v>
      </c>
      <c r="F1632">
        <v>14816766</v>
      </c>
      <c r="G1632" s="2" t="s">
        <v>15</v>
      </c>
      <c r="H1632">
        <v>-2.6495559536749091</v>
      </c>
      <c r="I1632">
        <v>78.724185157803689</v>
      </c>
      <c r="J1632">
        <v>1264.5434521484376</v>
      </c>
      <c r="K1632">
        <v>1.2026531344156186</v>
      </c>
      <c r="L1632">
        <v>0</v>
      </c>
      <c r="M1632" t="str">
        <f>VLOOKUP(fact_daily_prices[[#This Row],[Ticker]], dim_company[], 2, FALSE)</f>
        <v>Reliance Industries</v>
      </c>
      <c r="N1632" t="str">
        <f>VLOOKUP(fact_daily_prices[[#This Row],[Ticker]], dim_company[], 3, FALSE)</f>
        <v>Energy &amp; Conglomerate</v>
      </c>
    </row>
    <row r="1633" spans="1:14" x14ac:dyDescent="0.3">
      <c r="A1633" s="1">
        <v>45664</v>
      </c>
      <c r="B1633">
        <v>1230.2257080078125</v>
      </c>
      <c r="C1633">
        <v>1233.8444805890149</v>
      </c>
      <c r="D1633">
        <v>1210.7935491517349</v>
      </c>
      <c r="E1633">
        <v>1211.5371275851955</v>
      </c>
      <c r="F1633">
        <v>10070505</v>
      </c>
      <c r="G1633" s="2" t="s">
        <v>15</v>
      </c>
      <c r="H1633">
        <v>1.8760110007393527</v>
      </c>
      <c r="I1633">
        <v>80.201059531606504</v>
      </c>
      <c r="J1633">
        <v>1262.5813916015625</v>
      </c>
      <c r="K1633">
        <v>1.2118701596077888</v>
      </c>
      <c r="L1633">
        <v>0</v>
      </c>
      <c r="M1633" t="str">
        <f>VLOOKUP(fact_daily_prices[[#This Row],[Ticker]], dim_company[], 2, FALSE)</f>
        <v>Reliance Industries</v>
      </c>
      <c r="N1633" t="str">
        <f>VLOOKUP(fact_daily_prices[[#This Row],[Ticker]], dim_company[], 3, FALSE)</f>
        <v>Energy &amp; Conglomerate</v>
      </c>
    </row>
    <row r="1634" spans="1:14" x14ac:dyDescent="0.3">
      <c r="A1634" s="1">
        <v>45665</v>
      </c>
      <c r="B1634">
        <v>1254.664794921875</v>
      </c>
      <c r="C1634">
        <v>1260.167324257905</v>
      </c>
      <c r="D1634">
        <v>1234.6872949225542</v>
      </c>
      <c r="E1634">
        <v>1238.3060678446636</v>
      </c>
      <c r="F1634">
        <v>19346579</v>
      </c>
      <c r="G1634" s="2" t="s">
        <v>15</v>
      </c>
      <c r="H1634">
        <v>1.9865530979382928</v>
      </c>
      <c r="I1634">
        <v>81.79429616431095</v>
      </c>
      <c r="J1634">
        <v>1261.3450708007813</v>
      </c>
      <c r="K1634">
        <v>1.26385615952774</v>
      </c>
      <c r="L1634">
        <v>0</v>
      </c>
      <c r="M1634" t="str">
        <f>VLOOKUP(fact_daily_prices[[#This Row],[Ticker]], dim_company[], 2, FALSE)</f>
        <v>Reliance Industries</v>
      </c>
      <c r="N1634" t="str">
        <f>VLOOKUP(fact_daily_prices[[#This Row],[Ticker]], dim_company[], 3, FALSE)</f>
        <v>Energy &amp; Conglomerate</v>
      </c>
    </row>
    <row r="1635" spans="1:14" x14ac:dyDescent="0.3">
      <c r="A1635" s="1">
        <v>45666</v>
      </c>
      <c r="B1635">
        <v>1244.0068359375</v>
      </c>
      <c r="C1635">
        <v>1258.878406002503</v>
      </c>
      <c r="D1635">
        <v>1237.3642497185242</v>
      </c>
      <c r="E1635">
        <v>1256.1519514905858</v>
      </c>
      <c r="F1635">
        <v>12794704</v>
      </c>
      <c r="G1635" s="2" t="s">
        <v>15</v>
      </c>
      <c r="H1635">
        <v>-0.84946664858310816</v>
      </c>
      <c r="I1635">
        <v>81.09948089795185</v>
      </c>
      <c r="J1635">
        <v>1259.8955908203125</v>
      </c>
      <c r="K1635">
        <v>1.2717027753459229</v>
      </c>
      <c r="L1635">
        <v>0</v>
      </c>
      <c r="M1635" t="str">
        <f>VLOOKUP(fact_daily_prices[[#This Row],[Ticker]], dim_company[], 2, FALSE)</f>
        <v>Reliance Industries</v>
      </c>
      <c r="N1635" t="str">
        <f>VLOOKUP(fact_daily_prices[[#This Row],[Ticker]], dim_company[], 3, FALSE)</f>
        <v>Energy &amp; Conglomerate</v>
      </c>
    </row>
    <row r="1636" spans="1:14" x14ac:dyDescent="0.3">
      <c r="A1636" s="1">
        <v>45667</v>
      </c>
      <c r="B1636">
        <v>1231.266845703125</v>
      </c>
      <c r="C1636">
        <v>1245.9896754309789</v>
      </c>
      <c r="D1636">
        <v>1225.4173374439545</v>
      </c>
      <c r="E1636">
        <v>1243.114481097643</v>
      </c>
      <c r="F1636">
        <v>8120332</v>
      </c>
      <c r="G1636" s="2" t="s">
        <v>15</v>
      </c>
      <c r="H1636">
        <v>-1.0241093429984249</v>
      </c>
      <c r="I1636">
        <v>80.268933536952687</v>
      </c>
      <c r="J1636">
        <v>1257.950390625</v>
      </c>
      <c r="K1636">
        <v>1.2465502393896486</v>
      </c>
      <c r="L1636">
        <v>0</v>
      </c>
      <c r="M1636" t="str">
        <f>VLOOKUP(fact_daily_prices[[#This Row],[Ticker]], dim_company[], 2, FALSE)</f>
        <v>Reliance Industries</v>
      </c>
      <c r="N1636" t="str">
        <f>VLOOKUP(fact_daily_prices[[#This Row],[Ticker]], dim_company[], 3, FALSE)</f>
        <v>Energy &amp; Conglomerate</v>
      </c>
    </row>
    <row r="1637" spans="1:14" x14ac:dyDescent="0.3">
      <c r="A1637" s="1">
        <v>45670</v>
      </c>
      <c r="B1637">
        <v>1229.234375</v>
      </c>
      <c r="C1637">
        <v>1234.5881643828388</v>
      </c>
      <c r="D1637">
        <v>1215.899582365329</v>
      </c>
      <c r="E1637">
        <v>1219.4687349455062</v>
      </c>
      <c r="F1637">
        <v>13764861</v>
      </c>
      <c r="G1637" s="2" t="s">
        <v>15</v>
      </c>
      <c r="H1637">
        <v>-0.16507150421680716</v>
      </c>
      <c r="I1637">
        <v>80.136432400944457</v>
      </c>
      <c r="J1637">
        <v>1255.88720703125</v>
      </c>
      <c r="K1637">
        <v>1.2017889525547387</v>
      </c>
      <c r="L1637">
        <v>0</v>
      </c>
      <c r="M1637" t="str">
        <f>VLOOKUP(fact_daily_prices[[#This Row],[Ticker]], dim_company[], 2, FALSE)</f>
        <v>Reliance Industries</v>
      </c>
      <c r="N1637" t="str">
        <f>VLOOKUP(fact_daily_prices[[#This Row],[Ticker]], dim_company[], 3, FALSE)</f>
        <v>Energy &amp; Conglomerate</v>
      </c>
    </row>
    <row r="1638" spans="1:14" x14ac:dyDescent="0.3">
      <c r="A1638" s="1">
        <v>45671</v>
      </c>
      <c r="B1638">
        <v>1228.143798828125</v>
      </c>
      <c r="C1638">
        <v>1242.6187691440975</v>
      </c>
      <c r="D1638">
        <v>1216.742262047884</v>
      </c>
      <c r="E1638">
        <v>1233.4479678208604</v>
      </c>
      <c r="F1638">
        <v>13095266</v>
      </c>
      <c r="G1638" s="2" t="s">
        <v>15</v>
      </c>
      <c r="H1638">
        <v>-8.8719953985583189E-2</v>
      </c>
      <c r="I1638">
        <v>80.065335394992658</v>
      </c>
      <c r="J1638">
        <v>1254.0371826171875</v>
      </c>
      <c r="K1638">
        <v>1.1706205808668668</v>
      </c>
      <c r="L1638">
        <v>0</v>
      </c>
      <c r="M1638" t="str">
        <f>VLOOKUP(fact_daily_prices[[#This Row],[Ticker]], dim_company[], 2, FALSE)</f>
        <v>Reliance Industries</v>
      </c>
      <c r="N1638" t="str">
        <f>VLOOKUP(fact_daily_prices[[#This Row],[Ticker]], dim_company[], 3, FALSE)</f>
        <v>Energy &amp; Conglomerate</v>
      </c>
    </row>
    <row r="1639" spans="1:14" x14ac:dyDescent="0.3">
      <c r="A1639" s="1">
        <v>45672</v>
      </c>
      <c r="B1639">
        <v>1241.478515625</v>
      </c>
      <c r="C1639">
        <v>1246.2374660533972</v>
      </c>
      <c r="D1639">
        <v>1231.2171573529768</v>
      </c>
      <c r="E1639">
        <v>1234.2905907014622</v>
      </c>
      <c r="F1639">
        <v>9578856</v>
      </c>
      <c r="G1639" s="2" t="s">
        <v>15</v>
      </c>
      <c r="H1639">
        <v>1.0857618472363662</v>
      </c>
      <c r="I1639">
        <v>80.934654259573307</v>
      </c>
      <c r="J1639">
        <v>1252.3229833984376</v>
      </c>
      <c r="K1639">
        <v>1.1708025849441261</v>
      </c>
      <c r="L1639">
        <v>0</v>
      </c>
      <c r="M1639" t="str">
        <f>VLOOKUP(fact_daily_prices[[#This Row],[Ticker]], dim_company[], 2, FALSE)</f>
        <v>Reliance Industries</v>
      </c>
      <c r="N1639" t="str">
        <f>VLOOKUP(fact_daily_prices[[#This Row],[Ticker]], dim_company[], 3, FALSE)</f>
        <v>Energy &amp; Conglomerate</v>
      </c>
    </row>
    <row r="1640" spans="1:14" x14ac:dyDescent="0.3">
      <c r="A1640" s="1">
        <v>45673</v>
      </c>
      <c r="B1640">
        <v>1255.6065673828125</v>
      </c>
      <c r="C1640">
        <v>1264.0834104275011</v>
      </c>
      <c r="D1640">
        <v>1240.5863789731411</v>
      </c>
      <c r="E1640">
        <v>1248.1212833322295</v>
      </c>
      <c r="F1640">
        <v>14117603</v>
      </c>
      <c r="G1640" s="2" t="s">
        <v>15</v>
      </c>
      <c r="H1640">
        <v>1.1380021144143493</v>
      </c>
      <c r="I1640">
        <v>81.855692336341207</v>
      </c>
      <c r="J1640">
        <v>1251.6150952148437</v>
      </c>
      <c r="K1640">
        <v>1.1816853558168745</v>
      </c>
      <c r="L1640">
        <v>0</v>
      </c>
      <c r="M1640" t="str">
        <f>VLOOKUP(fact_daily_prices[[#This Row],[Ticker]], dim_company[], 2, FALSE)</f>
        <v>Reliance Industries</v>
      </c>
      <c r="N1640" t="str">
        <f>VLOOKUP(fact_daily_prices[[#This Row],[Ticker]], dim_company[], 3, FALSE)</f>
        <v>Energy &amp; Conglomerate</v>
      </c>
    </row>
    <row r="1641" spans="1:14" x14ac:dyDescent="0.3">
      <c r="A1641" s="1">
        <v>45674</v>
      </c>
      <c r="B1641">
        <v>1291.19921875</v>
      </c>
      <c r="C1641">
        <v>1314.6467509950228</v>
      </c>
      <c r="D1641">
        <v>1273.997794139219</v>
      </c>
      <c r="E1641">
        <v>1310.9288585996749</v>
      </c>
      <c r="F1641">
        <v>29366277</v>
      </c>
      <c r="G1641" s="2" t="s">
        <v>15</v>
      </c>
      <c r="H1641">
        <v>2.8346977701285025</v>
      </c>
      <c r="I1641">
        <v>84.176053821722704</v>
      </c>
      <c r="J1641">
        <v>1251.5565991210938</v>
      </c>
      <c r="K1641">
        <v>1.2837895153883654</v>
      </c>
      <c r="L1641">
        <v>1</v>
      </c>
      <c r="M1641" t="str">
        <f>VLOOKUP(fact_daily_prices[[#This Row],[Ticker]], dim_company[], 2, FALSE)</f>
        <v>Reliance Industries</v>
      </c>
      <c r="N1641" t="str">
        <f>VLOOKUP(fact_daily_prices[[#This Row],[Ticker]], dim_company[], 3, FALSE)</f>
        <v>Energy &amp; Conglomerate</v>
      </c>
    </row>
    <row r="1642" spans="1:14" x14ac:dyDescent="0.3">
      <c r="A1642" s="1">
        <v>45677</v>
      </c>
      <c r="B1642">
        <v>1294.272705078125</v>
      </c>
      <c r="C1642">
        <v>1304.7324245206253</v>
      </c>
      <c r="D1642">
        <v>1289.1172758229052</v>
      </c>
      <c r="E1642">
        <v>1304.7324245206253</v>
      </c>
      <c r="F1642">
        <v>14040244</v>
      </c>
      <c r="G1642" s="2" t="s">
        <v>15</v>
      </c>
      <c r="H1642">
        <v>0.23803347179069956</v>
      </c>
      <c r="I1642">
        <v>84.376421005050958</v>
      </c>
      <c r="J1642">
        <v>1251.1620092773437</v>
      </c>
      <c r="K1642">
        <v>1.2767493330511537</v>
      </c>
      <c r="L1642">
        <v>0</v>
      </c>
      <c r="M1642" t="str">
        <f>VLOOKUP(fact_daily_prices[[#This Row],[Ticker]], dim_company[], 2, FALSE)</f>
        <v>Reliance Industries</v>
      </c>
      <c r="N1642" t="str">
        <f>VLOOKUP(fact_daily_prices[[#This Row],[Ticker]], dim_company[], 3, FALSE)</f>
        <v>Energy &amp; Conglomerate</v>
      </c>
    </row>
    <row r="1643" spans="1:14" x14ac:dyDescent="0.3">
      <c r="A1643" s="1">
        <v>45678</v>
      </c>
      <c r="B1643">
        <v>1262.7945556640625</v>
      </c>
      <c r="C1643">
        <v>1301.7581181984158</v>
      </c>
      <c r="D1643">
        <v>1259.3245225995579</v>
      </c>
      <c r="E1643">
        <v>1299.2795231523412</v>
      </c>
      <c r="F1643">
        <v>14562976</v>
      </c>
      <c r="G1643" s="2" t="s">
        <v>15</v>
      </c>
      <c r="H1643">
        <v>-2.4321110451110406</v>
      </c>
      <c r="I1643">
        <v>82.324292750317724</v>
      </c>
      <c r="J1643">
        <v>1250.5284814453125</v>
      </c>
      <c r="K1643">
        <v>1.3333842378148881</v>
      </c>
      <c r="L1643">
        <v>0</v>
      </c>
      <c r="M1643" t="str">
        <f>VLOOKUP(fact_daily_prices[[#This Row],[Ticker]], dim_company[], 2, FALSE)</f>
        <v>Reliance Industries</v>
      </c>
      <c r="N1643" t="str">
        <f>VLOOKUP(fact_daily_prices[[#This Row],[Ticker]], dim_company[], 3, FALSE)</f>
        <v>Energy &amp; Conglomerate</v>
      </c>
    </row>
    <row r="1644" spans="1:14" x14ac:dyDescent="0.3">
      <c r="A1644" s="1">
        <v>45679</v>
      </c>
      <c r="B1644">
        <v>1266.16552734375</v>
      </c>
      <c r="C1644">
        <v>1271.9159165250771</v>
      </c>
      <c r="D1644">
        <v>1257.8374234010246</v>
      </c>
      <c r="E1644">
        <v>1267.3553256356561</v>
      </c>
      <c r="F1644">
        <v>10273590</v>
      </c>
      <c r="G1644" s="2" t="s">
        <v>15</v>
      </c>
      <c r="H1644">
        <v>0.26694537639297966</v>
      </c>
      <c r="I1644">
        <v>82.544053643462917</v>
      </c>
      <c r="J1644">
        <v>1250.3966210937499</v>
      </c>
      <c r="K1644">
        <v>1.3269180684944741</v>
      </c>
      <c r="L1644">
        <v>0</v>
      </c>
      <c r="M1644" t="str">
        <f>VLOOKUP(fact_daily_prices[[#This Row],[Ticker]], dim_company[], 2, FALSE)</f>
        <v>Reliance Industries</v>
      </c>
      <c r="N1644" t="str">
        <f>VLOOKUP(fact_daily_prices[[#This Row],[Ticker]], dim_company[], 3, FALSE)</f>
        <v>Energy &amp; Conglomerate</v>
      </c>
    </row>
    <row r="1645" spans="1:14" x14ac:dyDescent="0.3">
      <c r="A1645" s="1">
        <v>45680</v>
      </c>
      <c r="B1645">
        <v>1252.8306884765625</v>
      </c>
      <c r="C1645">
        <v>1266.4133410521551</v>
      </c>
      <c r="D1645">
        <v>1250.7981921087951</v>
      </c>
      <c r="E1645">
        <v>1259.1262957502838</v>
      </c>
      <c r="F1645">
        <v>8720682</v>
      </c>
      <c r="G1645" s="2" t="s">
        <v>15</v>
      </c>
      <c r="H1645">
        <v>-1.0531671080290961</v>
      </c>
      <c r="I1645">
        <v>81.67472682085608</v>
      </c>
      <c r="J1645">
        <v>1250.2171752929687</v>
      </c>
      <c r="K1645">
        <v>1.3375206193376752</v>
      </c>
      <c r="L1645">
        <v>0</v>
      </c>
      <c r="M1645" t="str">
        <f>VLOOKUP(fact_daily_prices[[#This Row],[Ticker]], dim_company[], 2, FALSE)</f>
        <v>Reliance Industries</v>
      </c>
      <c r="N1645" t="str">
        <f>VLOOKUP(fact_daily_prices[[#This Row],[Ticker]], dim_company[], 3, FALSE)</f>
        <v>Energy &amp; Conglomerate</v>
      </c>
    </row>
    <row r="1646" spans="1:14" x14ac:dyDescent="0.3">
      <c r="A1646" s="1">
        <v>45681</v>
      </c>
      <c r="B1646">
        <v>1252.8306884765625</v>
      </c>
      <c r="C1646">
        <v>1262.1006196074511</v>
      </c>
      <c r="D1646">
        <v>1232.8531975505623</v>
      </c>
      <c r="E1646">
        <v>1255.1605533566642</v>
      </c>
      <c r="F1646">
        <v>14235970</v>
      </c>
      <c r="G1646" s="2" t="s">
        <v>15</v>
      </c>
      <c r="H1646">
        <v>0</v>
      </c>
      <c r="I1646">
        <v>81.67472682085608</v>
      </c>
      <c r="J1646">
        <v>1250.0069921874999</v>
      </c>
      <c r="K1646">
        <v>1.319220769384299</v>
      </c>
      <c r="L1646">
        <v>0</v>
      </c>
      <c r="M1646" t="str">
        <f>VLOOKUP(fact_daily_prices[[#This Row],[Ticker]], dim_company[], 2, FALSE)</f>
        <v>Reliance Industries</v>
      </c>
      <c r="N1646" t="str">
        <f>VLOOKUP(fact_daily_prices[[#This Row],[Ticker]], dim_company[], 3, FALSE)</f>
        <v>Energy &amp; Conglomerate</v>
      </c>
    </row>
    <row r="1647" spans="1:14" x14ac:dyDescent="0.3">
      <c r="A1647" s="1">
        <v>45684</v>
      </c>
      <c r="B1647">
        <v>1218.82421875</v>
      </c>
      <c r="C1647">
        <v>1229.8291557820492</v>
      </c>
      <c r="D1647">
        <v>1209.5542981292017</v>
      </c>
      <c r="E1647">
        <v>1228.4907387555406</v>
      </c>
      <c r="F1647">
        <v>9536019</v>
      </c>
      <c r="G1647" s="2" t="s">
        <v>15</v>
      </c>
      <c r="H1647">
        <v>-2.7143707477276346</v>
      </c>
      <c r="I1647">
        <v>79.457771927744304</v>
      </c>
      <c r="J1647">
        <v>1249.5568774414062</v>
      </c>
      <c r="K1647">
        <v>1.4005050146615561</v>
      </c>
      <c r="L1647">
        <v>0</v>
      </c>
      <c r="M1647" t="str">
        <f>VLOOKUP(fact_daily_prices[[#This Row],[Ticker]], dim_company[], 2, FALSE)</f>
        <v>Reliance Industries</v>
      </c>
      <c r="N1647" t="str">
        <f>VLOOKUP(fact_daily_prices[[#This Row],[Ticker]], dim_company[], 3, FALSE)</f>
        <v>Energy &amp; Conglomerate</v>
      </c>
    </row>
    <row r="1648" spans="1:14" x14ac:dyDescent="0.3">
      <c r="A1648" s="1">
        <v>45685</v>
      </c>
      <c r="B1648">
        <v>1223.8310546875</v>
      </c>
      <c r="C1648">
        <v>1234.0924134746083</v>
      </c>
      <c r="D1648">
        <v>1208.0671667554209</v>
      </c>
      <c r="E1648">
        <v>1227.4002071753887</v>
      </c>
      <c r="F1648">
        <v>10568025</v>
      </c>
      <c r="G1648" s="2" t="s">
        <v>15</v>
      </c>
      <c r="H1648">
        <v>0.41079229149507679</v>
      </c>
      <c r="I1648">
        <v>79.784178329817209</v>
      </c>
      <c r="J1648">
        <v>1248.8985620117187</v>
      </c>
      <c r="K1648">
        <v>1.4027769249378561</v>
      </c>
      <c r="L1648">
        <v>0</v>
      </c>
      <c r="M1648" t="str">
        <f>VLOOKUP(fact_daily_prices[[#This Row],[Ticker]], dim_company[], 2, FALSE)</f>
        <v>Reliance Industries</v>
      </c>
      <c r="N1648" t="str">
        <f>VLOOKUP(fact_daily_prices[[#This Row],[Ticker]], dim_company[], 3, FALSE)</f>
        <v>Energy &amp; Conglomerate</v>
      </c>
    </row>
    <row r="1649" spans="1:14" x14ac:dyDescent="0.3">
      <c r="A1649" s="1">
        <v>45686</v>
      </c>
      <c r="B1649">
        <v>1224.921630859375</v>
      </c>
      <c r="C1649">
        <v>1232.1095562529249</v>
      </c>
      <c r="D1649">
        <v>1217.53546627882</v>
      </c>
      <c r="E1649">
        <v>1225.4173498520336</v>
      </c>
      <c r="F1649">
        <v>5928156</v>
      </c>
      <c r="G1649" s="2" t="s">
        <v>15</v>
      </c>
      <c r="H1649">
        <v>8.9111660281693261E-2</v>
      </c>
      <c r="I1649">
        <v>79.855275335769022</v>
      </c>
      <c r="J1649">
        <v>1248.3978857421876</v>
      </c>
      <c r="K1649">
        <v>1.3642178681741581</v>
      </c>
      <c r="L1649">
        <v>0</v>
      </c>
      <c r="M1649" t="str">
        <f>VLOOKUP(fact_daily_prices[[#This Row],[Ticker]], dim_company[], 2, FALSE)</f>
        <v>Reliance Industries</v>
      </c>
      <c r="N1649" t="str">
        <f>VLOOKUP(fact_daily_prices[[#This Row],[Ticker]], dim_company[], 3, FALSE)</f>
        <v>Energy &amp; Conglomerate</v>
      </c>
    </row>
    <row r="1650" spans="1:14" x14ac:dyDescent="0.3">
      <c r="A1650" s="1">
        <v>45687</v>
      </c>
      <c r="B1650">
        <v>1242.3214111328125</v>
      </c>
      <c r="C1650">
        <v>1246.2375427496929</v>
      </c>
      <c r="D1650">
        <v>1221.8481926097395</v>
      </c>
      <c r="E1650">
        <v>1224.9712464565041</v>
      </c>
      <c r="F1650">
        <v>9269259</v>
      </c>
      <c r="G1650" s="2" t="s">
        <v>15</v>
      </c>
      <c r="H1650">
        <v>1.420481101409754</v>
      </c>
      <c r="I1650">
        <v>80.989604430392333</v>
      </c>
      <c r="J1650">
        <v>1248.6239355468749</v>
      </c>
      <c r="K1650">
        <v>1.3892608329114975</v>
      </c>
      <c r="L1650">
        <v>0</v>
      </c>
      <c r="M1650" t="str">
        <f>VLOOKUP(fact_daily_prices[[#This Row],[Ticker]], dim_company[], 2, FALSE)</f>
        <v>Reliance Industries</v>
      </c>
      <c r="N1650" t="str">
        <f>VLOOKUP(fact_daily_prices[[#This Row],[Ticker]], dim_company[], 3, FALSE)</f>
        <v>Energy &amp; Conglomerate</v>
      </c>
    </row>
    <row r="1651" spans="1:14" x14ac:dyDescent="0.3">
      <c r="A1651" s="1">
        <v>45688</v>
      </c>
      <c r="B1651">
        <v>1254.2681884765625</v>
      </c>
      <c r="C1651">
        <v>1256.1519448799122</v>
      </c>
      <c r="D1651">
        <v>1238.3060608958251</v>
      </c>
      <c r="E1651">
        <v>1245.0973869847401</v>
      </c>
      <c r="F1651">
        <v>6584612</v>
      </c>
      <c r="G1651" s="2" t="s">
        <v>15</v>
      </c>
      <c r="H1651">
        <v>0.96164947627010999</v>
      </c>
      <c r="I1651">
        <v>81.768440537230433</v>
      </c>
      <c r="J1651">
        <v>1249.4587280273438</v>
      </c>
      <c r="K1651">
        <v>1.3795298409857171</v>
      </c>
      <c r="L1651">
        <v>0</v>
      </c>
      <c r="M1651" t="str">
        <f>VLOOKUP(fact_daily_prices[[#This Row],[Ticker]], dim_company[], 2, FALSE)</f>
        <v>Reliance Industries</v>
      </c>
      <c r="N1651" t="str">
        <f>VLOOKUP(fact_daily_prices[[#This Row],[Ticker]], dim_company[], 3, FALSE)</f>
        <v>Energy &amp; Conglomerate</v>
      </c>
    </row>
    <row r="1652" spans="1:14" x14ac:dyDescent="0.3">
      <c r="A1652" s="1">
        <v>45689</v>
      </c>
      <c r="B1652">
        <v>1253.7724609375</v>
      </c>
      <c r="C1652">
        <v>1259.6715896071485</v>
      </c>
      <c r="D1652">
        <v>1230.3745485227571</v>
      </c>
      <c r="E1652">
        <v>1254.2681799336815</v>
      </c>
      <c r="F1652">
        <v>7118453</v>
      </c>
      <c r="G1652" s="2" t="s">
        <v>15</v>
      </c>
      <c r="H1652">
        <v>-3.9523248984307813E-2</v>
      </c>
      <c r="I1652">
        <v>81.736122992886322</v>
      </c>
      <c r="J1652">
        <v>1249.4428637695312</v>
      </c>
      <c r="K1652">
        <v>1.3192425731567092</v>
      </c>
      <c r="L1652">
        <v>0</v>
      </c>
      <c r="M1652" t="str">
        <f>VLOOKUP(fact_daily_prices[[#This Row],[Ticker]], dim_company[], 2, FALSE)</f>
        <v>Reliance Industries</v>
      </c>
      <c r="N1652" t="str">
        <f>VLOOKUP(fact_daily_prices[[#This Row],[Ticker]], dim_company[], 3, FALSE)</f>
        <v>Energy &amp; Conglomerate</v>
      </c>
    </row>
    <row r="1653" spans="1:14" x14ac:dyDescent="0.3">
      <c r="A1653" s="1">
        <v>45691</v>
      </c>
      <c r="B1653">
        <v>1235.232666015625</v>
      </c>
      <c r="C1653">
        <v>1245.2461659154887</v>
      </c>
      <c r="D1653">
        <v>1226.9541826685895</v>
      </c>
      <c r="E1653">
        <v>1240.2889757645512</v>
      </c>
      <c r="F1653">
        <v>9252345</v>
      </c>
      <c r="G1653" s="2" t="s">
        <v>15</v>
      </c>
      <c r="H1653">
        <v>-1.4787208604033264</v>
      </c>
      <c r="I1653">
        <v>80.527473891705597</v>
      </c>
      <c r="J1653">
        <v>1248.6279052734376</v>
      </c>
      <c r="K1653">
        <v>1.3308697145210944</v>
      </c>
      <c r="L1653">
        <v>0</v>
      </c>
      <c r="M1653" t="str">
        <f>VLOOKUP(fact_daily_prices[[#This Row],[Ticker]], dim_company[], 2, FALSE)</f>
        <v>Reliance Industries</v>
      </c>
      <c r="N1653" t="str">
        <f>VLOOKUP(fact_daily_prices[[#This Row],[Ticker]], dim_company[], 3, FALSE)</f>
        <v>Energy &amp; Conglomerate</v>
      </c>
    </row>
    <row r="1654" spans="1:14" x14ac:dyDescent="0.3">
      <c r="A1654" s="1">
        <v>45692</v>
      </c>
      <c r="B1654">
        <v>1274.196044921875</v>
      </c>
      <c r="C1654">
        <v>1277.7653184740125</v>
      </c>
      <c r="D1654">
        <v>1235.9265630557768</v>
      </c>
      <c r="E1654">
        <v>1237.3642207434832</v>
      </c>
      <c r="F1654">
        <v>16691069</v>
      </c>
      <c r="G1654" s="2" t="s">
        <v>15</v>
      </c>
      <c r="H1654">
        <v>3.1543352097326283</v>
      </c>
      <c r="I1654">
        <v>83.06758035417991</v>
      </c>
      <c r="J1654">
        <v>1248.4197045898438</v>
      </c>
      <c r="K1654">
        <v>1.4448318887035589</v>
      </c>
      <c r="L1654">
        <v>0</v>
      </c>
      <c r="M1654" t="str">
        <f>VLOOKUP(fact_daily_prices[[#This Row],[Ticker]], dim_company[], 2, FALSE)</f>
        <v>Reliance Industries</v>
      </c>
      <c r="N1654" t="str">
        <f>VLOOKUP(fact_daily_prices[[#This Row],[Ticker]], dim_company[], 3, FALSE)</f>
        <v>Energy &amp; Conglomerate</v>
      </c>
    </row>
    <row r="1655" spans="1:14" x14ac:dyDescent="0.3">
      <c r="A1655" s="1">
        <v>45693</v>
      </c>
      <c r="B1655">
        <v>1267.2559814453125</v>
      </c>
      <c r="C1655">
        <v>1279.4507170461238</v>
      </c>
      <c r="D1655">
        <v>1265.7688244708304</v>
      </c>
      <c r="E1655">
        <v>1271.6679530846959</v>
      </c>
      <c r="F1655">
        <v>10112028</v>
      </c>
      <c r="G1655" s="2" t="s">
        <v>15</v>
      </c>
      <c r="H1655">
        <v>-0.54466214239332622</v>
      </c>
      <c r="I1655">
        <v>82.615142691388542</v>
      </c>
      <c r="J1655">
        <v>1248.1222729492188</v>
      </c>
      <c r="K1655">
        <v>1.445461318006048</v>
      </c>
      <c r="L1655">
        <v>0</v>
      </c>
      <c r="M1655" t="str">
        <f>VLOOKUP(fact_daily_prices[[#This Row],[Ticker]], dim_company[], 2, FALSE)</f>
        <v>Reliance Industries</v>
      </c>
      <c r="N1655" t="str">
        <f>VLOOKUP(fact_daily_prices[[#This Row],[Ticker]], dim_company[], 3, FALSE)</f>
        <v>Energy &amp; Conglomerate</v>
      </c>
    </row>
    <row r="1656" spans="1:14" x14ac:dyDescent="0.3">
      <c r="A1656" s="1">
        <v>45694</v>
      </c>
      <c r="B1656">
        <v>1270.577392578125</v>
      </c>
      <c r="C1656">
        <v>1276.9721191435924</v>
      </c>
      <c r="D1656">
        <v>1259.4732145791811</v>
      </c>
      <c r="E1656">
        <v>1262.7945076095025</v>
      </c>
      <c r="F1656">
        <v>9956001</v>
      </c>
      <c r="G1656" s="2" t="s">
        <v>15</v>
      </c>
      <c r="H1656">
        <v>0.26209472919784815</v>
      </c>
      <c r="I1656">
        <v>82.831672625901945</v>
      </c>
      <c r="J1656">
        <v>1248.3354321289062</v>
      </c>
      <c r="K1656">
        <v>1.4450940398074565</v>
      </c>
      <c r="L1656">
        <v>0</v>
      </c>
      <c r="M1656" t="str">
        <f>VLOOKUP(fact_daily_prices[[#This Row],[Ticker]], dim_company[], 2, FALSE)</f>
        <v>Reliance Industries</v>
      </c>
      <c r="N1656" t="str">
        <f>VLOOKUP(fact_daily_prices[[#This Row],[Ticker]], dim_company[], 3, FALSE)</f>
        <v>Energy &amp; Conglomerate</v>
      </c>
    </row>
    <row r="1657" spans="1:14" x14ac:dyDescent="0.3">
      <c r="A1657" s="1">
        <v>45695</v>
      </c>
      <c r="B1657">
        <v>1255.8544921875</v>
      </c>
      <c r="C1657">
        <v>1272.7089385364054</v>
      </c>
      <c r="D1657">
        <v>1251.1947819010977</v>
      </c>
      <c r="E1657">
        <v>1265.2236540965398</v>
      </c>
      <c r="F1657">
        <v>8764283</v>
      </c>
      <c r="G1657" s="2" t="s">
        <v>15</v>
      </c>
      <c r="H1657">
        <v>-1.158756678390982</v>
      </c>
      <c r="I1657">
        <v>81.871855087526342</v>
      </c>
      <c r="J1657">
        <v>1247.8297998046876</v>
      </c>
      <c r="K1657">
        <v>1.4537495834763232</v>
      </c>
      <c r="L1657">
        <v>0</v>
      </c>
      <c r="M1657" t="str">
        <f>VLOOKUP(fact_daily_prices[[#This Row],[Ticker]], dim_company[], 2, FALSE)</f>
        <v>Reliance Industries</v>
      </c>
      <c r="N1657" t="str">
        <f>VLOOKUP(fact_daily_prices[[#This Row],[Ticker]], dim_company[], 3, FALSE)</f>
        <v>Energy &amp; Conglomerate</v>
      </c>
    </row>
    <row r="1658" spans="1:14" x14ac:dyDescent="0.3">
      <c r="A1658" s="1">
        <v>45698</v>
      </c>
      <c r="B1658">
        <v>1242.916259765625</v>
      </c>
      <c r="C1658">
        <v>1255.6562137259159</v>
      </c>
      <c r="D1658">
        <v>1234.8856362555491</v>
      </c>
      <c r="E1658">
        <v>1253.6733377468779</v>
      </c>
      <c r="F1658">
        <v>6970972</v>
      </c>
      <c r="G1658" s="2" t="s">
        <v>15</v>
      </c>
      <c r="H1658">
        <v>-1.0302333990412138</v>
      </c>
      <c r="I1658">
        <v>81.028383892000036</v>
      </c>
      <c r="J1658">
        <v>1246.7293041992189</v>
      </c>
      <c r="K1658">
        <v>1.4690654392150464</v>
      </c>
      <c r="L1658">
        <v>0</v>
      </c>
      <c r="M1658" t="str">
        <f>VLOOKUP(fact_daily_prices[[#This Row],[Ticker]], dim_company[], 2, FALSE)</f>
        <v>Reliance Industries</v>
      </c>
      <c r="N1658" t="str">
        <f>VLOOKUP(fact_daily_prices[[#This Row],[Ticker]], dim_company[], 3, FALSE)</f>
        <v>Energy &amp; Conglomerate</v>
      </c>
    </row>
    <row r="1659" spans="1:14" x14ac:dyDescent="0.3">
      <c r="A1659" s="1">
        <v>45699</v>
      </c>
      <c r="B1659">
        <v>1224.2772216796875</v>
      </c>
      <c r="C1659">
        <v>1253.7230036544372</v>
      </c>
      <c r="D1659">
        <v>1219.567891058193</v>
      </c>
      <c r="E1659">
        <v>1253.7230036544372</v>
      </c>
      <c r="F1659">
        <v>8859714</v>
      </c>
      <c r="G1659" s="2" t="s">
        <v>15</v>
      </c>
      <c r="H1659">
        <v>-1.4996213895739241</v>
      </c>
      <c r="I1659">
        <v>79.81326491552953</v>
      </c>
      <c r="J1659">
        <v>1244.9754492187501</v>
      </c>
      <c r="K1659">
        <v>1.4962779076522161</v>
      </c>
      <c r="L1659">
        <v>0</v>
      </c>
      <c r="M1659" t="str">
        <f>VLOOKUP(fact_daily_prices[[#This Row],[Ticker]], dim_company[], 2, FALSE)</f>
        <v>Reliance Industries</v>
      </c>
      <c r="N1659" t="str">
        <f>VLOOKUP(fact_daily_prices[[#This Row],[Ticker]], dim_company[], 3, FALSE)</f>
        <v>Energy &amp; Conglomerate</v>
      </c>
    </row>
    <row r="1660" spans="1:14" x14ac:dyDescent="0.3">
      <c r="A1660" s="1">
        <v>45700</v>
      </c>
      <c r="B1660">
        <v>1206.1339111328125</v>
      </c>
      <c r="C1660">
        <v>1216.3952699199999</v>
      </c>
      <c r="D1660">
        <v>1183.1324776076383</v>
      </c>
      <c r="E1660">
        <v>1209.0089844264594</v>
      </c>
      <c r="F1660">
        <v>21131654</v>
      </c>
      <c r="G1660" s="2" t="s">
        <v>15</v>
      </c>
      <c r="H1660">
        <v>-1.4819609664862288</v>
      </c>
      <c r="I1660">
        <v>78.630463483403133</v>
      </c>
      <c r="J1660">
        <v>1243.1432739257812</v>
      </c>
      <c r="K1660">
        <v>1.4885721292922685</v>
      </c>
      <c r="L1660">
        <v>0</v>
      </c>
      <c r="M1660" t="str">
        <f>VLOOKUP(fact_daily_prices[[#This Row],[Ticker]], dim_company[], 2, FALSE)</f>
        <v>Reliance Industries</v>
      </c>
      <c r="N1660" t="str">
        <f>VLOOKUP(fact_daily_prices[[#This Row],[Ticker]], dim_company[], 3, FALSE)</f>
        <v>Energy &amp; Conglomerate</v>
      </c>
    </row>
    <row r="1661" spans="1:14" x14ac:dyDescent="0.3">
      <c r="A1661" s="1">
        <v>45701</v>
      </c>
      <c r="B1661">
        <v>1205.6876220703125</v>
      </c>
      <c r="C1661">
        <v>1217.4857574427408</v>
      </c>
      <c r="D1661">
        <v>1201.622750831109</v>
      </c>
      <c r="E1661">
        <v>1206.6295607029597</v>
      </c>
      <c r="F1661">
        <v>8511216</v>
      </c>
      <c r="G1661" s="2" t="s">
        <v>15</v>
      </c>
      <c r="H1661">
        <v>-3.7001618011123227E-2</v>
      </c>
      <c r="I1661">
        <v>78.601368939664624</v>
      </c>
      <c r="J1661">
        <v>1241.0424145507814</v>
      </c>
      <c r="K1661">
        <v>1.4807031706862481</v>
      </c>
      <c r="L1661">
        <v>0</v>
      </c>
      <c r="M1661" t="str">
        <f>VLOOKUP(fact_daily_prices[[#This Row],[Ticker]], dim_company[], 2, FALSE)</f>
        <v>Reliance Industries</v>
      </c>
      <c r="N1661" t="str">
        <f>VLOOKUP(fact_daily_prices[[#This Row],[Ticker]], dim_company[], 3, FALSE)</f>
        <v>Energy &amp; Conglomerate</v>
      </c>
    </row>
    <row r="1662" spans="1:14" x14ac:dyDescent="0.3">
      <c r="A1662" s="1">
        <v>45702</v>
      </c>
      <c r="B1662">
        <v>1206.827880859375</v>
      </c>
      <c r="C1662">
        <v>1213.5200872227356</v>
      </c>
      <c r="D1662">
        <v>1195.1288642881832</v>
      </c>
      <c r="E1662">
        <v>1208.56289732395</v>
      </c>
      <c r="F1662">
        <v>10298145</v>
      </c>
      <c r="G1662" s="2" t="s">
        <v>15</v>
      </c>
      <c r="H1662">
        <v>9.4573318012880492E-2</v>
      </c>
      <c r="I1662">
        <v>78.675704862274415</v>
      </c>
      <c r="J1662">
        <v>1239.1725610351561</v>
      </c>
      <c r="K1662">
        <v>1.3992762911532937</v>
      </c>
      <c r="L1662">
        <v>0</v>
      </c>
      <c r="M1662" t="str">
        <f>VLOOKUP(fact_daily_prices[[#This Row],[Ticker]], dim_company[], 2, FALSE)</f>
        <v>Reliance Industries</v>
      </c>
      <c r="N1662" t="str">
        <f>VLOOKUP(fact_daily_prices[[#This Row],[Ticker]], dim_company[], 3, FALSE)</f>
        <v>Energy &amp; Conglomerate</v>
      </c>
    </row>
    <row r="1663" spans="1:14" x14ac:dyDescent="0.3">
      <c r="A1663" s="1">
        <v>45705</v>
      </c>
      <c r="B1663">
        <v>1214.4124755859375</v>
      </c>
      <c r="C1663">
        <v>1216.9901902768092</v>
      </c>
      <c r="D1663">
        <v>1194.1871154284454</v>
      </c>
      <c r="E1663">
        <v>1200.7305822668588</v>
      </c>
      <c r="F1663">
        <v>8166683</v>
      </c>
      <c r="G1663" s="2" t="s">
        <v>15</v>
      </c>
      <c r="H1663">
        <v>0.62847360811397746</v>
      </c>
      <c r="I1663">
        <v>79.170160903331464</v>
      </c>
      <c r="J1663">
        <v>1237.7795922851562</v>
      </c>
      <c r="K1663">
        <v>1.3598093082897338</v>
      </c>
      <c r="L1663">
        <v>0</v>
      </c>
      <c r="M1663" t="str">
        <f>VLOOKUP(fact_daily_prices[[#This Row],[Ticker]], dim_company[], 2, FALSE)</f>
        <v>Reliance Industries</v>
      </c>
      <c r="N1663" t="str">
        <f>VLOOKUP(fact_daily_prices[[#This Row],[Ticker]], dim_company[], 3, FALSE)</f>
        <v>Energy &amp; Conglomerate</v>
      </c>
    </row>
    <row r="1664" spans="1:14" x14ac:dyDescent="0.3">
      <c r="A1664" s="1">
        <v>45706</v>
      </c>
      <c r="B1664">
        <v>1214.908203125</v>
      </c>
      <c r="C1664">
        <v>1219.3696743222742</v>
      </c>
      <c r="D1664">
        <v>1205.6877809072391</v>
      </c>
      <c r="E1664">
        <v>1214.362863790828</v>
      </c>
      <c r="F1664">
        <v>6673250</v>
      </c>
      <c r="G1664" s="2" t="s">
        <v>15</v>
      </c>
      <c r="H1664">
        <v>4.0820359558924046E-2</v>
      </c>
      <c r="I1664">
        <v>79.202478447675588</v>
      </c>
      <c r="J1664">
        <v>1236.6007763671876</v>
      </c>
      <c r="K1664">
        <v>1.3054177491355525</v>
      </c>
      <c r="L1664">
        <v>0</v>
      </c>
      <c r="M1664" t="str">
        <f>VLOOKUP(fact_daily_prices[[#This Row],[Ticker]], dim_company[], 2, FALSE)</f>
        <v>Reliance Industries</v>
      </c>
      <c r="N1664" t="str">
        <f>VLOOKUP(fact_daily_prices[[#This Row],[Ticker]], dim_company[], 3, FALSE)</f>
        <v>Energy &amp; Conglomerate</v>
      </c>
    </row>
    <row r="1665" spans="1:14" x14ac:dyDescent="0.3">
      <c r="A1665" s="1">
        <v>45707</v>
      </c>
      <c r="B1665">
        <v>1216.9404296875</v>
      </c>
      <c r="C1665">
        <v>1222.1950990873445</v>
      </c>
      <c r="D1665">
        <v>1207.1252910738519</v>
      </c>
      <c r="E1665">
        <v>1209.0585466128707</v>
      </c>
      <c r="F1665">
        <v>6217338</v>
      </c>
      <c r="G1665" s="2" t="s">
        <v>15</v>
      </c>
      <c r="H1665">
        <v>0.16727408352932294</v>
      </c>
      <c r="I1665">
        <v>79.334963667631442</v>
      </c>
      <c r="J1665">
        <v>1235.5944653320312</v>
      </c>
      <c r="K1665">
        <v>1.2984434892051351</v>
      </c>
      <c r="L1665">
        <v>0</v>
      </c>
      <c r="M1665" t="str">
        <f>VLOOKUP(fact_daily_prices[[#This Row],[Ticker]], dim_company[], 2, FALSE)</f>
        <v>Reliance Industries</v>
      </c>
      <c r="N1665" t="str">
        <f>VLOOKUP(fact_daily_prices[[#This Row],[Ticker]], dim_company[], 3, FALSE)</f>
        <v>Energy &amp; Conglomerate</v>
      </c>
    </row>
    <row r="1666" spans="1:14" x14ac:dyDescent="0.3">
      <c r="A1666" s="1">
        <v>45708</v>
      </c>
      <c r="B1666">
        <v>1222.4429931640625</v>
      </c>
      <c r="C1666">
        <v>1228.7385999457269</v>
      </c>
      <c r="D1666">
        <v>1211.5371757068001</v>
      </c>
      <c r="E1666">
        <v>1213.4704313005311</v>
      </c>
      <c r="F1666">
        <v>7795582</v>
      </c>
      <c r="G1666" s="2" t="s">
        <v>15</v>
      </c>
      <c r="H1666">
        <v>0.45216374954157867</v>
      </c>
      <c r="I1666">
        <v>79.693687614048457</v>
      </c>
      <c r="J1666">
        <v>1235.0015844726563</v>
      </c>
      <c r="K1666">
        <v>1.2887861350913656</v>
      </c>
      <c r="L1666">
        <v>0</v>
      </c>
      <c r="M1666" t="str">
        <f>VLOOKUP(fact_daily_prices[[#This Row],[Ticker]], dim_company[], 2, FALSE)</f>
        <v>Reliance Industries</v>
      </c>
      <c r="N1666" t="str">
        <f>VLOOKUP(fact_daily_prices[[#This Row],[Ticker]], dim_company[], 3, FALSE)</f>
        <v>Energy &amp; Conglomerate</v>
      </c>
    </row>
    <row r="1667" spans="1:14" x14ac:dyDescent="0.3">
      <c r="A1667" s="1">
        <v>45709</v>
      </c>
      <c r="B1667">
        <v>1217.634521484375</v>
      </c>
      <c r="C1667">
        <v>1229.3830367840983</v>
      </c>
      <c r="D1667">
        <v>1211.6858938870323</v>
      </c>
      <c r="E1667">
        <v>1218.1797397323817</v>
      </c>
      <c r="F1667">
        <v>6904025</v>
      </c>
      <c r="G1667" s="2" t="s">
        <v>15</v>
      </c>
      <c r="H1667">
        <v>-0.39334935915839031</v>
      </c>
      <c r="I1667">
        <v>79.380213004528912</v>
      </c>
      <c r="J1667">
        <v>1234.1152392578124</v>
      </c>
      <c r="K1667">
        <v>1.2903698237859784</v>
      </c>
      <c r="L1667">
        <v>0</v>
      </c>
      <c r="M1667" t="str">
        <f>VLOOKUP(fact_daily_prices[[#This Row],[Ticker]], dim_company[], 2, FALSE)</f>
        <v>Reliance Industries</v>
      </c>
      <c r="N1667" t="str">
        <f>VLOOKUP(fact_daily_prices[[#This Row],[Ticker]], dim_company[], 3, FALSE)</f>
        <v>Energy &amp; Conglomerate</v>
      </c>
    </row>
    <row r="1668" spans="1:14" x14ac:dyDescent="0.3">
      <c r="A1668" s="1">
        <v>45712</v>
      </c>
      <c r="B1668">
        <v>1204.151123046875</v>
      </c>
      <c r="C1668">
        <v>1212.7765856074127</v>
      </c>
      <c r="D1668">
        <v>1200.1357505642943</v>
      </c>
      <c r="E1668">
        <v>1206.1339991320699</v>
      </c>
      <c r="F1668">
        <v>7172498</v>
      </c>
      <c r="G1668" s="2" t="s">
        <v>15</v>
      </c>
      <c r="H1668">
        <v>-1.1073436404433479</v>
      </c>
      <c r="I1668">
        <v>78.501201264052881</v>
      </c>
      <c r="J1668">
        <v>1233.0494458007813</v>
      </c>
      <c r="K1668">
        <v>1.3054569298792653</v>
      </c>
      <c r="L1668">
        <v>0</v>
      </c>
      <c r="M1668" t="str">
        <f>VLOOKUP(fact_daily_prices[[#This Row],[Ticker]], dim_company[], 2, FALSE)</f>
        <v>Reliance Industries</v>
      </c>
      <c r="N1668" t="str">
        <f>VLOOKUP(fact_daily_prices[[#This Row],[Ticker]], dim_company[], 3, FALSE)</f>
        <v>Energy &amp; Conglomerate</v>
      </c>
    </row>
    <row r="1669" spans="1:14" x14ac:dyDescent="0.3">
      <c r="A1669" s="1">
        <v>45713</v>
      </c>
      <c r="B1669">
        <v>1193.69140625</v>
      </c>
      <c r="C1669">
        <v>1210.5458530159883</v>
      </c>
      <c r="D1669">
        <v>1191.2128111373545</v>
      </c>
      <c r="E1669">
        <v>1200.631472565407</v>
      </c>
      <c r="F1669">
        <v>11552182</v>
      </c>
      <c r="G1669" s="2" t="s">
        <v>15</v>
      </c>
      <c r="H1669">
        <v>-0.86863821298515109</v>
      </c>
      <c r="I1669">
        <v>77.819309832220924</v>
      </c>
      <c r="J1669">
        <v>1232.230517578125</v>
      </c>
      <c r="K1669">
        <v>1.2951609037179499</v>
      </c>
      <c r="L1669">
        <v>0</v>
      </c>
      <c r="M1669" t="str">
        <f>VLOOKUP(fact_daily_prices[[#This Row],[Ticker]], dim_company[], 2, FALSE)</f>
        <v>Reliance Industries</v>
      </c>
      <c r="N1669" t="str">
        <f>VLOOKUP(fact_daily_prices[[#This Row],[Ticker]], dim_company[], 3, FALSE)</f>
        <v>Energy &amp; Conglomerate</v>
      </c>
    </row>
    <row r="1670" spans="1:14" x14ac:dyDescent="0.3">
      <c r="A1670" s="1">
        <v>45715</v>
      </c>
      <c r="B1670">
        <v>1196.7647705078125</v>
      </c>
      <c r="C1670">
        <v>1204.5971548141019</v>
      </c>
      <c r="D1670">
        <v>1190.370043898487</v>
      </c>
      <c r="E1670">
        <v>1202.416039651657</v>
      </c>
      <c r="F1670">
        <v>11509215</v>
      </c>
      <c r="G1670" s="2" t="s">
        <v>15</v>
      </c>
      <c r="H1670">
        <v>0.25746723497552804</v>
      </c>
      <c r="I1670">
        <v>78.019669057523004</v>
      </c>
      <c r="J1670">
        <v>1231.4730566406249</v>
      </c>
      <c r="K1670">
        <v>1.2754334192881243</v>
      </c>
      <c r="L1670">
        <v>0</v>
      </c>
      <c r="M1670" t="str">
        <f>VLOOKUP(fact_daily_prices[[#This Row],[Ticker]], dim_company[], 2, FALSE)</f>
        <v>Reliance Industries</v>
      </c>
      <c r="N1670" t="str">
        <f>VLOOKUP(fact_daily_prices[[#This Row],[Ticker]], dim_company[], 3, FALSE)</f>
        <v>Energy &amp; Conglomerate</v>
      </c>
    </row>
    <row r="1671" spans="1:14" x14ac:dyDescent="0.3">
      <c r="A1671" s="1">
        <v>45716</v>
      </c>
      <c r="B1671">
        <v>1189.82470703125</v>
      </c>
      <c r="C1671">
        <v>1206.9270123506617</v>
      </c>
      <c r="D1671">
        <v>1183.0830013175257</v>
      </c>
      <c r="E1671">
        <v>1191.7084634163882</v>
      </c>
      <c r="F1671">
        <v>23007298</v>
      </c>
      <c r="G1671" s="2" t="s">
        <v>15</v>
      </c>
      <c r="H1671">
        <v>-0.57990205323454891</v>
      </c>
      <c r="I1671">
        <v>77.567231394731635</v>
      </c>
      <c r="J1671">
        <v>1230.8712548828125</v>
      </c>
      <c r="K1671">
        <v>1.1454429071952621</v>
      </c>
      <c r="L1671">
        <v>1</v>
      </c>
      <c r="M1671" t="str">
        <f>VLOOKUP(fact_daily_prices[[#This Row],[Ticker]], dim_company[], 2, FALSE)</f>
        <v>Reliance Industries</v>
      </c>
      <c r="N1671" t="str">
        <f>VLOOKUP(fact_daily_prices[[#This Row],[Ticker]], dim_company[], 3, FALSE)</f>
        <v>Energy &amp; Conglomerate</v>
      </c>
    </row>
    <row r="1672" spans="1:14" x14ac:dyDescent="0.3">
      <c r="A1672" s="1">
        <v>45719</v>
      </c>
      <c r="B1672">
        <v>1161.2216796875</v>
      </c>
      <c r="C1672">
        <v>1196.1202465389174</v>
      </c>
      <c r="D1672">
        <v>1146.1022512006402</v>
      </c>
      <c r="E1672">
        <v>1193.6912720117396</v>
      </c>
      <c r="F1672">
        <v>17944938</v>
      </c>
      <c r="G1672" s="2" t="s">
        <v>15</v>
      </c>
      <c r="H1672">
        <v>-2.4039698599903736</v>
      </c>
      <c r="I1672">
        <v>75.702538530773296</v>
      </c>
      <c r="J1672">
        <v>1230.1960815429688</v>
      </c>
      <c r="K1672">
        <v>1.205364326501555</v>
      </c>
      <c r="L1672">
        <v>0</v>
      </c>
      <c r="M1672" t="str">
        <f>VLOOKUP(fact_daily_prices[[#This Row],[Ticker]], dim_company[], 2, FALSE)</f>
        <v>Reliance Industries</v>
      </c>
      <c r="N1672" t="str">
        <f>VLOOKUP(fact_daily_prices[[#This Row],[Ticker]], dim_company[], 3, FALSE)</f>
        <v>Energy &amp; Conglomerate</v>
      </c>
    </row>
    <row r="1673" spans="1:14" x14ac:dyDescent="0.3">
      <c r="A1673" s="1">
        <v>45720</v>
      </c>
      <c r="B1673">
        <v>1151.9517822265625</v>
      </c>
      <c r="C1673">
        <v>1163.9481572573211</v>
      </c>
      <c r="D1673">
        <v>1149.6219272411693</v>
      </c>
      <c r="E1673">
        <v>1152.2491409974891</v>
      </c>
      <c r="F1673">
        <v>11377373</v>
      </c>
      <c r="G1673" s="2" t="s">
        <v>15</v>
      </c>
      <c r="H1673">
        <v>-0.79828835639996765</v>
      </c>
      <c r="I1673">
        <v>75.098213980182919</v>
      </c>
      <c r="J1673">
        <v>1228.9984228515625</v>
      </c>
      <c r="K1673">
        <v>1.1435538770991955</v>
      </c>
      <c r="L1673">
        <v>0</v>
      </c>
      <c r="M1673" t="str">
        <f>VLOOKUP(fact_daily_prices[[#This Row],[Ticker]], dim_company[], 2, FALSE)</f>
        <v>Reliance Industries</v>
      </c>
      <c r="N1673" t="str">
        <f>VLOOKUP(fact_daily_prices[[#This Row],[Ticker]], dim_company[], 3, FALSE)</f>
        <v>Energy &amp; Conglomerate</v>
      </c>
    </row>
    <row r="1674" spans="1:14" x14ac:dyDescent="0.3">
      <c r="A1674" s="1">
        <v>45721</v>
      </c>
      <c r="B1674">
        <v>1165.534423828125</v>
      </c>
      <c r="C1674">
        <v>1172.8710888254675</v>
      </c>
      <c r="D1674">
        <v>1147.0937022578751</v>
      </c>
      <c r="E1674">
        <v>1151.0594540375048</v>
      </c>
      <c r="F1674">
        <v>8664095</v>
      </c>
      <c r="G1674" s="2" t="s">
        <v>15</v>
      </c>
      <c r="H1674">
        <v>1.1790981021192692</v>
      </c>
      <c r="I1674">
        <v>75.983695595948731</v>
      </c>
      <c r="J1674">
        <v>1228.0634936523438</v>
      </c>
      <c r="K1674">
        <v>1.1709310297008226</v>
      </c>
      <c r="L1674">
        <v>0</v>
      </c>
      <c r="M1674" t="str">
        <f>VLOOKUP(fact_daily_prices[[#This Row],[Ticker]], dim_company[], 2, FALSE)</f>
        <v>Reliance Industries</v>
      </c>
      <c r="N1674" t="str">
        <f>VLOOKUP(fact_daily_prices[[#This Row],[Ticker]], dim_company[], 3, FALSE)</f>
        <v>Energy &amp; Conglomerate</v>
      </c>
    </row>
    <row r="1675" spans="1:14" x14ac:dyDescent="0.3">
      <c r="A1675" s="1">
        <v>45722</v>
      </c>
      <c r="B1675">
        <v>1199.2432861328125</v>
      </c>
      <c r="C1675">
        <v>1203.5560168880777</v>
      </c>
      <c r="D1675">
        <v>1175.0026773522586</v>
      </c>
      <c r="E1675">
        <v>1186.7511925218207</v>
      </c>
      <c r="F1675">
        <v>14468014</v>
      </c>
      <c r="G1675" s="2" t="s">
        <v>15</v>
      </c>
      <c r="H1675">
        <v>2.892137856724375</v>
      </c>
      <c r="I1675">
        <v>78.18124882121738</v>
      </c>
      <c r="J1675">
        <v>1227.9256811523437</v>
      </c>
      <c r="K1675">
        <v>1.2948257847759574</v>
      </c>
      <c r="L1675">
        <v>0</v>
      </c>
      <c r="M1675" t="str">
        <f>VLOOKUP(fact_daily_prices[[#This Row],[Ticker]], dim_company[], 2, FALSE)</f>
        <v>Reliance Industries</v>
      </c>
      <c r="N1675" t="str">
        <f>VLOOKUP(fact_daily_prices[[#This Row],[Ticker]], dim_company[], 3, FALSE)</f>
        <v>Energy &amp; Conglomerate</v>
      </c>
    </row>
    <row r="1676" spans="1:14" x14ac:dyDescent="0.3">
      <c r="A1676" s="1">
        <v>45723</v>
      </c>
      <c r="B1676">
        <v>1239.0992431640625</v>
      </c>
      <c r="C1676">
        <v>1244.0564330934674</v>
      </c>
      <c r="D1676">
        <v>1201.622838887705</v>
      </c>
      <c r="E1676">
        <v>1205.5885908312289</v>
      </c>
      <c r="F1676">
        <v>16474965</v>
      </c>
      <c r="G1676" s="2" t="s">
        <v>15</v>
      </c>
      <c r="H1676">
        <v>3.3234254877317682</v>
      </c>
      <c r="I1676">
        <v>80.779544371168711</v>
      </c>
      <c r="J1676">
        <v>1228.4957568359375</v>
      </c>
      <c r="K1676">
        <v>1.4409259518297326</v>
      </c>
      <c r="L1676">
        <v>0</v>
      </c>
      <c r="M1676" t="str">
        <f>VLOOKUP(fact_daily_prices[[#This Row],[Ticker]], dim_company[], 2, FALSE)</f>
        <v>Reliance Industries</v>
      </c>
      <c r="N1676" t="str">
        <f>VLOOKUP(fact_daily_prices[[#This Row],[Ticker]], dim_company[], 3, FALSE)</f>
        <v>Energy &amp; Conglomerate</v>
      </c>
    </row>
    <row r="1677" spans="1:14" x14ac:dyDescent="0.3">
      <c r="A1677" s="1">
        <v>45726</v>
      </c>
      <c r="B1677">
        <v>1227.796875</v>
      </c>
      <c r="C1677">
        <v>1247.2290360950196</v>
      </c>
      <c r="D1677">
        <v>1224.8225609234617</v>
      </c>
      <c r="E1677">
        <v>1234.340341763354</v>
      </c>
      <c r="F1677">
        <v>11931051</v>
      </c>
      <c r="G1677" s="2" t="s">
        <v>15</v>
      </c>
      <c r="H1677">
        <v>-0.91214390020945002</v>
      </c>
      <c r="I1677">
        <v>80.042718684570104</v>
      </c>
      <c r="J1677">
        <v>1229.0450170898437</v>
      </c>
      <c r="K1677">
        <v>1.360325814831598</v>
      </c>
      <c r="L1677">
        <v>0</v>
      </c>
      <c r="M1677" t="str">
        <f>VLOOKUP(fact_daily_prices[[#This Row],[Ticker]], dim_company[], 2, FALSE)</f>
        <v>Reliance Industries</v>
      </c>
      <c r="N1677" t="str">
        <f>VLOOKUP(fact_daily_prices[[#This Row],[Ticker]], dim_company[], 3, FALSE)</f>
        <v>Energy &amp; Conglomerate</v>
      </c>
    </row>
    <row r="1678" spans="1:14" x14ac:dyDescent="0.3">
      <c r="A1678" s="1">
        <v>45727</v>
      </c>
      <c r="B1678">
        <v>1236.62060546875</v>
      </c>
      <c r="C1678">
        <v>1238.8017205522631</v>
      </c>
      <c r="D1678">
        <v>1219.2208210077197</v>
      </c>
      <c r="E1678">
        <v>1229.3830600118497</v>
      </c>
      <c r="F1678">
        <v>10089838</v>
      </c>
      <c r="G1678" s="2" t="s">
        <v>15</v>
      </c>
      <c r="H1678">
        <v>0.71866370149784586</v>
      </c>
      <c r="I1678">
        <v>80.617956649448146</v>
      </c>
      <c r="J1678">
        <v>1229.6765649414062</v>
      </c>
      <c r="K1678">
        <v>1.3644267555906995</v>
      </c>
      <c r="L1678">
        <v>0</v>
      </c>
      <c r="M1678" t="str">
        <f>VLOOKUP(fact_daily_prices[[#This Row],[Ticker]], dim_company[], 2, FALSE)</f>
        <v>Reliance Industries</v>
      </c>
      <c r="N1678" t="str">
        <f>VLOOKUP(fact_daily_prices[[#This Row],[Ticker]], dim_company[], 3, FALSE)</f>
        <v>Energy &amp; Conglomerate</v>
      </c>
    </row>
    <row r="1679" spans="1:14" x14ac:dyDescent="0.3">
      <c r="A1679" s="1">
        <v>45728</v>
      </c>
      <c r="B1679">
        <v>1246.2872314453125</v>
      </c>
      <c r="C1679">
        <v>1252.1862393488909</v>
      </c>
      <c r="D1679">
        <v>1233.3489166666827</v>
      </c>
      <c r="E1679">
        <v>1247.2290491693625</v>
      </c>
      <c r="F1679">
        <v>11977555</v>
      </c>
      <c r="G1679" s="2" t="s">
        <v>15</v>
      </c>
      <c r="H1679">
        <v>0.78169698400734067</v>
      </c>
      <c r="I1679">
        <v>81.248144785145229</v>
      </c>
      <c r="J1679">
        <v>1230.3864379882812</v>
      </c>
      <c r="K1679">
        <v>1.3710667058476094</v>
      </c>
      <c r="L1679">
        <v>0</v>
      </c>
      <c r="M1679" t="str">
        <f>VLOOKUP(fact_daily_prices[[#This Row],[Ticker]], dim_company[], 2, FALSE)</f>
        <v>Reliance Industries</v>
      </c>
      <c r="N1679" t="str">
        <f>VLOOKUP(fact_daily_prices[[#This Row],[Ticker]], dim_company[], 3, FALSE)</f>
        <v>Energy &amp; Conglomerate</v>
      </c>
    </row>
    <row r="1680" spans="1:14" x14ac:dyDescent="0.3">
      <c r="A1680" s="1">
        <v>45729</v>
      </c>
      <c r="B1680">
        <v>1237.2154541015625</v>
      </c>
      <c r="C1680">
        <v>1253.3263209465169</v>
      </c>
      <c r="D1680">
        <v>1233.2000819547634</v>
      </c>
      <c r="E1680">
        <v>1249.2614495168184</v>
      </c>
      <c r="F1680">
        <v>9505270</v>
      </c>
      <c r="G1680" s="2" t="s">
        <v>15</v>
      </c>
      <c r="H1680">
        <v>-0.72790421941734129</v>
      </c>
      <c r="I1680">
        <v>80.656736111055849</v>
      </c>
      <c r="J1680">
        <v>1230.5073925781251</v>
      </c>
      <c r="K1680">
        <v>1.3539164786970381</v>
      </c>
      <c r="L1680">
        <v>0</v>
      </c>
      <c r="M1680" t="str">
        <f>VLOOKUP(fact_daily_prices[[#This Row],[Ticker]], dim_company[], 2, FALSE)</f>
        <v>Reliance Industries</v>
      </c>
      <c r="N1680" t="str">
        <f>VLOOKUP(fact_daily_prices[[#This Row],[Ticker]], dim_company[], 3, FALSE)</f>
        <v>Energy &amp; Conglomerate</v>
      </c>
    </row>
    <row r="1681" spans="1:14" x14ac:dyDescent="0.3">
      <c r="A1681" s="1">
        <v>45733</v>
      </c>
      <c r="B1681">
        <v>1228.242919921875</v>
      </c>
      <c r="C1681">
        <v>1246.6341428999226</v>
      </c>
      <c r="D1681">
        <v>1222.5421515247892</v>
      </c>
      <c r="E1681">
        <v>1231.514713672869</v>
      </c>
      <c r="F1681">
        <v>16640917</v>
      </c>
      <c r="G1681" s="2" t="s">
        <v>15</v>
      </c>
      <c r="H1681">
        <v>-0.72522002129395968</v>
      </c>
      <c r="I1681">
        <v>80.071797312256237</v>
      </c>
      <c r="J1681">
        <v>1230.2634985351563</v>
      </c>
      <c r="K1681">
        <v>1.3474019485318365</v>
      </c>
      <c r="L1681">
        <v>0</v>
      </c>
      <c r="M1681" t="str">
        <f>VLOOKUP(fact_daily_prices[[#This Row],[Ticker]], dim_company[], 2, FALSE)</f>
        <v>Reliance Industries</v>
      </c>
      <c r="N1681" t="str">
        <f>VLOOKUP(fact_daily_prices[[#This Row],[Ticker]], dim_company[], 3, FALSE)</f>
        <v>Energy &amp; Conglomerate</v>
      </c>
    </row>
    <row r="1682" spans="1:14" x14ac:dyDescent="0.3">
      <c r="A1682" s="1">
        <v>45734</v>
      </c>
      <c r="B1682">
        <v>1228.242919921875</v>
      </c>
      <c r="C1682">
        <v>1228.242919921875</v>
      </c>
      <c r="D1682">
        <v>1228.242919921875</v>
      </c>
      <c r="E1682">
        <v>1228.242919921875</v>
      </c>
      <c r="F1682">
        <v>0</v>
      </c>
      <c r="G1682" s="2" t="s">
        <v>15</v>
      </c>
      <c r="H1682">
        <v>0</v>
      </c>
      <c r="I1682">
        <v>80.071797312256237</v>
      </c>
      <c r="J1682">
        <v>1230.6769262695314</v>
      </c>
      <c r="K1682">
        <v>1.3474431625293763</v>
      </c>
      <c r="L1682">
        <v>0</v>
      </c>
      <c r="M1682" t="str">
        <f>VLOOKUP(fact_daily_prices[[#This Row],[Ticker]], dim_company[], 2, FALSE)</f>
        <v>Reliance Industries</v>
      </c>
      <c r="N1682" t="str">
        <f>VLOOKUP(fact_daily_prices[[#This Row],[Ticker]], dim_company[], 3, FALSE)</f>
        <v>Energy &amp; Conglomerate</v>
      </c>
    </row>
    <row r="1683" spans="1:14" x14ac:dyDescent="0.3">
      <c r="A1683" s="1">
        <v>45735</v>
      </c>
      <c r="B1683">
        <v>1236.471923828125</v>
      </c>
      <c r="C1683">
        <v>1242.5196714129374</v>
      </c>
      <c r="D1683">
        <v>1228.1934407470596</v>
      </c>
      <c r="E1683">
        <v>1230.4241762433128</v>
      </c>
      <c r="F1683">
        <v>16162399</v>
      </c>
      <c r="G1683" s="2" t="s">
        <v>15</v>
      </c>
      <c r="H1683">
        <v>0.66998179047297324</v>
      </c>
      <c r="I1683">
        <v>80.608263773552764</v>
      </c>
      <c r="J1683">
        <v>1230.8018505859375</v>
      </c>
      <c r="K1683">
        <v>1.3263646270034057</v>
      </c>
      <c r="L1683">
        <v>0</v>
      </c>
      <c r="M1683" t="str">
        <f>VLOOKUP(fact_daily_prices[[#This Row],[Ticker]], dim_company[], 2, FALSE)</f>
        <v>Reliance Industries</v>
      </c>
      <c r="N1683" t="str">
        <f>VLOOKUP(fact_daily_prices[[#This Row],[Ticker]], dim_company[], 3, FALSE)</f>
        <v>Energy &amp; Conglomerate</v>
      </c>
    </row>
    <row r="1684" spans="1:14" x14ac:dyDescent="0.3">
      <c r="A1684" s="1">
        <v>45736</v>
      </c>
      <c r="B1684">
        <v>1258.283447265625</v>
      </c>
      <c r="C1684">
        <v>1262.1004590128364</v>
      </c>
      <c r="D1684">
        <v>1239.3470073959113</v>
      </c>
      <c r="E1684">
        <v>1241.1315230182402</v>
      </c>
      <c r="F1684">
        <v>15971477</v>
      </c>
      <c r="G1684" s="2" t="s">
        <v>15</v>
      </c>
      <c r="H1684">
        <v>1.7640128350000284</v>
      </c>
      <c r="I1684">
        <v>82.030203892588929</v>
      </c>
      <c r="J1684">
        <v>1230.8742236328126</v>
      </c>
      <c r="K1684">
        <v>1.2338371108472517</v>
      </c>
      <c r="L1684">
        <v>0</v>
      </c>
      <c r="M1684" t="str">
        <f>VLOOKUP(fact_daily_prices[[#This Row],[Ticker]], dim_company[], 2, FALSE)</f>
        <v>Reliance Industries</v>
      </c>
      <c r="N1684" t="str">
        <f>VLOOKUP(fact_daily_prices[[#This Row],[Ticker]], dim_company[], 3, FALSE)</f>
        <v>Energy &amp; Conglomerate</v>
      </c>
    </row>
    <row r="1685" spans="1:14" x14ac:dyDescent="0.3">
      <c r="A1685" s="1">
        <v>45737</v>
      </c>
      <c r="B1685">
        <v>1265.421875</v>
      </c>
      <c r="C1685">
        <v>1270.0320859338292</v>
      </c>
      <c r="D1685">
        <v>1259.2253874612909</v>
      </c>
      <c r="E1685">
        <v>1264.0834578966685</v>
      </c>
      <c r="F1685">
        <v>21780769</v>
      </c>
      <c r="G1685" s="2" t="s">
        <v>15</v>
      </c>
      <c r="H1685">
        <v>0.56731476122391378</v>
      </c>
      <c r="I1685">
        <v>82.495573347933657</v>
      </c>
      <c r="J1685">
        <v>1231.3025244140624</v>
      </c>
      <c r="K1685">
        <v>1.2346872032439773</v>
      </c>
      <c r="L1685">
        <v>0</v>
      </c>
      <c r="M1685" t="str">
        <f>VLOOKUP(fact_daily_prices[[#This Row],[Ticker]], dim_company[], 2, FALSE)</f>
        <v>Reliance Industries</v>
      </c>
      <c r="N1685" t="str">
        <f>VLOOKUP(fact_daily_prices[[#This Row],[Ticker]], dim_company[], 3, FALSE)</f>
        <v>Energy &amp; Conglomerate</v>
      </c>
    </row>
    <row r="1686" spans="1:14" x14ac:dyDescent="0.3">
      <c r="A1686" s="1">
        <v>45740</v>
      </c>
      <c r="B1686">
        <v>1290.951416015625</v>
      </c>
      <c r="C1686">
        <v>1294.8180484818181</v>
      </c>
      <c r="D1686">
        <v>1273.2542716407156</v>
      </c>
      <c r="E1686">
        <v>1279.946478246575</v>
      </c>
      <c r="F1686">
        <v>20299319</v>
      </c>
      <c r="G1686" s="2" t="s">
        <v>15</v>
      </c>
      <c r="H1686">
        <v>2.0174727116697655</v>
      </c>
      <c r="I1686">
        <v>84.159899028563743</v>
      </c>
      <c r="J1686">
        <v>1232.4962158203125</v>
      </c>
      <c r="K1686">
        <v>1.2878631311052968</v>
      </c>
      <c r="L1686">
        <v>0</v>
      </c>
      <c r="M1686" t="str">
        <f>VLOOKUP(fact_daily_prices[[#This Row],[Ticker]], dim_company[], 2, FALSE)</f>
        <v>Reliance Industries</v>
      </c>
      <c r="N1686" t="str">
        <f>VLOOKUP(fact_daily_prices[[#This Row],[Ticker]], dim_company[], 3, FALSE)</f>
        <v>Energy &amp; Conglomerate</v>
      </c>
    </row>
    <row r="1687" spans="1:14" x14ac:dyDescent="0.3">
      <c r="A1687" s="1">
        <v>45741</v>
      </c>
      <c r="B1687">
        <v>1274.4439697265625</v>
      </c>
      <c r="C1687">
        <v>1296.50346593687</v>
      </c>
      <c r="D1687">
        <v>1271.6183955406093</v>
      </c>
      <c r="E1687">
        <v>1296.50346593687</v>
      </c>
      <c r="F1687">
        <v>13713899</v>
      </c>
      <c r="G1687" s="2" t="s">
        <v>15</v>
      </c>
      <c r="H1687">
        <v>-1.2787039143588252</v>
      </c>
      <c r="I1687">
        <v>83.083743105365059</v>
      </c>
      <c r="J1687">
        <v>1233.4004077148438</v>
      </c>
      <c r="K1687">
        <v>1.2919602118014066</v>
      </c>
      <c r="L1687">
        <v>0</v>
      </c>
      <c r="M1687" t="str">
        <f>VLOOKUP(fact_daily_prices[[#This Row],[Ticker]], dim_company[], 2, FALSE)</f>
        <v>Reliance Industries</v>
      </c>
      <c r="N1687" t="str">
        <f>VLOOKUP(fact_daily_prices[[#This Row],[Ticker]], dim_company[], 3, FALSE)</f>
        <v>Energy &amp; Conglomerate</v>
      </c>
    </row>
    <row r="1688" spans="1:14" x14ac:dyDescent="0.3">
      <c r="A1688" s="1">
        <v>45742</v>
      </c>
      <c r="B1688">
        <v>1262.150146484375</v>
      </c>
      <c r="C1688">
        <v>1282.7224842048431</v>
      </c>
      <c r="D1688">
        <v>1257.8869148358597</v>
      </c>
      <c r="E1688">
        <v>1279.9464094999762</v>
      </c>
      <c r="F1688">
        <v>12074747</v>
      </c>
      <c r="G1688" s="2" t="s">
        <v>15</v>
      </c>
      <c r="H1688">
        <v>-0.96464211328374239</v>
      </c>
      <c r="I1688">
        <v>82.282282330078232</v>
      </c>
      <c r="J1688">
        <v>1234.0805346679688</v>
      </c>
      <c r="K1688">
        <v>1.2901110072656454</v>
      </c>
      <c r="L1688">
        <v>0</v>
      </c>
      <c r="M1688" t="str">
        <f>VLOOKUP(fact_daily_prices[[#This Row],[Ticker]], dim_company[], 2, FALSE)</f>
        <v>Reliance Industries</v>
      </c>
      <c r="N1688" t="str">
        <f>VLOOKUP(fact_daily_prices[[#This Row],[Ticker]], dim_company[], 3, FALSE)</f>
        <v>Energy &amp; Conglomerate</v>
      </c>
    </row>
    <row r="1689" spans="1:14" x14ac:dyDescent="0.3">
      <c r="A1689" s="1">
        <v>45743</v>
      </c>
      <c r="B1689">
        <v>1267.2559814453125</v>
      </c>
      <c r="C1689">
        <v>1273.9978081396894</v>
      </c>
      <c r="D1689">
        <v>1260.4151561828105</v>
      </c>
      <c r="E1689">
        <v>1267.2064821612498</v>
      </c>
      <c r="F1689">
        <v>15028056</v>
      </c>
      <c r="G1689" s="2" t="s">
        <v>15</v>
      </c>
      <c r="H1689">
        <v>0.4045346724523613</v>
      </c>
      <c r="I1689">
        <v>82.615142691388542</v>
      </c>
      <c r="J1689">
        <v>1234.5960839843749</v>
      </c>
      <c r="K1689">
        <v>1.2571957277534234</v>
      </c>
      <c r="L1689">
        <v>0</v>
      </c>
      <c r="M1689" t="str">
        <f>VLOOKUP(fact_daily_prices[[#This Row],[Ticker]], dim_company[], 2, FALSE)</f>
        <v>Reliance Industries</v>
      </c>
      <c r="N1689" t="str">
        <f>VLOOKUP(fact_daily_prices[[#This Row],[Ticker]], dim_company[], 3, FALSE)</f>
        <v>Energy &amp; Conglomerate</v>
      </c>
    </row>
    <row r="1690" spans="1:14" x14ac:dyDescent="0.3">
      <c r="A1690" s="1">
        <v>45744</v>
      </c>
      <c r="B1690">
        <v>1264.1824951171875</v>
      </c>
      <c r="C1690">
        <v>1284.6557128160621</v>
      </c>
      <c r="D1690">
        <v>1258.1347478785124</v>
      </c>
      <c r="E1690">
        <v>1269.0405652360091</v>
      </c>
      <c r="F1690">
        <v>18147129</v>
      </c>
      <c r="G1690" s="2" t="s">
        <v>15</v>
      </c>
      <c r="H1690">
        <v>-0.2425308203808707</v>
      </c>
      <c r="I1690">
        <v>82.414775508060288</v>
      </c>
      <c r="J1690">
        <v>1234.7676025390624</v>
      </c>
      <c r="K1690">
        <v>1.2225330037290512</v>
      </c>
      <c r="L1690">
        <v>0</v>
      </c>
      <c r="M1690" t="str">
        <f>VLOOKUP(fact_daily_prices[[#This Row],[Ticker]], dim_company[], 2, FALSE)</f>
        <v>Reliance Industries</v>
      </c>
      <c r="N1690" t="str">
        <f>VLOOKUP(fact_daily_prices[[#This Row],[Ticker]], dim_company[], 3, FALSE)</f>
        <v>Energy &amp; Conglomerate</v>
      </c>
    </row>
    <row r="1691" spans="1:14" x14ac:dyDescent="0.3">
      <c r="A1691" s="1">
        <v>45748</v>
      </c>
      <c r="B1691">
        <v>1241.8751220703125</v>
      </c>
      <c r="C1691">
        <v>1266.9585500115554</v>
      </c>
      <c r="D1691">
        <v>1238.6034495291531</v>
      </c>
      <c r="E1691">
        <v>1253.7723771839194</v>
      </c>
      <c r="F1691">
        <v>12099648</v>
      </c>
      <c r="G1691" s="2" t="s">
        <v>15</v>
      </c>
      <c r="H1691">
        <v>-1.7645690501992828</v>
      </c>
      <c r="I1691">
        <v>80.960509886653824</v>
      </c>
      <c r="J1691">
        <v>1233.7811206054687</v>
      </c>
      <c r="K1691">
        <v>1.2720124523842795</v>
      </c>
      <c r="L1691">
        <v>0</v>
      </c>
      <c r="M1691" t="str">
        <f>VLOOKUP(fact_daily_prices[[#This Row],[Ticker]], dim_company[], 2, FALSE)</f>
        <v>Reliance Industries</v>
      </c>
      <c r="N1691" t="str">
        <f>VLOOKUP(fact_daily_prices[[#This Row],[Ticker]], dim_company[], 3, FALSE)</f>
        <v>Energy &amp; Conglomerate</v>
      </c>
    </row>
    <row r="1692" spans="1:14" x14ac:dyDescent="0.3">
      <c r="A1692" s="1">
        <v>45749</v>
      </c>
      <c r="B1692">
        <v>1240.4376220703125</v>
      </c>
      <c r="C1692">
        <v>1244.7999732789831</v>
      </c>
      <c r="D1692">
        <v>1233.2496968938565</v>
      </c>
      <c r="E1692">
        <v>1236.8684696359969</v>
      </c>
      <c r="F1692">
        <v>10142590</v>
      </c>
      <c r="G1692" s="2" t="s">
        <v>15</v>
      </c>
      <c r="H1692">
        <v>-0.11575237916060521</v>
      </c>
      <c r="I1692">
        <v>80.866796170279471</v>
      </c>
      <c r="J1692">
        <v>1232.7044189453125</v>
      </c>
      <c r="K1692">
        <v>1.2726593202304026</v>
      </c>
      <c r="L1692">
        <v>0</v>
      </c>
      <c r="M1692" t="str">
        <f>VLOOKUP(fact_daily_prices[[#This Row],[Ticker]], dim_company[], 2, FALSE)</f>
        <v>Reliance Industries</v>
      </c>
      <c r="N1692" t="str">
        <f>VLOOKUP(fact_daily_prices[[#This Row],[Ticker]], dim_company[], 3, FALSE)</f>
        <v>Energy &amp; Conglomerate</v>
      </c>
    </row>
    <row r="1693" spans="1:14" x14ac:dyDescent="0.3">
      <c r="A1693" s="1">
        <v>45750</v>
      </c>
      <c r="B1693">
        <v>1238.008544921875</v>
      </c>
      <c r="C1693">
        <v>1241.0820994494682</v>
      </c>
      <c r="D1693">
        <v>1222.4926375090713</v>
      </c>
      <c r="E1693">
        <v>1222.4926375090713</v>
      </c>
      <c r="F1693">
        <v>7434366</v>
      </c>
      <c r="G1693" s="2" t="s">
        <v>15</v>
      </c>
      <c r="H1693">
        <v>-0.19582420794229671</v>
      </c>
      <c r="I1693">
        <v>80.70843940719071</v>
      </c>
      <c r="J1693">
        <v>1232.2086987304688</v>
      </c>
      <c r="K1693">
        <v>1.2697373756601162</v>
      </c>
      <c r="L1693">
        <v>0</v>
      </c>
      <c r="M1693" t="str">
        <f>VLOOKUP(fact_daily_prices[[#This Row],[Ticker]], dim_company[], 2, FALSE)</f>
        <v>Reliance Industries</v>
      </c>
      <c r="N1693" t="str">
        <f>VLOOKUP(fact_daily_prices[[#This Row],[Ticker]], dim_company[], 3, FALSE)</f>
        <v>Energy &amp; Conglomerate</v>
      </c>
    </row>
    <row r="1694" spans="1:14" x14ac:dyDescent="0.3">
      <c r="A1694" s="1">
        <v>45751</v>
      </c>
      <c r="B1694">
        <v>1194.38525390625</v>
      </c>
      <c r="C1694">
        <v>1234.7863505024063</v>
      </c>
      <c r="D1694">
        <v>1182.9342181609516</v>
      </c>
      <c r="E1694">
        <v>1230.4736196106669</v>
      </c>
      <c r="F1694">
        <v>17908652</v>
      </c>
      <c r="G1694" s="2" t="s">
        <v>15</v>
      </c>
      <c r="H1694">
        <v>-3.5236663910407695</v>
      </c>
      <c r="I1694">
        <v>77.864543253066032</v>
      </c>
      <c r="J1694">
        <v>1230.7730932617187</v>
      </c>
      <c r="K1694">
        <v>1.4294734625620789</v>
      </c>
      <c r="L1694">
        <v>0</v>
      </c>
      <c r="M1694" t="str">
        <f>VLOOKUP(fact_daily_prices[[#This Row],[Ticker]], dim_company[], 2, FALSE)</f>
        <v>Reliance Industries</v>
      </c>
      <c r="N1694" t="str">
        <f>VLOOKUP(fact_daily_prices[[#This Row],[Ticker]], dim_company[], 3, FALSE)</f>
        <v>Energy &amp; Conglomerate</v>
      </c>
    </row>
    <row r="1695" spans="1:14" x14ac:dyDescent="0.3">
      <c r="A1695" s="1">
        <v>45754</v>
      </c>
      <c r="B1695">
        <v>1155.71923828125</v>
      </c>
      <c r="C1695">
        <v>1161.2217676393543</v>
      </c>
      <c r="D1695">
        <v>1105.3046397460778</v>
      </c>
      <c r="E1695">
        <v>1122.506064991245</v>
      </c>
      <c r="F1695">
        <v>22156106</v>
      </c>
      <c r="G1695" s="2" t="s">
        <v>15</v>
      </c>
      <c r="H1695">
        <v>-3.2373152212439305</v>
      </c>
      <c r="I1695">
        <v>75.343822542382455</v>
      </c>
      <c r="J1695">
        <v>1228.8308642578124</v>
      </c>
      <c r="K1695">
        <v>1.5425560412399402</v>
      </c>
      <c r="L1695">
        <v>0</v>
      </c>
      <c r="M1695" t="str">
        <f>VLOOKUP(fact_daily_prices[[#This Row],[Ticker]], dim_company[], 2, FALSE)</f>
        <v>Reliance Industries</v>
      </c>
      <c r="N1695" t="str">
        <f>VLOOKUP(fact_daily_prices[[#This Row],[Ticker]], dim_company[], 3, FALSE)</f>
        <v>Energy &amp; Conglomerate</v>
      </c>
    </row>
    <row r="1696" spans="1:14" x14ac:dyDescent="0.3">
      <c r="A1696" s="1">
        <v>45755</v>
      </c>
      <c r="B1696">
        <v>1172.0780029296875</v>
      </c>
      <c r="C1696">
        <v>1186.3547349162204</v>
      </c>
      <c r="D1696">
        <v>1153.3399207865864</v>
      </c>
      <c r="E1696">
        <v>1161.9653833278503</v>
      </c>
      <c r="F1696">
        <v>19555040</v>
      </c>
      <c r="G1696" s="2" t="s">
        <v>15</v>
      </c>
      <c r="H1696">
        <v>1.4154618272830488</v>
      </c>
      <c r="I1696">
        <v>76.41028558968577</v>
      </c>
      <c r="J1696">
        <v>1227.215810546875</v>
      </c>
      <c r="K1696">
        <v>1.5656006508739881</v>
      </c>
      <c r="L1696">
        <v>0</v>
      </c>
      <c r="M1696" t="str">
        <f>VLOOKUP(fact_daily_prices[[#This Row],[Ticker]], dim_company[], 2, FALSE)</f>
        <v>Reliance Industries</v>
      </c>
      <c r="N1696" t="str">
        <f>VLOOKUP(fact_daily_prices[[#This Row],[Ticker]], dim_company[], 3, FALSE)</f>
        <v>Energy &amp; Conglomerate</v>
      </c>
    </row>
    <row r="1697" spans="1:14" x14ac:dyDescent="0.3">
      <c r="A1697" s="1">
        <v>45756</v>
      </c>
      <c r="B1697">
        <v>1175.2010498046875</v>
      </c>
      <c r="C1697">
        <v>1179.613021672609</v>
      </c>
      <c r="D1697">
        <v>1157.9996241138483</v>
      </c>
      <c r="E1697">
        <v>1159.4867811653644</v>
      </c>
      <c r="F1697">
        <v>10223104</v>
      </c>
      <c r="G1697" s="2" t="s">
        <v>15</v>
      </c>
      <c r="H1697">
        <v>0.26645384242292014</v>
      </c>
      <c r="I1697">
        <v>76.613883731645799</v>
      </c>
      <c r="J1697">
        <v>1226.3433471679687</v>
      </c>
      <c r="K1697">
        <v>1.5663828577387082</v>
      </c>
      <c r="L1697">
        <v>0</v>
      </c>
      <c r="M1697" t="str">
        <f>VLOOKUP(fact_daily_prices[[#This Row],[Ticker]], dim_company[], 2, FALSE)</f>
        <v>Reliance Industries</v>
      </c>
      <c r="N1697" t="str">
        <f>VLOOKUP(fact_daily_prices[[#This Row],[Ticker]], dim_company[], 3, FALSE)</f>
        <v>Energy &amp; Conglomerate</v>
      </c>
    </row>
    <row r="1698" spans="1:14" x14ac:dyDescent="0.3">
      <c r="A1698" s="1">
        <v>45758</v>
      </c>
      <c r="B1698">
        <v>1208.5133056640625</v>
      </c>
      <c r="C1698">
        <v>1212.1816988912135</v>
      </c>
      <c r="D1698">
        <v>1184.917153801556</v>
      </c>
      <c r="E1698">
        <v>1184.917153801556</v>
      </c>
      <c r="F1698">
        <v>11224242</v>
      </c>
      <c r="G1698" s="2" t="s">
        <v>15</v>
      </c>
      <c r="H1698">
        <v>2.834600587270697</v>
      </c>
      <c r="I1698">
        <v>78.785581329833917</v>
      </c>
      <c r="J1698">
        <v>1226.0369921874999</v>
      </c>
      <c r="K1698">
        <v>1.6429773794152736</v>
      </c>
      <c r="L1698">
        <v>0</v>
      </c>
      <c r="M1698" t="str">
        <f>VLOOKUP(fact_daily_prices[[#This Row],[Ticker]], dim_company[], 2, FALSE)</f>
        <v>Reliance Industries</v>
      </c>
      <c r="N1698" t="str">
        <f>VLOOKUP(fact_daily_prices[[#This Row],[Ticker]], dim_company[], 3, FALSE)</f>
        <v>Energy &amp; Conglomerate</v>
      </c>
    </row>
    <row r="1699" spans="1:14" x14ac:dyDescent="0.3">
      <c r="A1699" s="1">
        <v>45762</v>
      </c>
      <c r="B1699">
        <v>1229.4822998046875</v>
      </c>
      <c r="C1699">
        <v>1240.2889987389381</v>
      </c>
      <c r="D1699">
        <v>1226.5079856590305</v>
      </c>
      <c r="E1699">
        <v>1240.2889987389381</v>
      </c>
      <c r="F1699">
        <v>13378535</v>
      </c>
      <c r="G1699" s="2" t="s">
        <v>15</v>
      </c>
      <c r="H1699">
        <v>1.7351066010069971</v>
      </c>
      <c r="I1699">
        <v>80.152595152129607</v>
      </c>
      <c r="J1699">
        <v>1226.1282055664062</v>
      </c>
      <c r="K1699">
        <v>1.6627894448872127</v>
      </c>
      <c r="L1699">
        <v>0</v>
      </c>
      <c r="M1699" t="str">
        <f>VLOOKUP(fact_daily_prices[[#This Row],[Ticker]], dim_company[], 2, FALSE)</f>
        <v>Reliance Industries</v>
      </c>
      <c r="N1699" t="str">
        <f>VLOOKUP(fact_daily_prices[[#This Row],[Ticker]], dim_company[], 3, FALSE)</f>
        <v>Energy &amp; Conglomerate</v>
      </c>
    </row>
    <row r="1700" spans="1:14" x14ac:dyDescent="0.3">
      <c r="A1700" s="1">
        <v>45763</v>
      </c>
      <c r="B1700">
        <v>1228.689208984375</v>
      </c>
      <c r="C1700">
        <v>1230.2754856402491</v>
      </c>
      <c r="D1700">
        <v>1218.477348782242</v>
      </c>
      <c r="E1700">
        <v>1223.5336585713449</v>
      </c>
      <c r="F1700">
        <v>8248464</v>
      </c>
      <c r="G1700" s="2" t="s">
        <v>15</v>
      </c>
      <c r="H1700">
        <v>-6.4506078732362582E-2</v>
      </c>
      <c r="I1700">
        <v>80.100891855994732</v>
      </c>
      <c r="J1700">
        <v>1225.8555615234375</v>
      </c>
      <c r="K1700">
        <v>1.6628565684683767</v>
      </c>
      <c r="L1700">
        <v>0</v>
      </c>
      <c r="M1700" t="str">
        <f>VLOOKUP(fact_daily_prices[[#This Row],[Ticker]], dim_company[], 2, FALSE)</f>
        <v>Reliance Industries</v>
      </c>
      <c r="N1700" t="str">
        <f>VLOOKUP(fact_daily_prices[[#This Row],[Ticker]], dim_company[], 3, FALSE)</f>
        <v>Energy &amp; Conglomerate</v>
      </c>
    </row>
    <row r="1701" spans="1:14" x14ac:dyDescent="0.3">
      <c r="A1701" s="1">
        <v>45764</v>
      </c>
      <c r="B1701">
        <v>1263.5877685546875</v>
      </c>
      <c r="C1701">
        <v>1269.238916912585</v>
      </c>
      <c r="D1701">
        <v>1217.0893007676923</v>
      </c>
      <c r="E1701">
        <v>1229.5813957339365</v>
      </c>
      <c r="F1701">
        <v>15398401</v>
      </c>
      <c r="G1701" s="2" t="s">
        <v>15</v>
      </c>
      <c r="H1701">
        <v>2.8403081361119353</v>
      </c>
      <c r="I1701">
        <v>82.376004004478773</v>
      </c>
      <c r="J1701">
        <v>1226.041953125</v>
      </c>
      <c r="K1701">
        <v>1.7304252540067158</v>
      </c>
      <c r="L1701">
        <v>0</v>
      </c>
      <c r="M1701" t="str">
        <f>VLOOKUP(fact_daily_prices[[#This Row],[Ticker]], dim_company[], 2, FALSE)</f>
        <v>Reliance Industries</v>
      </c>
      <c r="N1701" t="str">
        <f>VLOOKUP(fact_daily_prices[[#This Row],[Ticker]], dim_company[], 3, FALSE)</f>
        <v>Energy &amp; Conglomerate</v>
      </c>
    </row>
    <row r="1702" spans="1:14" x14ac:dyDescent="0.3">
      <c r="A1702" s="1">
        <v>45768</v>
      </c>
      <c r="B1702">
        <v>1284.407958984375</v>
      </c>
      <c r="C1702">
        <v>1289.761748514388</v>
      </c>
      <c r="D1702">
        <v>1256.1519753247419</v>
      </c>
      <c r="E1702">
        <v>1259.1262893941771</v>
      </c>
      <c r="F1702">
        <v>10429964</v>
      </c>
      <c r="G1702" s="2" t="s">
        <v>15</v>
      </c>
      <c r="H1702">
        <v>1.6477043342625786</v>
      </c>
      <c r="I1702">
        <v>83.733316992852906</v>
      </c>
      <c r="J1702">
        <v>1226.6546630859375</v>
      </c>
      <c r="K1702">
        <v>1.6762210998841318</v>
      </c>
      <c r="L1702">
        <v>0</v>
      </c>
      <c r="M1702" t="str">
        <f>VLOOKUP(fact_daily_prices[[#This Row],[Ticker]], dim_company[], 2, FALSE)</f>
        <v>Reliance Industries</v>
      </c>
      <c r="N1702" t="str">
        <f>VLOOKUP(fact_daily_prices[[#This Row],[Ticker]], dim_company[], 3, FALSE)</f>
        <v>Energy &amp; Conglomerate</v>
      </c>
    </row>
    <row r="1703" spans="1:14" x14ac:dyDescent="0.3">
      <c r="A1703" s="1">
        <v>45769</v>
      </c>
      <c r="B1703">
        <v>1280.1446533203125</v>
      </c>
      <c r="C1703">
        <v>1292.7359881039044</v>
      </c>
      <c r="D1703">
        <v>1275.286704106908</v>
      </c>
      <c r="E1703">
        <v>1288.8693558313821</v>
      </c>
      <c r="F1703">
        <v>13051707</v>
      </c>
      <c r="G1703" s="2" t="s">
        <v>15</v>
      </c>
      <c r="H1703">
        <v>-0.33192768965972785</v>
      </c>
      <c r="I1703">
        <v>83.455382928283058</v>
      </c>
      <c r="J1703">
        <v>1227.5529028320314</v>
      </c>
      <c r="K1703">
        <v>1.6673413983037413</v>
      </c>
      <c r="L1703">
        <v>0</v>
      </c>
      <c r="M1703" t="str">
        <f>VLOOKUP(fact_daily_prices[[#This Row],[Ticker]], dim_company[], 2, FALSE)</f>
        <v>Reliance Industries</v>
      </c>
      <c r="N1703" t="str">
        <f>VLOOKUP(fact_daily_prices[[#This Row],[Ticker]], dim_company[], 3, FALSE)</f>
        <v>Energy &amp; Conglomerate</v>
      </c>
    </row>
    <row r="1704" spans="1:14" x14ac:dyDescent="0.3">
      <c r="A1704" s="1">
        <v>45770</v>
      </c>
      <c r="B1704">
        <v>1288.869384765625</v>
      </c>
      <c r="C1704">
        <v>1294.8180126953123</v>
      </c>
      <c r="D1704">
        <v>1274.3944143417475</v>
      </c>
      <c r="E1704">
        <v>1285.8950708007812</v>
      </c>
      <c r="F1704">
        <v>10480888</v>
      </c>
      <c r="G1704" s="2" t="s">
        <v>15</v>
      </c>
      <c r="H1704">
        <v>0.68154262275619271</v>
      </c>
      <c r="I1704">
        <v>84.024166933923709</v>
      </c>
      <c r="J1704">
        <v>1227.8463696289064</v>
      </c>
      <c r="K1704">
        <v>1.6614363965699548</v>
      </c>
      <c r="L1704">
        <v>0</v>
      </c>
      <c r="M1704" t="str">
        <f>VLOOKUP(fact_daily_prices[[#This Row],[Ticker]], dim_company[], 2, FALSE)</f>
        <v>Reliance Industries</v>
      </c>
      <c r="N1704" t="str">
        <f>VLOOKUP(fact_daily_prices[[#This Row],[Ticker]], dim_company[], 3, FALSE)</f>
        <v>Energy &amp; Conglomerate</v>
      </c>
    </row>
    <row r="1705" spans="1:14" x14ac:dyDescent="0.3">
      <c r="A1705" s="1">
        <v>45771</v>
      </c>
      <c r="B1705">
        <v>1290.4556884765625</v>
      </c>
      <c r="C1705">
        <v>1293.3308829080645</v>
      </c>
      <c r="D1705">
        <v>1279.2525115884996</v>
      </c>
      <c r="E1705">
        <v>1281.3345072026398</v>
      </c>
      <c r="F1705">
        <v>10468940</v>
      </c>
      <c r="G1705" s="2" t="s">
        <v>15</v>
      </c>
      <c r="H1705">
        <v>0.12307715038371025</v>
      </c>
      <c r="I1705">
        <v>84.127581484219633</v>
      </c>
      <c r="J1705">
        <v>1228.3103637695313</v>
      </c>
      <c r="K1705">
        <v>1.5907026398091249</v>
      </c>
      <c r="L1705">
        <v>0</v>
      </c>
      <c r="M1705" t="str">
        <f>VLOOKUP(fact_daily_prices[[#This Row],[Ticker]], dim_company[], 2, FALSE)</f>
        <v>Reliance Industries</v>
      </c>
      <c r="N1705" t="str">
        <f>VLOOKUP(fact_daily_prices[[#This Row],[Ticker]], dim_company[], 3, FALSE)</f>
        <v>Energy &amp; Conglomerate</v>
      </c>
    </row>
    <row r="1706" spans="1:14" x14ac:dyDescent="0.3">
      <c r="A1706" s="1">
        <v>45772</v>
      </c>
      <c r="B1706">
        <v>1289.2659912109375</v>
      </c>
      <c r="C1706">
        <v>1313.85358083958</v>
      </c>
      <c r="D1706">
        <v>1277.071255478384</v>
      </c>
      <c r="E1706">
        <v>1292.3394247863746</v>
      </c>
      <c r="F1706">
        <v>14431012</v>
      </c>
      <c r="G1706" s="2" t="s">
        <v>15</v>
      </c>
      <c r="H1706">
        <v>-9.2192027688253742E-2</v>
      </c>
      <c r="I1706">
        <v>84.050022561004241</v>
      </c>
      <c r="J1706">
        <v>1228.6841357421874</v>
      </c>
      <c r="K1706">
        <v>1.4821819629811326</v>
      </c>
      <c r="L1706">
        <v>0</v>
      </c>
      <c r="M1706" t="str">
        <f>VLOOKUP(fact_daily_prices[[#This Row],[Ticker]], dim_company[], 2, FALSE)</f>
        <v>Reliance Industries</v>
      </c>
      <c r="N1706" t="str">
        <f>VLOOKUP(fact_daily_prices[[#This Row],[Ticker]], dim_company[], 3, FALSE)</f>
        <v>Energy &amp; Conglomerate</v>
      </c>
    </row>
    <row r="1707" spans="1:14" x14ac:dyDescent="0.3">
      <c r="A1707" s="1">
        <v>45775</v>
      </c>
      <c r="B1707">
        <v>1357.080322265625</v>
      </c>
      <c r="C1707">
        <v>1362.8305897939961</v>
      </c>
      <c r="D1707">
        <v>1308.8963407951755</v>
      </c>
      <c r="E1707">
        <v>1328.5268607294431</v>
      </c>
      <c r="F1707">
        <v>31104496</v>
      </c>
      <c r="G1707" s="2" t="s">
        <v>15</v>
      </c>
      <c r="H1707">
        <v>5.2599177762373994</v>
      </c>
      <c r="I1707">
        <v>88.470984638622056</v>
      </c>
      <c r="J1707">
        <v>1230.7086523437499</v>
      </c>
      <c r="K1707">
        <v>1.7371034100747216</v>
      </c>
      <c r="L1707">
        <v>1</v>
      </c>
      <c r="M1707" t="str">
        <f>VLOOKUP(fact_daily_prices[[#This Row],[Ticker]], dim_company[], 2, FALSE)</f>
        <v>Reliance Industries</v>
      </c>
      <c r="N1707" t="str">
        <f>VLOOKUP(fact_daily_prices[[#This Row],[Ticker]], dim_company[], 3, FALSE)</f>
        <v>Energy &amp; Conglomerate</v>
      </c>
    </row>
    <row r="1708" spans="1:14" x14ac:dyDescent="0.3">
      <c r="A1708" s="1">
        <v>45776</v>
      </c>
      <c r="B1708">
        <v>1387.7156982421875</v>
      </c>
      <c r="C1708">
        <v>1398.8198762816546</v>
      </c>
      <c r="D1708">
        <v>1358.2700385179512</v>
      </c>
      <c r="E1708">
        <v>1359.2614765022709</v>
      </c>
      <c r="F1708">
        <v>32538970</v>
      </c>
      <c r="G1708" s="2" t="s">
        <v>15</v>
      </c>
      <c r="H1708">
        <v>2.2574475124226501</v>
      </c>
      <c r="I1708">
        <v>90.468170680562437</v>
      </c>
      <c r="J1708">
        <v>1233.6046411132813</v>
      </c>
      <c r="K1708">
        <v>1.7707938978071995</v>
      </c>
      <c r="L1708">
        <v>1</v>
      </c>
      <c r="M1708" t="str">
        <f>VLOOKUP(fact_daily_prices[[#This Row],[Ticker]], dim_company[], 2, FALSE)</f>
        <v>Reliance Industries</v>
      </c>
      <c r="N1708" t="str">
        <f>VLOOKUP(fact_daily_prices[[#This Row],[Ticker]], dim_company[], 3, FALSE)</f>
        <v>Energy &amp; Conglomerate</v>
      </c>
    </row>
    <row r="1709" spans="1:14" x14ac:dyDescent="0.3">
      <c r="A1709" s="1">
        <v>45777</v>
      </c>
      <c r="B1709">
        <v>1392.9703369140625</v>
      </c>
      <c r="C1709">
        <v>1400.3070020394923</v>
      </c>
      <c r="D1709">
        <v>1357.2785702742715</v>
      </c>
      <c r="E1709">
        <v>1389.9960230274132</v>
      </c>
      <c r="F1709">
        <v>25480745</v>
      </c>
      <c r="G1709" s="2" t="s">
        <v>15</v>
      </c>
      <c r="H1709">
        <v>0.37865383223170124</v>
      </c>
      <c r="I1709">
        <v>90.810731875794318</v>
      </c>
      <c r="J1709">
        <v>1236.9785034179688</v>
      </c>
      <c r="K1709">
        <v>1.7693269577615411</v>
      </c>
      <c r="L1709">
        <v>0</v>
      </c>
      <c r="M1709" t="str">
        <f>VLOOKUP(fact_daily_prices[[#This Row],[Ticker]], dim_company[], 2, FALSE)</f>
        <v>Reliance Industries</v>
      </c>
      <c r="N1709" t="str">
        <f>VLOOKUP(fact_daily_prices[[#This Row],[Ticker]], dim_company[], 3, FALSE)</f>
        <v>Energy &amp; Conglomerate</v>
      </c>
    </row>
    <row r="1710" spans="1:14" x14ac:dyDescent="0.3">
      <c r="A1710" s="1">
        <v>45779</v>
      </c>
      <c r="B1710">
        <v>1407.6436767578125</v>
      </c>
      <c r="C1710">
        <v>1414.4845019236116</v>
      </c>
      <c r="D1710">
        <v>1397.0352178747166</v>
      </c>
      <c r="E1710">
        <v>1401.8932881277126</v>
      </c>
      <c r="F1710">
        <v>13007841</v>
      </c>
      <c r="G1710" s="2" t="s">
        <v>15</v>
      </c>
      <c r="H1710">
        <v>1.0533849468939094</v>
      </c>
      <c r="I1710">
        <v>91.767318455538103</v>
      </c>
      <c r="J1710">
        <v>1241.0086987304687</v>
      </c>
      <c r="K1710">
        <v>1.7605018424588172</v>
      </c>
      <c r="L1710">
        <v>0</v>
      </c>
      <c r="M1710" t="str">
        <f>VLOOKUP(fact_daily_prices[[#This Row],[Ticker]], dim_company[], 2, FALSE)</f>
        <v>Reliance Industries</v>
      </c>
      <c r="N1710" t="str">
        <f>VLOOKUP(fact_daily_prices[[#This Row],[Ticker]], dim_company[], 3, FALSE)</f>
        <v>Energy &amp; Conglomerate</v>
      </c>
    </row>
    <row r="1711" spans="1:14" x14ac:dyDescent="0.3">
      <c r="A1711" s="1">
        <v>45782</v>
      </c>
      <c r="B1711">
        <v>1419.0452880859375</v>
      </c>
      <c r="C1711">
        <v>1427.1750314493302</v>
      </c>
      <c r="D1711">
        <v>1414.6829365878357</v>
      </c>
      <c r="E1711">
        <v>1418.747808269532</v>
      </c>
      <c r="F1711">
        <v>12685649</v>
      </c>
      <c r="G1711" s="2" t="s">
        <v>15</v>
      </c>
      <c r="H1711">
        <v>0.80997851348190153</v>
      </c>
      <c r="I1711">
        <v>92.510614017426491</v>
      </c>
      <c r="J1711">
        <v>1245.2758520507812</v>
      </c>
      <c r="K1711">
        <v>1.7475478914271358</v>
      </c>
      <c r="L1711">
        <v>0</v>
      </c>
      <c r="M1711" t="str">
        <f>VLOOKUP(fact_daily_prices[[#This Row],[Ticker]], dim_company[], 2, FALSE)</f>
        <v>Reliance Industries</v>
      </c>
      <c r="N1711" t="str">
        <f>VLOOKUP(fact_daily_prices[[#This Row],[Ticker]], dim_company[], 3, FALSE)</f>
        <v>Energy &amp; Conglomerate</v>
      </c>
    </row>
    <row r="1712" spans="1:14" x14ac:dyDescent="0.3">
      <c r="A1712" s="1">
        <v>45783</v>
      </c>
      <c r="B1712">
        <v>1408.7342529296875</v>
      </c>
      <c r="C1712">
        <v>1419.7391903256466</v>
      </c>
      <c r="D1712">
        <v>1398.5223933042987</v>
      </c>
      <c r="E1712">
        <v>1418.7477523435757</v>
      </c>
      <c r="F1712">
        <v>14084117</v>
      </c>
      <c r="G1712" s="2" t="s">
        <v>15</v>
      </c>
      <c r="H1712">
        <v>-0.72661776497336961</v>
      </c>
      <c r="I1712">
        <v>91.838415461489916</v>
      </c>
      <c r="J1712">
        <v>1249.3139794921874</v>
      </c>
      <c r="K1712">
        <v>1.7596695967524341</v>
      </c>
      <c r="L1712">
        <v>0</v>
      </c>
      <c r="M1712" t="str">
        <f>VLOOKUP(fact_daily_prices[[#This Row],[Ticker]], dim_company[], 2, FALSE)</f>
        <v>Reliance Industries</v>
      </c>
      <c r="N1712" t="str">
        <f>VLOOKUP(fact_daily_prices[[#This Row],[Ticker]], dim_company[], 3, FALSE)</f>
        <v>Energy &amp; Conglomerate</v>
      </c>
    </row>
    <row r="1713" spans="1:14" x14ac:dyDescent="0.3">
      <c r="A1713" s="1">
        <v>45784</v>
      </c>
      <c r="B1713">
        <v>1393.9617919921875</v>
      </c>
      <c r="C1713">
        <v>1412.2042749259899</v>
      </c>
      <c r="D1713">
        <v>1390.6899982666434</v>
      </c>
      <c r="E1713">
        <v>1408.7342420156256</v>
      </c>
      <c r="F1713">
        <v>13440169</v>
      </c>
      <c r="G1713" s="2" t="s">
        <v>15</v>
      </c>
      <c r="H1713">
        <v>-1.0486336160832499</v>
      </c>
      <c r="I1713">
        <v>90.875366964482524</v>
      </c>
      <c r="J1713">
        <v>1252.9049658203126</v>
      </c>
      <c r="K1713">
        <v>1.7808816088693298</v>
      </c>
      <c r="L1713">
        <v>0</v>
      </c>
      <c r="M1713" t="str">
        <f>VLOOKUP(fact_daily_prices[[#This Row],[Ticker]], dim_company[], 2, FALSE)</f>
        <v>Reliance Industries</v>
      </c>
      <c r="N1713" t="str">
        <f>VLOOKUP(fact_daily_prices[[#This Row],[Ticker]], dim_company[], 3, FALSE)</f>
        <v>Energy &amp; Conglomerate</v>
      </c>
    </row>
    <row r="1714" spans="1:14" x14ac:dyDescent="0.3">
      <c r="A1714" s="1">
        <v>45785</v>
      </c>
      <c r="B1714">
        <v>1394.9532470703125</v>
      </c>
      <c r="C1714">
        <v>1408.6351396947059</v>
      </c>
      <c r="D1714">
        <v>1386.0303051913979</v>
      </c>
      <c r="E1714">
        <v>1392.0780527042998</v>
      </c>
      <c r="F1714">
        <v>16106175</v>
      </c>
      <c r="G1714" s="2" t="s">
        <v>15</v>
      </c>
      <c r="H1714">
        <v>7.1124982321646435E-2</v>
      </c>
      <c r="I1714">
        <v>90.940002053170758</v>
      </c>
      <c r="J1714">
        <v>1256.5058666992188</v>
      </c>
      <c r="K1714">
        <v>1.7634194130175924</v>
      </c>
      <c r="L1714">
        <v>0</v>
      </c>
      <c r="M1714" t="str">
        <f>VLOOKUP(fact_daily_prices[[#This Row],[Ticker]], dim_company[], 2, FALSE)</f>
        <v>Reliance Industries</v>
      </c>
      <c r="N1714" t="str">
        <f>VLOOKUP(fact_daily_prices[[#This Row],[Ticker]], dim_company[], 3, FALSE)</f>
        <v>Energy &amp; Conglomerate</v>
      </c>
    </row>
    <row r="1715" spans="1:14" x14ac:dyDescent="0.3">
      <c r="A1715" s="1">
        <v>45786</v>
      </c>
      <c r="B1715">
        <v>1365.408447265625</v>
      </c>
      <c r="C1715">
        <v>1382.8578539346386</v>
      </c>
      <c r="D1715">
        <v>1362.7316129147771</v>
      </c>
      <c r="E1715">
        <v>1373.6374315703338</v>
      </c>
      <c r="F1715">
        <v>13668904</v>
      </c>
      <c r="G1715" s="2" t="s">
        <v>15</v>
      </c>
      <c r="H1715">
        <v>-2.1179777793082</v>
      </c>
      <c r="I1715">
        <v>89.013913017182176</v>
      </c>
      <c r="J1715">
        <v>1259.4752270507813</v>
      </c>
      <c r="K1715">
        <v>1.8197455898845436</v>
      </c>
      <c r="L1715">
        <v>0</v>
      </c>
      <c r="M1715" t="str">
        <f>VLOOKUP(fact_daily_prices[[#This Row],[Ticker]], dim_company[], 2, FALSE)</f>
        <v>Reliance Industries</v>
      </c>
      <c r="N1715" t="str">
        <f>VLOOKUP(fact_daily_prices[[#This Row],[Ticker]], dim_company[], 3, FALSE)</f>
        <v>Energy &amp; Conglomerate</v>
      </c>
    </row>
    <row r="1716" spans="1:14" x14ac:dyDescent="0.3">
      <c r="A1716" s="1">
        <v>45789</v>
      </c>
      <c r="B1716">
        <v>1424.20068359375</v>
      </c>
      <c r="C1716">
        <v>1426.679278587822</v>
      </c>
      <c r="D1716">
        <v>1388.0131966802994</v>
      </c>
      <c r="E1716">
        <v>1388.0131966802994</v>
      </c>
      <c r="F1716">
        <v>10674081</v>
      </c>
      <c r="G1716" s="2" t="s">
        <v>15</v>
      </c>
      <c r="H1716">
        <v>4.3058351107950754</v>
      </c>
      <c r="I1716">
        <v>92.84670533736859</v>
      </c>
      <c r="J1716">
        <v>1263.5103808593749</v>
      </c>
      <c r="K1716">
        <v>1.9395496378368946</v>
      </c>
      <c r="L1716">
        <v>0</v>
      </c>
      <c r="M1716" t="str">
        <f>VLOOKUP(fact_daily_prices[[#This Row],[Ticker]], dim_company[], 2, FALSE)</f>
        <v>Reliance Industries</v>
      </c>
      <c r="N1716" t="str">
        <f>VLOOKUP(fact_daily_prices[[#This Row],[Ticker]], dim_company[], 3, FALSE)</f>
        <v>Energy &amp; Conglomerate</v>
      </c>
    </row>
    <row r="1717" spans="1:14" x14ac:dyDescent="0.3">
      <c r="A1717" s="1">
        <v>45790</v>
      </c>
      <c r="B1717">
        <v>1403.5787353515625</v>
      </c>
      <c r="C1717">
        <v>1435.3047515134413</v>
      </c>
      <c r="D1717">
        <v>1400.307062549957</v>
      </c>
      <c r="E1717">
        <v>1421.2263802516663</v>
      </c>
      <c r="F1717">
        <v>11407896</v>
      </c>
      <c r="G1717" s="2" t="s">
        <v>15</v>
      </c>
      <c r="H1717">
        <v>-1.4479664614505894</v>
      </c>
      <c r="I1717">
        <v>91.502316183521643</v>
      </c>
      <c r="J1717">
        <v>1267.2292651367188</v>
      </c>
      <c r="K1717">
        <v>1.9446782561488531</v>
      </c>
      <c r="L1717">
        <v>0</v>
      </c>
      <c r="M1717" t="str">
        <f>VLOOKUP(fact_daily_prices[[#This Row],[Ticker]], dim_company[], 2, FALSE)</f>
        <v>Reliance Industries</v>
      </c>
      <c r="N1717" t="str">
        <f>VLOOKUP(fact_daily_prices[[#This Row],[Ticker]], dim_company[], 3, FALSE)</f>
        <v>Energy &amp; Conglomerate</v>
      </c>
    </row>
    <row r="1718" spans="1:14" x14ac:dyDescent="0.3">
      <c r="A1718" s="1">
        <v>45791</v>
      </c>
      <c r="B1718">
        <v>1403.5787353515625</v>
      </c>
      <c r="C1718">
        <v>1417.6571322938998</v>
      </c>
      <c r="D1718">
        <v>1403.380401776207</v>
      </c>
      <c r="E1718">
        <v>1407.8418724989149</v>
      </c>
      <c r="F1718">
        <v>5570160</v>
      </c>
      <c r="G1718" s="2" t="s">
        <v>15</v>
      </c>
      <c r="H1718">
        <v>0</v>
      </c>
      <c r="I1718">
        <v>91.502316183521643</v>
      </c>
      <c r="J1718">
        <v>1271.2178173828124</v>
      </c>
      <c r="K1718">
        <v>1.9302779424584038</v>
      </c>
      <c r="L1718">
        <v>0</v>
      </c>
      <c r="M1718" t="str">
        <f>VLOOKUP(fact_daily_prices[[#This Row],[Ticker]], dim_company[], 2, FALSE)</f>
        <v>Reliance Industries</v>
      </c>
      <c r="N1718" t="str">
        <f>VLOOKUP(fact_daily_prices[[#This Row],[Ticker]], dim_company[], 3, FALSE)</f>
        <v>Energy &amp; Conglomerate</v>
      </c>
    </row>
    <row r="1719" spans="1:14" x14ac:dyDescent="0.3">
      <c r="A1719" s="1">
        <v>45792</v>
      </c>
      <c r="B1719">
        <v>1441.7491455078125</v>
      </c>
      <c r="C1719">
        <v>1448.8875719918406</v>
      </c>
      <c r="D1719">
        <v>1400.6044669576877</v>
      </c>
      <c r="E1719">
        <v>1412.7992032271827</v>
      </c>
      <c r="F1719">
        <v>20177211</v>
      </c>
      <c r="G1719" s="2" t="s">
        <v>15</v>
      </c>
      <c r="H1719">
        <v>2.719506159138918</v>
      </c>
      <c r="I1719">
        <v>93.990727307887283</v>
      </c>
      <c r="J1719">
        <v>1276.1789721679688</v>
      </c>
      <c r="K1719">
        <v>1.9773012747679368</v>
      </c>
      <c r="L1719">
        <v>0</v>
      </c>
      <c r="M1719" t="str">
        <f>VLOOKUP(fact_daily_prices[[#This Row],[Ticker]], dim_company[], 2, FALSE)</f>
        <v>Reliance Industries</v>
      </c>
      <c r="N1719" t="str">
        <f>VLOOKUP(fact_daily_prices[[#This Row],[Ticker]], dim_company[], 3, FALSE)</f>
        <v>Energy &amp; Conglomerate</v>
      </c>
    </row>
    <row r="1720" spans="1:14" x14ac:dyDescent="0.3">
      <c r="A1720" s="1">
        <v>45793</v>
      </c>
      <c r="B1720">
        <v>1443.9302978515625</v>
      </c>
      <c r="C1720">
        <v>1448.4908883531898</v>
      </c>
      <c r="D1720">
        <v>1434.9082364412498</v>
      </c>
      <c r="E1720">
        <v>1440.7576237014109</v>
      </c>
      <c r="F1720">
        <v>9036695</v>
      </c>
      <c r="G1720" s="2" t="s">
        <v>15</v>
      </c>
      <c r="H1720">
        <v>0.15128514905287105</v>
      </c>
      <c r="I1720">
        <v>94.132921319790896</v>
      </c>
      <c r="J1720">
        <v>1281.1222827148438</v>
      </c>
      <c r="K1720">
        <v>1.9738514572091166</v>
      </c>
      <c r="L1720">
        <v>0</v>
      </c>
      <c r="M1720" t="str">
        <f>VLOOKUP(fact_daily_prices[[#This Row],[Ticker]], dim_company[], 2, FALSE)</f>
        <v>Reliance Industries</v>
      </c>
      <c r="N1720" t="str">
        <f>VLOOKUP(fact_daily_prices[[#This Row],[Ticker]], dim_company[], 3, FALSE)</f>
        <v>Energy &amp; Conglomerate</v>
      </c>
    </row>
    <row r="1721" spans="1:14" x14ac:dyDescent="0.3">
      <c r="A1721" s="1">
        <v>45796</v>
      </c>
      <c r="B1721">
        <v>1428.4638671875</v>
      </c>
      <c r="C1721">
        <v>1442.1456384779733</v>
      </c>
      <c r="D1721">
        <v>1425.8860316605419</v>
      </c>
      <c r="E1721">
        <v>1439.667043567546</v>
      </c>
      <c r="F1721">
        <v>6195791</v>
      </c>
      <c r="G1721" s="2" t="s">
        <v>15</v>
      </c>
      <c r="H1721">
        <v>-1.0711341598050206</v>
      </c>
      <c r="I1721">
        <v>93.124631443912236</v>
      </c>
      <c r="J1721">
        <v>1285.8950659179689</v>
      </c>
      <c r="K1721">
        <v>1.950794091550706</v>
      </c>
      <c r="L1721">
        <v>0</v>
      </c>
      <c r="M1721" t="str">
        <f>VLOOKUP(fact_daily_prices[[#This Row],[Ticker]], dim_company[], 2, FALSE)</f>
        <v>Reliance Industries</v>
      </c>
      <c r="N1721" t="str">
        <f>VLOOKUP(fact_daily_prices[[#This Row],[Ticker]], dim_company[], 3, FALSE)</f>
        <v>Energy &amp; Conglomerate</v>
      </c>
    </row>
    <row r="1722" spans="1:14" x14ac:dyDescent="0.3">
      <c r="A1722" s="1">
        <v>45797</v>
      </c>
      <c r="B1722">
        <v>1412.402587890625</v>
      </c>
      <c r="C1722">
        <v>1432.6279478297215</v>
      </c>
      <c r="D1722">
        <v>1409.6266340324114</v>
      </c>
      <c r="E1722">
        <v>1425.8861208416397</v>
      </c>
      <c r="F1722">
        <v>11270560</v>
      </c>
      <c r="G1722" s="2" t="s">
        <v>15</v>
      </c>
      <c r="H1722">
        <v>-1.1243742082533759</v>
      </c>
      <c r="I1722">
        <v>92.077562106425873</v>
      </c>
      <c r="J1722">
        <v>1290.9186840820312</v>
      </c>
      <c r="K1722">
        <v>1.9701170605757123</v>
      </c>
      <c r="L1722">
        <v>0</v>
      </c>
      <c r="M1722" t="str">
        <f>VLOOKUP(fact_daily_prices[[#This Row],[Ticker]], dim_company[], 2, FALSE)</f>
        <v>Reliance Industries</v>
      </c>
      <c r="N1722" t="str">
        <f>VLOOKUP(fact_daily_prices[[#This Row],[Ticker]], dim_company[], 3, FALSE)</f>
        <v>Energy &amp; Conglomerate</v>
      </c>
    </row>
    <row r="1723" spans="1:14" x14ac:dyDescent="0.3">
      <c r="A1723" s="1">
        <v>45798</v>
      </c>
      <c r="B1723">
        <v>1416.963134765625</v>
      </c>
      <c r="C1723">
        <v>1423.9032007341596</v>
      </c>
      <c r="D1723">
        <v>1405.9581972205492</v>
      </c>
      <c r="E1723">
        <v>1411.7085860045363</v>
      </c>
      <c r="F1723">
        <v>6136364</v>
      </c>
      <c r="G1723" s="2" t="s">
        <v>15</v>
      </c>
      <c r="H1723">
        <v>0.32289284330828671</v>
      </c>
      <c r="I1723">
        <v>92.374873964760269</v>
      </c>
      <c r="J1723">
        <v>1296.2189111328125</v>
      </c>
      <c r="K1723">
        <v>1.9665055589132057</v>
      </c>
      <c r="L1723">
        <v>0</v>
      </c>
      <c r="M1723" t="str">
        <f>VLOOKUP(fact_daily_prices[[#This Row],[Ticker]], dim_company[], 2, FALSE)</f>
        <v>Reliance Industries</v>
      </c>
      <c r="N1723" t="str">
        <f>VLOOKUP(fact_daily_prices[[#This Row],[Ticker]], dim_company[], 3, FALSE)</f>
        <v>Energy &amp; Conglomerate</v>
      </c>
    </row>
    <row r="1724" spans="1:14" x14ac:dyDescent="0.3">
      <c r="A1724" s="1">
        <v>45799</v>
      </c>
      <c r="B1724">
        <v>1397.332763671875</v>
      </c>
      <c r="C1724">
        <v>1411.6094953044076</v>
      </c>
      <c r="D1724">
        <v>1384.9397884743898</v>
      </c>
      <c r="E1724">
        <v>1409.0316596432119</v>
      </c>
      <c r="F1724">
        <v>12134466</v>
      </c>
      <c r="G1724" s="2" t="s">
        <v>15</v>
      </c>
      <c r="H1724">
        <v>-1.3853833322909237</v>
      </c>
      <c r="I1724">
        <v>91.09512785762773</v>
      </c>
      <c r="J1724">
        <v>1300.8548779296875</v>
      </c>
      <c r="K1724">
        <v>1.8522080178192668</v>
      </c>
      <c r="L1724">
        <v>0</v>
      </c>
      <c r="M1724" t="str">
        <f>VLOOKUP(fact_daily_prices[[#This Row],[Ticker]], dim_company[], 2, FALSE)</f>
        <v>Reliance Industries</v>
      </c>
      <c r="N1724" t="str">
        <f>VLOOKUP(fact_daily_prices[[#This Row],[Ticker]], dim_company[], 3, FALSE)</f>
        <v>Energy &amp; Conglomerate</v>
      </c>
    </row>
    <row r="1725" spans="1:14" x14ac:dyDescent="0.3">
      <c r="A1725" s="1">
        <v>45800</v>
      </c>
      <c r="B1725">
        <v>1414.5838623046875</v>
      </c>
      <c r="C1725">
        <v>1421.5239286750705</v>
      </c>
      <c r="D1725">
        <v>1394.5567410207764</v>
      </c>
      <c r="E1725">
        <v>1394.5567410207764</v>
      </c>
      <c r="F1725">
        <v>6474883</v>
      </c>
      <c r="G1725" s="2" t="s">
        <v>15</v>
      </c>
      <c r="H1725">
        <v>1.2345734016484755</v>
      </c>
      <c r="I1725">
        <v>92.219764076355673</v>
      </c>
      <c r="J1725">
        <v>1305.1616894531251</v>
      </c>
      <c r="K1725">
        <v>1.7123231227389666</v>
      </c>
      <c r="L1725">
        <v>0</v>
      </c>
      <c r="M1725" t="str">
        <f>VLOOKUP(fact_daily_prices[[#This Row],[Ticker]], dim_company[], 2, FALSE)</f>
        <v>Reliance Industries</v>
      </c>
      <c r="N1725" t="str">
        <f>VLOOKUP(fact_daily_prices[[#This Row],[Ticker]], dim_company[], 3, FALSE)</f>
        <v>Energy &amp; Conglomerate</v>
      </c>
    </row>
    <row r="1726" spans="1:14" x14ac:dyDescent="0.3">
      <c r="A1726" s="1">
        <v>45803</v>
      </c>
      <c r="B1726">
        <v>1422.5152587890625</v>
      </c>
      <c r="C1726">
        <v>1428.6621258406371</v>
      </c>
      <c r="D1726">
        <v>1412.8982377904549</v>
      </c>
      <c r="E1726">
        <v>1419.7391840414937</v>
      </c>
      <c r="F1726">
        <v>4842944</v>
      </c>
      <c r="G1726" s="2" t="s">
        <v>15</v>
      </c>
      <c r="H1726">
        <v>0.56068761250060994</v>
      </c>
      <c r="I1726">
        <v>92.736828869809074</v>
      </c>
      <c r="J1726">
        <v>1308.8300097656249</v>
      </c>
      <c r="K1726">
        <v>1.7069374688674224</v>
      </c>
      <c r="L1726">
        <v>0</v>
      </c>
      <c r="M1726" t="str">
        <f>VLOOKUP(fact_daily_prices[[#This Row],[Ticker]], dim_company[], 2, FALSE)</f>
        <v>Reliance Industries</v>
      </c>
      <c r="N1726" t="str">
        <f>VLOOKUP(fact_daily_prices[[#This Row],[Ticker]], dim_company[], 3, FALSE)</f>
        <v>Energy &amp; Conglomerate</v>
      </c>
    </row>
    <row r="1727" spans="1:14" x14ac:dyDescent="0.3">
      <c r="A1727" s="1">
        <v>45804</v>
      </c>
      <c r="B1727">
        <v>1409.9239501953125</v>
      </c>
      <c r="C1727">
        <v>1424.6964005437669</v>
      </c>
      <c r="D1727">
        <v>1401.7942070365059</v>
      </c>
      <c r="E1727">
        <v>1413.8897021801247</v>
      </c>
      <c r="F1727">
        <v>12640414</v>
      </c>
      <c r="G1727" s="2" t="s">
        <v>15</v>
      </c>
      <c r="H1727">
        <v>-0.88514400924377679</v>
      </c>
      <c r="I1727">
        <v>91.915974384705308</v>
      </c>
      <c r="J1727">
        <v>1312.4725512695313</v>
      </c>
      <c r="K1727">
        <v>1.7289337472223336</v>
      </c>
      <c r="L1727">
        <v>0</v>
      </c>
      <c r="M1727" t="str">
        <f>VLOOKUP(fact_daily_prices[[#This Row],[Ticker]], dim_company[], 2, FALSE)</f>
        <v>Reliance Industries</v>
      </c>
      <c r="N1727" t="str">
        <f>VLOOKUP(fact_daily_prices[[#This Row],[Ticker]], dim_company[], 3, FALSE)</f>
        <v>Energy &amp; Conglomerate</v>
      </c>
    </row>
    <row r="1728" spans="1:14" x14ac:dyDescent="0.3">
      <c r="A1728" s="1">
        <v>45805</v>
      </c>
      <c r="B1728">
        <v>1400.802734375</v>
      </c>
      <c r="C1728">
        <v>1410.4196342901239</v>
      </c>
      <c r="D1728">
        <v>1398.6214982222443</v>
      </c>
      <c r="E1728">
        <v>1407.9410393609537</v>
      </c>
      <c r="F1728">
        <v>5944611</v>
      </c>
      <c r="G1728" s="2" t="s">
        <v>15</v>
      </c>
      <c r="H1728">
        <v>-0.64692963184638241</v>
      </c>
      <c r="I1728">
        <v>91.321342710010327</v>
      </c>
      <c r="J1728">
        <v>1315.7561938476563</v>
      </c>
      <c r="K1728">
        <v>1.6918166632926757</v>
      </c>
      <c r="L1728">
        <v>0</v>
      </c>
      <c r="M1728" t="str">
        <f>VLOOKUP(fact_daily_prices[[#This Row],[Ticker]], dim_company[], 2, FALSE)</f>
        <v>Reliance Industries</v>
      </c>
      <c r="N1728" t="str">
        <f>VLOOKUP(fact_daily_prices[[#This Row],[Ticker]], dim_company[], 3, FALSE)</f>
        <v>Energy &amp; Conglomerate</v>
      </c>
    </row>
    <row r="1729" spans="1:14" x14ac:dyDescent="0.3">
      <c r="A1729" s="1">
        <v>45806</v>
      </c>
      <c r="B1729">
        <v>1405.660888671875</v>
      </c>
      <c r="C1729">
        <v>1407.8420039298751</v>
      </c>
      <c r="D1729">
        <v>1396.5395861721686</v>
      </c>
      <c r="E1729">
        <v>1400.0096192804465</v>
      </c>
      <c r="F1729">
        <v>13771917</v>
      </c>
      <c r="G1729" s="2" t="s">
        <v>15</v>
      </c>
      <c r="H1729">
        <v>0.34681216545757731</v>
      </c>
      <c r="I1729">
        <v>91.63805623618785</v>
      </c>
      <c r="J1729">
        <v>1318.9436669921874</v>
      </c>
      <c r="K1729">
        <v>1.6759789335665831</v>
      </c>
      <c r="L1729">
        <v>0</v>
      </c>
      <c r="M1729" t="str">
        <f>VLOOKUP(fact_daily_prices[[#This Row],[Ticker]], dim_company[], 2, FALSE)</f>
        <v>Reliance Industries</v>
      </c>
      <c r="N1729" t="str">
        <f>VLOOKUP(fact_daily_prices[[#This Row],[Ticker]], dim_company[], 3, FALSE)</f>
        <v>Energy &amp; Conglomerate</v>
      </c>
    </row>
    <row r="1730" spans="1:14" x14ac:dyDescent="0.3">
      <c r="A1730" s="1">
        <v>45807</v>
      </c>
      <c r="B1730">
        <v>1408.7342529296875</v>
      </c>
      <c r="C1730">
        <v>1418.3511529457182</v>
      </c>
      <c r="D1730">
        <v>1397.6300749154061</v>
      </c>
      <c r="E1730">
        <v>1405.8590585766528</v>
      </c>
      <c r="F1730">
        <v>13788484</v>
      </c>
      <c r="G1730" s="2" t="s">
        <v>15</v>
      </c>
      <c r="H1730">
        <v>0.21864194149390226</v>
      </c>
      <c r="I1730">
        <v>91.838415461489916</v>
      </c>
      <c r="J1730">
        <v>1322.37404296875</v>
      </c>
      <c r="K1730">
        <v>1.6737148089708369</v>
      </c>
      <c r="L1730">
        <v>0</v>
      </c>
      <c r="M1730" t="str">
        <f>VLOOKUP(fact_daily_prices[[#This Row],[Ticker]], dim_company[], 2, FALSE)</f>
        <v>Reliance Industries</v>
      </c>
      <c r="N1730" t="str">
        <f>VLOOKUP(fact_daily_prices[[#This Row],[Ticker]], dim_company[], 3, FALSE)</f>
        <v>Energy &amp; Conglomerate</v>
      </c>
    </row>
    <row r="1731" spans="1:14" x14ac:dyDescent="0.3">
      <c r="A1731" s="1">
        <v>45810</v>
      </c>
      <c r="B1731">
        <v>1401.5958251953125</v>
      </c>
      <c r="C1731">
        <v>1405.3633379328091</v>
      </c>
      <c r="D1731">
        <v>1383.6508219459611</v>
      </c>
      <c r="E1731">
        <v>1400.0095486308933</v>
      </c>
      <c r="F1731">
        <v>8098668</v>
      </c>
      <c r="G1731" s="2" t="s">
        <v>15</v>
      </c>
      <c r="H1731">
        <v>-0.50672635520357945</v>
      </c>
      <c r="I1731">
        <v>91.373046006145188</v>
      </c>
      <c r="J1731">
        <v>1325.8411010742188</v>
      </c>
      <c r="K1731">
        <v>1.6210008138666043</v>
      </c>
      <c r="L1731">
        <v>0</v>
      </c>
      <c r="M1731" t="str">
        <f>VLOOKUP(fact_daily_prices[[#This Row],[Ticker]], dim_company[], 2, FALSE)</f>
        <v>Reliance Industries</v>
      </c>
      <c r="N1731" t="str">
        <f>VLOOKUP(fact_daily_prices[[#This Row],[Ticker]], dim_company[], 3, FALSE)</f>
        <v>Energy &amp; Conglomerate</v>
      </c>
    </row>
    <row r="1732" spans="1:14" x14ac:dyDescent="0.3">
      <c r="A1732" s="1">
        <v>45811</v>
      </c>
      <c r="B1732">
        <v>1393.4661865234375</v>
      </c>
      <c r="C1732">
        <v>1414.2863856817387</v>
      </c>
      <c r="D1732">
        <v>1391.3841908126381</v>
      </c>
      <c r="E1732">
        <v>1410.1223942601396</v>
      </c>
      <c r="F1732">
        <v>11252626</v>
      </c>
      <c r="G1732" s="2" t="s">
        <v>15</v>
      </c>
      <c r="H1732">
        <v>-0.58002731784265738</v>
      </c>
      <c r="I1732">
        <v>90.843057378164602</v>
      </c>
      <c r="J1732">
        <v>1329.1455664062501</v>
      </c>
      <c r="K1732">
        <v>1.6109054988802896</v>
      </c>
      <c r="L1732">
        <v>0</v>
      </c>
      <c r="M1732" t="str">
        <f>VLOOKUP(fact_daily_prices[[#This Row],[Ticker]], dim_company[], 2, FALSE)</f>
        <v>Reliance Industries</v>
      </c>
      <c r="N1732" t="str">
        <f>VLOOKUP(fact_daily_prices[[#This Row],[Ticker]], dim_company[], 3, FALSE)</f>
        <v>Energy &amp; Conglomerate</v>
      </c>
    </row>
    <row r="1733" spans="1:14" x14ac:dyDescent="0.3">
      <c r="A1733" s="1">
        <v>45812</v>
      </c>
      <c r="B1733">
        <v>1411.31201171875</v>
      </c>
      <c r="C1733">
        <v>1413.4931269376204</v>
      </c>
      <c r="D1733">
        <v>1394.0609660849138</v>
      </c>
      <c r="E1733">
        <v>1402.5873087929724</v>
      </c>
      <c r="F1733">
        <v>8126827</v>
      </c>
      <c r="G1733" s="2" t="s">
        <v>15</v>
      </c>
      <c r="H1733">
        <v>1.2806787396711927</v>
      </c>
      <c r="I1733">
        <v>92.00646510047406</v>
      </c>
      <c r="J1733">
        <v>1332.6423681640624</v>
      </c>
      <c r="K1733">
        <v>1.6165276459434048</v>
      </c>
      <c r="L1733">
        <v>0</v>
      </c>
      <c r="M1733" t="str">
        <f>VLOOKUP(fact_daily_prices[[#This Row],[Ticker]], dim_company[], 2, FALSE)</f>
        <v>Reliance Industries</v>
      </c>
      <c r="N1733" t="str">
        <f>VLOOKUP(fact_daily_prices[[#This Row],[Ticker]], dim_company[], 3, FALSE)</f>
        <v>Energy &amp; Conglomerate</v>
      </c>
    </row>
    <row r="1734" spans="1:14" x14ac:dyDescent="0.3">
      <c r="A1734" s="1">
        <v>45813</v>
      </c>
      <c r="B1734">
        <v>1430.0501708984375</v>
      </c>
      <c r="C1734">
        <v>1442.2447854743721</v>
      </c>
      <c r="D1734">
        <v>1411.4110884077943</v>
      </c>
      <c r="E1734">
        <v>1415.7734397380668</v>
      </c>
      <c r="F1734">
        <v>13716817</v>
      </c>
      <c r="G1734" s="2" t="s">
        <v>15</v>
      </c>
      <c r="H1734">
        <v>1.3277120171936607</v>
      </c>
      <c r="I1734">
        <v>93.228045994208159</v>
      </c>
      <c r="J1734">
        <v>1336.0777026367186</v>
      </c>
      <c r="K1734">
        <v>1.6255413040576603</v>
      </c>
      <c r="L1734">
        <v>0</v>
      </c>
      <c r="M1734" t="str">
        <f>VLOOKUP(fact_daily_prices[[#This Row],[Ticker]], dim_company[], 2, FALSE)</f>
        <v>Reliance Industries</v>
      </c>
      <c r="N1734" t="str">
        <f>VLOOKUP(fact_daily_prices[[#This Row],[Ticker]], dim_company[], 3, FALSE)</f>
        <v>Energy &amp; Conglomerate</v>
      </c>
    </row>
    <row r="1735" spans="1:14" x14ac:dyDescent="0.3">
      <c r="A1735" s="1">
        <v>45814</v>
      </c>
      <c r="B1735">
        <v>1431.1407470703125</v>
      </c>
      <c r="C1735">
        <v>1439.0722510374496</v>
      </c>
      <c r="D1735">
        <v>1424.6964000970136</v>
      </c>
      <c r="E1735">
        <v>1428.6621520805822</v>
      </c>
      <c r="F1735">
        <v>8182161</v>
      </c>
      <c r="G1735" s="2" t="s">
        <v>15</v>
      </c>
      <c r="H1735">
        <v>7.6261392367094061E-2</v>
      </c>
      <c r="I1735">
        <v>93.299143000159958</v>
      </c>
      <c r="J1735">
        <v>1339.392080078125</v>
      </c>
      <c r="K1735">
        <v>1.6257986843485079</v>
      </c>
      <c r="L1735">
        <v>0</v>
      </c>
      <c r="M1735" t="str">
        <f>VLOOKUP(fact_daily_prices[[#This Row],[Ticker]], dim_company[], 2, FALSE)</f>
        <v>Reliance Industries</v>
      </c>
      <c r="N1735" t="str">
        <f>VLOOKUP(fact_daily_prices[[#This Row],[Ticker]], dim_company[], 3, FALSE)</f>
        <v>Energy &amp; Conglomerate</v>
      </c>
    </row>
    <row r="1736" spans="1:14" x14ac:dyDescent="0.3">
      <c r="A1736" s="1">
        <v>45817</v>
      </c>
      <c r="B1736">
        <v>1436.3953857421875</v>
      </c>
      <c r="C1736">
        <v>1445.0208477095389</v>
      </c>
      <c r="D1736">
        <v>1432.9253528317358</v>
      </c>
      <c r="E1736">
        <v>1444.5251287223314</v>
      </c>
      <c r="F1736">
        <v>7885125</v>
      </c>
      <c r="G1736" s="2" t="s">
        <v>15</v>
      </c>
      <c r="H1736">
        <v>0.36716435351531462</v>
      </c>
      <c r="I1736">
        <v>93.641704195391824</v>
      </c>
      <c r="J1736">
        <v>1342.3009594726564</v>
      </c>
      <c r="K1736">
        <v>1.6235733999227098</v>
      </c>
      <c r="L1736">
        <v>0</v>
      </c>
      <c r="M1736" t="str">
        <f>VLOOKUP(fact_daily_prices[[#This Row],[Ticker]], dim_company[], 2, FALSE)</f>
        <v>Reliance Industries</v>
      </c>
      <c r="N1736" t="str">
        <f>VLOOKUP(fact_daily_prices[[#This Row],[Ticker]], dim_company[], 3, FALSE)</f>
        <v>Energy &amp; Conglomerate</v>
      </c>
    </row>
    <row r="1737" spans="1:14" x14ac:dyDescent="0.3">
      <c r="A1737" s="1">
        <v>45818</v>
      </c>
      <c r="B1737">
        <v>1426.1834716796875</v>
      </c>
      <c r="C1737">
        <v>1441.4516401070769</v>
      </c>
      <c r="D1737">
        <v>1423.704876838395</v>
      </c>
      <c r="E1737">
        <v>1437.5850079496329</v>
      </c>
      <c r="F1737">
        <v>7913181</v>
      </c>
      <c r="G1737" s="2" t="s">
        <v>15</v>
      </c>
      <c r="H1737">
        <v>-0.71094032770255833</v>
      </c>
      <c r="I1737">
        <v>92.975967556718842</v>
      </c>
      <c r="J1737">
        <v>1345.3357495117189</v>
      </c>
      <c r="K1737">
        <v>1.3461689139210677</v>
      </c>
      <c r="L1737">
        <v>0</v>
      </c>
      <c r="M1737" t="str">
        <f>VLOOKUP(fact_daily_prices[[#This Row],[Ticker]], dim_company[], 2, FALSE)</f>
        <v>Reliance Industries</v>
      </c>
      <c r="N1737" t="str">
        <f>VLOOKUP(fact_daily_prices[[#This Row],[Ticker]], dim_company[], 3, FALSE)</f>
        <v>Energy &amp; Conglomerate</v>
      </c>
    </row>
    <row r="1738" spans="1:14" x14ac:dyDescent="0.3">
      <c r="A1738" s="1">
        <v>45819</v>
      </c>
      <c r="B1738">
        <v>1436.4945068359375</v>
      </c>
      <c r="C1738">
        <v>1456.0257865422643</v>
      </c>
      <c r="D1738">
        <v>1430.7441181682643</v>
      </c>
      <c r="E1738">
        <v>1433.4210733170682</v>
      </c>
      <c r="F1738">
        <v>8195700</v>
      </c>
      <c r="G1738" s="2" t="s">
        <v>15</v>
      </c>
      <c r="H1738">
        <v>0.72298097411731543</v>
      </c>
      <c r="I1738">
        <v>93.648166112655403</v>
      </c>
      <c r="J1738">
        <v>1348.8226367187499</v>
      </c>
      <c r="K1738">
        <v>1.29236745167678</v>
      </c>
      <c r="L1738">
        <v>0</v>
      </c>
      <c r="M1738" t="str">
        <f>VLOOKUP(fact_daily_prices[[#This Row],[Ticker]], dim_company[], 2, FALSE)</f>
        <v>Reliance Industries</v>
      </c>
      <c r="N1738" t="str">
        <f>VLOOKUP(fact_daily_prices[[#This Row],[Ticker]], dim_company[], 3, FALSE)</f>
        <v>Energy &amp; Conglomerate</v>
      </c>
    </row>
    <row r="1739" spans="1:14" x14ac:dyDescent="0.3">
      <c r="A1739" s="1">
        <v>45820</v>
      </c>
      <c r="B1739">
        <v>1429.257080078125</v>
      </c>
      <c r="C1739">
        <v>1444.5252503749707</v>
      </c>
      <c r="D1739">
        <v>1422.1187744712338</v>
      </c>
      <c r="E1739">
        <v>1441.0552171722854</v>
      </c>
      <c r="F1739">
        <v>8828114</v>
      </c>
      <c r="G1739" s="2" t="s">
        <v>15</v>
      </c>
      <c r="H1739">
        <v>-0.50382557840432662</v>
      </c>
      <c r="I1739">
        <v>93.176342698073285</v>
      </c>
      <c r="J1739">
        <v>1352.0626586914063</v>
      </c>
      <c r="K1739">
        <v>1.2963896746878927</v>
      </c>
      <c r="L1739">
        <v>0</v>
      </c>
      <c r="M1739" t="str">
        <f>VLOOKUP(fact_daily_prices[[#This Row],[Ticker]], dim_company[], 2, FALSE)</f>
        <v>Reliance Industries</v>
      </c>
      <c r="N1739" t="str">
        <f>VLOOKUP(fact_daily_prices[[#This Row],[Ticker]], dim_company[], 3, FALSE)</f>
        <v>Energy &amp; Conglomerate</v>
      </c>
    </row>
    <row r="1740" spans="1:14" x14ac:dyDescent="0.3">
      <c r="A1740" s="1">
        <v>45821</v>
      </c>
      <c r="B1740">
        <v>1415.67431640625</v>
      </c>
      <c r="C1740">
        <v>1423.2092208521976</v>
      </c>
      <c r="D1740">
        <v>1402.1907840779525</v>
      </c>
      <c r="E1740">
        <v>1411.8076840776937</v>
      </c>
      <c r="F1740">
        <v>11513110</v>
      </c>
      <c r="G1740" s="2" t="s">
        <v>15</v>
      </c>
      <c r="H1740">
        <v>-0.95033733687241995</v>
      </c>
      <c r="I1740">
        <v>92.290853124281284</v>
      </c>
      <c r="J1740">
        <v>1355.0924951171876</v>
      </c>
      <c r="K1740">
        <v>1.2968626263053913</v>
      </c>
      <c r="L1740">
        <v>0</v>
      </c>
      <c r="M1740" t="str">
        <f>VLOOKUP(fact_daily_prices[[#This Row],[Ticker]], dim_company[], 2, FALSE)</f>
        <v>Reliance Industries</v>
      </c>
      <c r="N1740" t="str">
        <f>VLOOKUP(fact_daily_prices[[#This Row],[Ticker]], dim_company[], 3, FALSE)</f>
        <v>Energy &amp; Conglomerate</v>
      </c>
    </row>
    <row r="1741" spans="1:14" x14ac:dyDescent="0.3">
      <c r="A1741" s="1">
        <v>45824</v>
      </c>
      <c r="B1741">
        <v>1425.4896240234375</v>
      </c>
      <c r="C1741">
        <v>1430.0502146798781</v>
      </c>
      <c r="D1741">
        <v>1412.204330439343</v>
      </c>
      <c r="E1741">
        <v>1414.6829254727506</v>
      </c>
      <c r="F1741">
        <v>8458093</v>
      </c>
      <c r="G1741" s="2" t="s">
        <v>15</v>
      </c>
      <c r="H1741">
        <v>0.69333090976066991</v>
      </c>
      <c r="I1741">
        <v>92.930734135873749</v>
      </c>
      <c r="J1741">
        <v>1358.7647851562499</v>
      </c>
      <c r="K1741">
        <v>1.2946070680747312</v>
      </c>
      <c r="L1741">
        <v>0</v>
      </c>
      <c r="M1741" t="str">
        <f>VLOOKUP(fact_daily_prices[[#This Row],[Ticker]], dim_company[], 2, FALSE)</f>
        <v>Reliance Industries</v>
      </c>
      <c r="N1741" t="str">
        <f>VLOOKUP(fact_daily_prices[[#This Row],[Ticker]], dim_company[], 3, FALSE)</f>
        <v>Energy &amp; Conglomerate</v>
      </c>
    </row>
    <row r="1742" spans="1:14" x14ac:dyDescent="0.3">
      <c r="A1742" s="1">
        <v>45825</v>
      </c>
      <c r="B1742">
        <v>1418.946044921875</v>
      </c>
      <c r="C1742">
        <v>1435.6022520574631</v>
      </c>
      <c r="D1742">
        <v>1413.5923764373599</v>
      </c>
      <c r="E1742">
        <v>1435.6022520574631</v>
      </c>
      <c r="F1742">
        <v>10366599</v>
      </c>
      <c r="G1742" s="2" t="s">
        <v>15</v>
      </c>
      <c r="H1742">
        <v>-0.45904080894628718</v>
      </c>
      <c r="I1742">
        <v>92.50414414213671</v>
      </c>
      <c r="J1742">
        <v>1362.3349536132812</v>
      </c>
      <c r="K1742">
        <v>1.2901778069169569</v>
      </c>
      <c r="L1742">
        <v>0</v>
      </c>
      <c r="M1742" t="str">
        <f>VLOOKUP(fact_daily_prices[[#This Row],[Ticker]], dim_company[], 2, FALSE)</f>
        <v>Reliance Industries</v>
      </c>
      <c r="N1742" t="str">
        <f>VLOOKUP(fact_daily_prices[[#This Row],[Ticker]], dim_company[], 3, FALSE)</f>
        <v>Energy &amp; Conglomerate</v>
      </c>
    </row>
    <row r="1743" spans="1:14" x14ac:dyDescent="0.3">
      <c r="A1743" s="1">
        <v>45826</v>
      </c>
      <c r="B1743">
        <v>1417.85546875</v>
      </c>
      <c r="C1743">
        <v>1430.4468040463896</v>
      </c>
      <c r="D1743">
        <v>1413.4931173168031</v>
      </c>
      <c r="E1743">
        <v>1417.7563491543892</v>
      </c>
      <c r="F1743">
        <v>6681735</v>
      </c>
      <c r="G1743" s="2" t="s">
        <v>15</v>
      </c>
      <c r="H1743">
        <v>-7.6858184691230846E-2</v>
      </c>
      <c r="I1743">
        <v>92.433047136184911</v>
      </c>
      <c r="J1743">
        <v>1365.9318920898438</v>
      </c>
      <c r="K1743">
        <v>1.2742102280675613</v>
      </c>
      <c r="L1743">
        <v>0</v>
      </c>
      <c r="M1743" t="str">
        <f>VLOOKUP(fact_daily_prices[[#This Row],[Ticker]], dim_company[], 2, FALSE)</f>
        <v>Reliance Industries</v>
      </c>
      <c r="N1743" t="str">
        <f>VLOOKUP(fact_daily_prices[[#This Row],[Ticker]], dim_company[], 3, FALSE)</f>
        <v>Energy &amp; Conglomerate</v>
      </c>
    </row>
    <row r="1744" spans="1:14" x14ac:dyDescent="0.3">
      <c r="A1744" s="1">
        <v>45827</v>
      </c>
      <c r="B1744">
        <v>1421.0281982421875</v>
      </c>
      <c r="C1744">
        <v>1427.5716651338516</v>
      </c>
      <c r="D1744">
        <v>1413.4931722804181</v>
      </c>
      <c r="E1744">
        <v>1417.8555238832446</v>
      </c>
      <c r="F1744">
        <v>10007230</v>
      </c>
      <c r="G1744" s="2" t="s">
        <v>15</v>
      </c>
      <c r="H1744">
        <v>0.22376959867316248</v>
      </c>
      <c r="I1744">
        <v>92.639884194802931</v>
      </c>
      <c r="J1744">
        <v>1370.4647509765625</v>
      </c>
      <c r="K1744">
        <v>1.2745426204744332</v>
      </c>
      <c r="L1744">
        <v>0</v>
      </c>
      <c r="M1744" t="str">
        <f>VLOOKUP(fact_daily_prices[[#This Row],[Ticker]], dim_company[], 2, FALSE)</f>
        <v>Reliance Industries</v>
      </c>
      <c r="N1744" t="str">
        <f>VLOOKUP(fact_daily_prices[[#This Row],[Ticker]], dim_company[], 3, FALSE)</f>
        <v>Energy &amp; Conglomerate</v>
      </c>
    </row>
    <row r="1745" spans="1:14" x14ac:dyDescent="0.3">
      <c r="A1745" s="1">
        <v>45828</v>
      </c>
      <c r="B1745">
        <v>1453.6463623046875</v>
      </c>
      <c r="C1745">
        <v>1458.4053131642288</v>
      </c>
      <c r="D1745">
        <v>1415.8725983169522</v>
      </c>
      <c r="E1745">
        <v>1418.7477927518771</v>
      </c>
      <c r="F1745">
        <v>29010635</v>
      </c>
      <c r="G1745" s="2" t="s">
        <v>15</v>
      </c>
      <c r="H1745">
        <v>2.2953917524542122</v>
      </c>
      <c r="I1745">
        <v>94.766332456093579</v>
      </c>
      <c r="J1745">
        <v>1376.4232934570311</v>
      </c>
      <c r="K1745">
        <v>1.268034652550315</v>
      </c>
      <c r="L1745">
        <v>1</v>
      </c>
      <c r="M1745" t="str">
        <f>VLOOKUP(fact_daily_prices[[#This Row],[Ticker]], dim_company[], 2, FALSE)</f>
        <v>Reliance Industries</v>
      </c>
      <c r="N1745" t="str">
        <f>VLOOKUP(fact_daily_prices[[#This Row],[Ticker]], dim_company[], 3, FALSE)</f>
        <v>Energy &amp; Conglomerate</v>
      </c>
    </row>
    <row r="1746" spans="1:14" x14ac:dyDescent="0.3">
      <c r="A1746" s="1">
        <v>45831</v>
      </c>
      <c r="B1746">
        <v>1444.326904296875</v>
      </c>
      <c r="C1746">
        <v>1451.266970188698</v>
      </c>
      <c r="D1746">
        <v>1429.6535737155343</v>
      </c>
      <c r="E1746">
        <v>1440.5593915455418</v>
      </c>
      <c r="F1746">
        <v>5989078</v>
      </c>
      <c r="G1746" s="2" t="s">
        <v>15</v>
      </c>
      <c r="H1746">
        <v>-0.6411090241396078</v>
      </c>
      <c r="I1746">
        <v>94.158776946871427</v>
      </c>
      <c r="J1746">
        <v>1381.8682714843751</v>
      </c>
      <c r="K1746">
        <v>1.0141719821055484</v>
      </c>
      <c r="L1746">
        <v>0</v>
      </c>
      <c r="M1746" t="str">
        <f>VLOOKUP(fact_daily_prices[[#This Row],[Ticker]], dim_company[], 2, FALSE)</f>
        <v>Reliance Industries</v>
      </c>
      <c r="N1746" t="str">
        <f>VLOOKUP(fact_daily_prices[[#This Row],[Ticker]], dim_company[], 3, FALSE)</f>
        <v>Energy &amp; Conglomerate</v>
      </c>
    </row>
    <row r="1747" spans="1:14" x14ac:dyDescent="0.3">
      <c r="A1747" s="1">
        <v>45832</v>
      </c>
      <c r="B1747">
        <v>1438.3782958984375</v>
      </c>
      <c r="C1747">
        <v>1462.3710470398121</v>
      </c>
      <c r="D1747">
        <v>1430.744150698803</v>
      </c>
      <c r="E1747">
        <v>1452.4566670598808</v>
      </c>
      <c r="F1747">
        <v>16402744</v>
      </c>
      <c r="G1747" s="2" t="s">
        <v>15</v>
      </c>
      <c r="H1747">
        <v>-0.41186024997114101</v>
      </c>
      <c r="I1747">
        <v>93.770974372768265</v>
      </c>
      <c r="J1747">
        <v>1387.13181640625</v>
      </c>
      <c r="K1747">
        <v>0.97834911223703602</v>
      </c>
      <c r="L1747">
        <v>0</v>
      </c>
      <c r="M1747" t="str">
        <f>VLOOKUP(fact_daily_prices[[#This Row],[Ticker]], dim_company[], 2, FALSE)</f>
        <v>Reliance Industries</v>
      </c>
      <c r="N1747" t="str">
        <f>VLOOKUP(fact_daily_prices[[#This Row],[Ticker]], dim_company[], 3, FALSE)</f>
        <v>Energy &amp; Conglomerate</v>
      </c>
    </row>
    <row r="1748" spans="1:14" x14ac:dyDescent="0.3">
      <c r="A1748" s="1">
        <v>45833</v>
      </c>
      <c r="B1748">
        <v>1454.737060546875</v>
      </c>
      <c r="C1748">
        <v>1459.7933702625824</v>
      </c>
      <c r="D1748">
        <v>1447.9952335758323</v>
      </c>
      <c r="E1748">
        <v>1451.4652666586912</v>
      </c>
      <c r="F1748">
        <v>7525851</v>
      </c>
      <c r="G1748" s="2" t="s">
        <v>15</v>
      </c>
      <c r="H1748">
        <v>1.137306138106009</v>
      </c>
      <c r="I1748">
        <v>94.837437420071581</v>
      </c>
      <c r="J1748">
        <v>1392.0562915039063</v>
      </c>
      <c r="K1748">
        <v>0.99675281783927416</v>
      </c>
      <c r="L1748">
        <v>0</v>
      </c>
      <c r="M1748" t="str">
        <f>VLOOKUP(fact_daily_prices[[#This Row],[Ticker]], dim_company[], 2, FALSE)</f>
        <v>Reliance Industries</v>
      </c>
      <c r="N1748" t="str">
        <f>VLOOKUP(fact_daily_prices[[#This Row],[Ticker]], dim_company[], 3, FALSE)</f>
        <v>Energy &amp; Conglomerate</v>
      </c>
    </row>
    <row r="1749" spans="1:14" x14ac:dyDescent="0.3">
      <c r="A1749" s="1">
        <v>45834</v>
      </c>
      <c r="B1749">
        <v>1482.497314453125</v>
      </c>
      <c r="C1749">
        <v>1485.9673475108059</v>
      </c>
      <c r="D1749">
        <v>1452.5558137403293</v>
      </c>
      <c r="E1749">
        <v>1456.5215658062507</v>
      </c>
      <c r="F1749">
        <v>14657893</v>
      </c>
      <c r="G1749" s="2" t="s">
        <v>15</v>
      </c>
      <c r="H1749">
        <v>1.9082660818315889</v>
      </c>
      <c r="I1749">
        <v>96.647188071237068</v>
      </c>
      <c r="J1749">
        <v>1397.1165917968749</v>
      </c>
      <c r="K1749">
        <v>0.93287232222546979</v>
      </c>
      <c r="L1749">
        <v>0</v>
      </c>
      <c r="M1749" t="str">
        <f>VLOOKUP(fact_daily_prices[[#This Row],[Ticker]], dim_company[], 2, FALSE)</f>
        <v>Reliance Industries</v>
      </c>
      <c r="N1749" t="str">
        <f>VLOOKUP(fact_daily_prices[[#This Row],[Ticker]], dim_company[], 3, FALSE)</f>
        <v>Energy &amp; Conglomerate</v>
      </c>
    </row>
    <row r="1750" spans="1:14" x14ac:dyDescent="0.3">
      <c r="A1750" s="1">
        <v>45835</v>
      </c>
      <c r="B1750">
        <v>1502.4251708984375</v>
      </c>
      <c r="C1750">
        <v>1508.9686374999123</v>
      </c>
      <c r="D1750">
        <v>1484.0835678802059</v>
      </c>
      <c r="E1750">
        <v>1486.5621628826696</v>
      </c>
      <c r="F1750">
        <v>11117052</v>
      </c>
      <c r="G1750" s="2" t="s">
        <v>15</v>
      </c>
      <c r="H1750">
        <v>1.34420860335005</v>
      </c>
      <c r="I1750">
        <v>97.946327888186545</v>
      </c>
      <c r="J1750">
        <v>1402.5913110351562</v>
      </c>
      <c r="K1750">
        <v>0.96028185425586532</v>
      </c>
      <c r="L1750">
        <v>0</v>
      </c>
      <c r="M1750" t="str">
        <f>VLOOKUP(fact_daily_prices[[#This Row],[Ticker]], dim_company[], 2, FALSE)</f>
        <v>Reliance Industries</v>
      </c>
      <c r="N1750" t="str">
        <f>VLOOKUP(fact_daily_prices[[#This Row],[Ticker]], dim_company[], 3, FALSE)</f>
        <v>Energy &amp; Conglomerate</v>
      </c>
    </row>
    <row r="1751" spans="1:14" x14ac:dyDescent="0.3">
      <c r="A1751" s="1">
        <v>45838</v>
      </c>
      <c r="B1751">
        <v>1487.7518310546875</v>
      </c>
      <c r="C1751">
        <v>1511.7447031481738</v>
      </c>
      <c r="D1751">
        <v>1483.1912404828311</v>
      </c>
      <c r="E1751">
        <v>1500.838885203447</v>
      </c>
      <c r="F1751">
        <v>8409527</v>
      </c>
      <c r="G1751" s="2" t="s">
        <v>15</v>
      </c>
      <c r="H1751">
        <v>-0.9766436377643628</v>
      </c>
      <c r="I1751">
        <v>96.989741308442746</v>
      </c>
      <c r="J1751">
        <v>1407.0745922851563</v>
      </c>
      <c r="K1751">
        <v>0.95632975323996139</v>
      </c>
      <c r="L1751">
        <v>0</v>
      </c>
      <c r="M1751" t="str">
        <f>VLOOKUP(fact_daily_prices[[#This Row],[Ticker]], dim_company[], 2, FALSE)</f>
        <v>Reliance Industries</v>
      </c>
      <c r="N1751" t="str">
        <f>VLOOKUP(fact_daily_prices[[#This Row],[Ticker]], dim_company[], 3, FALSE)</f>
        <v>Energy &amp; Conglomerate</v>
      </c>
    </row>
    <row r="1752" spans="1:14" x14ac:dyDescent="0.3">
      <c r="A1752" s="1">
        <v>45839</v>
      </c>
      <c r="B1752">
        <v>1515.3138427734375</v>
      </c>
      <c r="C1752">
        <v>1518.2881567329412</v>
      </c>
      <c r="D1752">
        <v>1487.256099345396</v>
      </c>
      <c r="E1752">
        <v>1487.7518183386469</v>
      </c>
      <c r="F1752">
        <v>10368523</v>
      </c>
      <c r="G1752" s="2" t="s">
        <v>15</v>
      </c>
      <c r="H1752">
        <v>1.8525947099128137</v>
      </c>
      <c r="I1752">
        <v>98.786568125081075</v>
      </c>
      <c r="J1752">
        <v>1411.6927099609375</v>
      </c>
      <c r="K1752">
        <v>0.9748751452148301</v>
      </c>
      <c r="L1752">
        <v>0</v>
      </c>
      <c r="M1752" t="str">
        <f>VLOOKUP(fact_daily_prices[[#This Row],[Ticker]], dim_company[], 2, FALSE)</f>
        <v>Reliance Industries</v>
      </c>
      <c r="N1752" t="str">
        <f>VLOOKUP(fact_daily_prices[[#This Row],[Ticker]], dim_company[], 3, FALSE)</f>
        <v>Energy &amp; Conglomerate</v>
      </c>
    </row>
    <row r="1753" spans="1:14" x14ac:dyDescent="0.3">
      <c r="A1753" s="1">
        <v>45840</v>
      </c>
      <c r="B1753">
        <v>1505.7960205078125</v>
      </c>
      <c r="C1753">
        <v>1516.900077238324</v>
      </c>
      <c r="D1753">
        <v>1495.7824003020085</v>
      </c>
      <c r="E1753">
        <v>1515.3138007089854</v>
      </c>
      <c r="F1753">
        <v>6361002</v>
      </c>
      <c r="G1753" s="2" t="s">
        <v>15</v>
      </c>
      <c r="H1753">
        <v>-0.62810897630320994</v>
      </c>
      <c r="I1753">
        <v>98.166080823305563</v>
      </c>
      <c r="J1753">
        <v>1416.2057373046875</v>
      </c>
      <c r="K1753">
        <v>0.98744347083916517</v>
      </c>
      <c r="L1753">
        <v>0</v>
      </c>
      <c r="M1753" t="str">
        <f>VLOOKUP(fact_daily_prices[[#This Row],[Ticker]], dim_company[], 2, FALSE)</f>
        <v>Reliance Industries</v>
      </c>
      <c r="N1753" t="str">
        <f>VLOOKUP(fact_daily_prices[[#This Row],[Ticker]], dim_company[], 3, FALSE)</f>
        <v>Energy &amp; Conglomerate</v>
      </c>
    </row>
    <row r="1754" spans="1:14" x14ac:dyDescent="0.3">
      <c r="A1754" s="1">
        <v>45841</v>
      </c>
      <c r="B1754">
        <v>1504.8046875</v>
      </c>
      <c r="C1754">
        <v>1518.7839394915495</v>
      </c>
      <c r="D1754">
        <v>1500.0457365549344</v>
      </c>
      <c r="E1754">
        <v>1507.7790015843786</v>
      </c>
      <c r="F1754">
        <v>11283291</v>
      </c>
      <c r="G1754" s="2" t="s">
        <v>15</v>
      </c>
      <c r="H1754">
        <v>-6.58344818495471E-2</v>
      </c>
      <c r="I1754">
        <v>98.101453692643531</v>
      </c>
      <c r="J1754">
        <v>1420.524443359375</v>
      </c>
      <c r="K1754">
        <v>0.94240105338038427</v>
      </c>
      <c r="L1754">
        <v>0</v>
      </c>
      <c r="M1754" t="str">
        <f>VLOOKUP(fact_daily_prices[[#This Row],[Ticker]], dim_company[], 2, FALSE)</f>
        <v>Reliance Industries</v>
      </c>
      <c r="N1754" t="str">
        <f>VLOOKUP(fact_daily_prices[[#This Row],[Ticker]], dim_company[], 3, FALSE)</f>
        <v>Energy &amp; Conglomerate</v>
      </c>
    </row>
    <row r="1755" spans="1:14" x14ac:dyDescent="0.3">
      <c r="A1755" s="1">
        <v>45842</v>
      </c>
      <c r="B1755">
        <v>1514.223388671875</v>
      </c>
      <c r="C1755">
        <v>1516.900223008299</v>
      </c>
      <c r="D1755">
        <v>1504.2097675037892</v>
      </c>
      <c r="E1755">
        <v>1510.9515946827762</v>
      </c>
      <c r="F1755">
        <v>6603501</v>
      </c>
      <c r="G1755" s="2" t="s">
        <v>15</v>
      </c>
      <c r="H1755">
        <v>0.62590854814006391</v>
      </c>
      <c r="I1755">
        <v>98.71547907715545</v>
      </c>
      <c r="J1755">
        <v>1424.9997973632812</v>
      </c>
      <c r="K1755">
        <v>0.92693326209617388</v>
      </c>
      <c r="L1755">
        <v>0</v>
      </c>
      <c r="M1755" t="str">
        <f>VLOOKUP(fact_daily_prices[[#This Row],[Ticker]], dim_company[], 2, FALSE)</f>
        <v>Reliance Industries</v>
      </c>
      <c r="N1755" t="str">
        <f>VLOOKUP(fact_daily_prices[[#This Row],[Ticker]], dim_company[], 3, FALSE)</f>
        <v>Energy &amp; Conglomerate</v>
      </c>
    </row>
    <row r="1756" spans="1:14" x14ac:dyDescent="0.3">
      <c r="A1756" s="1">
        <v>45845</v>
      </c>
      <c r="B1756">
        <v>1528.3016357421875</v>
      </c>
      <c r="C1756">
        <v>1531.5734294639212</v>
      </c>
      <c r="D1756">
        <v>1511.9429091838051</v>
      </c>
      <c r="E1756">
        <v>1513.5291857359532</v>
      </c>
      <c r="F1756">
        <v>7251074</v>
      </c>
      <c r="G1756" s="2" t="s">
        <v>15</v>
      </c>
      <c r="H1756">
        <v>0.92973382762635559</v>
      </c>
      <c r="I1756">
        <v>99.633270279239184</v>
      </c>
      <c r="J1756">
        <v>1429.7805102539062</v>
      </c>
      <c r="K1756">
        <v>0.93387851177387227</v>
      </c>
      <c r="L1756">
        <v>0</v>
      </c>
      <c r="M1756" t="str">
        <f>VLOOKUP(fact_daily_prices[[#This Row],[Ticker]], dim_company[], 2, FALSE)</f>
        <v>Reliance Industries</v>
      </c>
      <c r="N1756" t="str">
        <f>VLOOKUP(fact_daily_prices[[#This Row],[Ticker]], dim_company[], 3, FALSE)</f>
        <v>Energy &amp; Conglomerate</v>
      </c>
    </row>
    <row r="1757" spans="1:14" x14ac:dyDescent="0.3">
      <c r="A1757" s="1">
        <v>45846</v>
      </c>
      <c r="B1757">
        <v>1524.4349365234375</v>
      </c>
      <c r="C1757">
        <v>1531.6724818204059</v>
      </c>
      <c r="D1757">
        <v>1517.0982716385254</v>
      </c>
      <c r="E1757">
        <v>1522.8486600409224</v>
      </c>
      <c r="F1757">
        <v>7171261</v>
      </c>
      <c r="G1757" s="2" t="s">
        <v>15</v>
      </c>
      <c r="H1757">
        <v>-0.25300628673816661</v>
      </c>
      <c r="I1757">
        <v>99.381191841749867</v>
      </c>
      <c r="J1757">
        <v>1433.1276025390625</v>
      </c>
      <c r="K1757">
        <v>0.91446242547868684</v>
      </c>
      <c r="L1757">
        <v>0</v>
      </c>
      <c r="M1757" t="str">
        <f>VLOOKUP(fact_daily_prices[[#This Row],[Ticker]], dim_company[], 2, FALSE)</f>
        <v>Reliance Industries</v>
      </c>
      <c r="N1757" t="str">
        <f>VLOOKUP(fact_daily_prices[[#This Row],[Ticker]], dim_company[], 3, FALSE)</f>
        <v>Energy &amp; Conglomerate</v>
      </c>
    </row>
    <row r="1758" spans="1:14" x14ac:dyDescent="0.3">
      <c r="A1758" s="1">
        <v>45847</v>
      </c>
      <c r="B1758">
        <v>1505.9942626953125</v>
      </c>
      <c r="C1758">
        <v>1537.7202774459709</v>
      </c>
      <c r="D1758">
        <v>1497.1704406377571</v>
      </c>
      <c r="E1758">
        <v>1523.5426661942138</v>
      </c>
      <c r="F1758">
        <v>8870660</v>
      </c>
      <c r="G1758" s="2" t="s">
        <v>15</v>
      </c>
      <c r="H1758">
        <v>-1.2096727375049521</v>
      </c>
      <c r="I1758">
        <v>98.179004657832721</v>
      </c>
      <c r="J1758">
        <v>1435.493173828125</v>
      </c>
      <c r="K1758">
        <v>0.93924215461190219</v>
      </c>
      <c r="L1758">
        <v>0</v>
      </c>
      <c r="M1758" t="str">
        <f>VLOOKUP(fact_daily_prices[[#This Row],[Ticker]], dim_company[], 2, FALSE)</f>
        <v>Reliance Industries</v>
      </c>
      <c r="N1758" t="str">
        <f>VLOOKUP(fact_daily_prices[[#This Row],[Ticker]], dim_company[], 3, FALSE)</f>
        <v>Energy &amp; Conglomerate</v>
      </c>
    </row>
    <row r="1759" spans="1:14" x14ac:dyDescent="0.3">
      <c r="A1759" s="1">
        <v>45848</v>
      </c>
      <c r="B1759">
        <v>1504.2095947265625</v>
      </c>
      <c r="C1759">
        <v>1511.6453792793734</v>
      </c>
      <c r="D1759">
        <v>1494.5926951149827</v>
      </c>
      <c r="E1759">
        <v>1506.6881895774991</v>
      </c>
      <c r="F1759">
        <v>10047129</v>
      </c>
      <c r="G1759" s="2" t="s">
        <v>15</v>
      </c>
      <c r="H1759">
        <v>-0.1185043006442732</v>
      </c>
      <c r="I1759">
        <v>98.062658314983452</v>
      </c>
      <c r="J1759">
        <v>1437.7179589843749</v>
      </c>
      <c r="K1759">
        <v>0.94135781828792553</v>
      </c>
      <c r="L1759">
        <v>0</v>
      </c>
      <c r="M1759" t="str">
        <f>VLOOKUP(fact_daily_prices[[#This Row],[Ticker]], dim_company[], 2, FALSE)</f>
        <v>Reliance Industries</v>
      </c>
      <c r="N1759" t="str">
        <f>VLOOKUP(fact_daily_prices[[#This Row],[Ticker]], dim_company[], 3, FALSE)</f>
        <v>Energy &amp; Conglomerate</v>
      </c>
    </row>
    <row r="1760" spans="1:14" x14ac:dyDescent="0.3">
      <c r="A1760" s="1">
        <v>45849</v>
      </c>
      <c r="B1760">
        <v>1482.3980712890625</v>
      </c>
      <c r="C1760">
        <v>1502.0285923917668</v>
      </c>
      <c r="D1760">
        <v>1477.540121836759</v>
      </c>
      <c r="E1760">
        <v>1499.0542783474266</v>
      </c>
      <c r="F1760">
        <v>7234991</v>
      </c>
      <c r="G1760" s="2" t="s">
        <v>15</v>
      </c>
      <c r="H1760">
        <v>-1.450032197239437</v>
      </c>
      <c r="I1760">
        <v>96.640718195947301</v>
      </c>
      <c r="J1760">
        <v>1439.2130468749999</v>
      </c>
      <c r="K1760">
        <v>0.99011178951125711</v>
      </c>
      <c r="L1760">
        <v>0</v>
      </c>
      <c r="M1760" t="str">
        <f>VLOOKUP(fact_daily_prices[[#This Row],[Ticker]], dim_company[], 2, FALSE)</f>
        <v>Reliance Industries</v>
      </c>
      <c r="N1760" t="str">
        <f>VLOOKUP(fact_daily_prices[[#This Row],[Ticker]], dim_company[], 3, FALSE)</f>
        <v>Energy &amp; Conglomerate</v>
      </c>
    </row>
    <row r="1761" spans="1:14" x14ac:dyDescent="0.3">
      <c r="A1761" s="1">
        <v>45852</v>
      </c>
      <c r="B1761">
        <v>1470.9964599609375</v>
      </c>
      <c r="C1761">
        <v>1487.1569471972041</v>
      </c>
      <c r="D1761">
        <v>1466.4358695278945</v>
      </c>
      <c r="E1761">
        <v>1479.4236826617216</v>
      </c>
      <c r="F1761">
        <v>10311846</v>
      </c>
      <c r="G1761" s="2" t="s">
        <v>15</v>
      </c>
      <c r="H1761">
        <v>-0.76913290356688258</v>
      </c>
      <c r="I1761">
        <v>95.897422634058913</v>
      </c>
      <c r="J1761">
        <v>1440.2520703125001</v>
      </c>
      <c r="K1761">
        <v>0.99747152555928542</v>
      </c>
      <c r="L1761">
        <v>0</v>
      </c>
      <c r="M1761" t="str">
        <f>VLOOKUP(fact_daily_prices[[#This Row],[Ticker]], dim_company[], 2, FALSE)</f>
        <v>Reliance Industries</v>
      </c>
      <c r="N1761" t="str">
        <f>VLOOKUP(fact_daily_prices[[#This Row],[Ticker]], dim_company[], 3, FALSE)</f>
        <v>Energy &amp; Conglomerate</v>
      </c>
    </row>
    <row r="1762" spans="1:14" x14ac:dyDescent="0.3">
      <c r="A1762" s="1">
        <v>45853</v>
      </c>
      <c r="B1762">
        <v>1472.6820068359375</v>
      </c>
      <c r="C1762">
        <v>1483.6869442622558</v>
      </c>
      <c r="D1762">
        <v>1469.7076928815193</v>
      </c>
      <c r="E1762">
        <v>1473.4750846086956</v>
      </c>
      <c r="F1762">
        <v>8132454</v>
      </c>
      <c r="G1762" s="2" t="s">
        <v>15</v>
      </c>
      <c r="H1762">
        <v>0.11458537942672375</v>
      </c>
      <c r="I1762">
        <v>96.007307059644603</v>
      </c>
      <c r="J1762">
        <v>1441.531025390625</v>
      </c>
      <c r="K1762">
        <v>0.98756964676692938</v>
      </c>
      <c r="L1762">
        <v>0</v>
      </c>
      <c r="M1762" t="str">
        <f>VLOOKUP(fact_daily_prices[[#This Row],[Ticker]], dim_company[], 2, FALSE)</f>
        <v>Reliance Industries</v>
      </c>
      <c r="N1762" t="str">
        <f>VLOOKUP(fact_daily_prices[[#This Row],[Ticker]], dim_company[], 3, FALSE)</f>
        <v>Energy &amp; Conglomerate</v>
      </c>
    </row>
    <row r="1763" spans="1:14" x14ac:dyDescent="0.3">
      <c r="A1763" s="1">
        <v>45854</v>
      </c>
      <c r="B1763">
        <v>1472.8802490234375</v>
      </c>
      <c r="C1763">
        <v>1478.234038357326</v>
      </c>
      <c r="D1763">
        <v>1458.9009976142222</v>
      </c>
      <c r="E1763">
        <v>1460.388154594461</v>
      </c>
      <c r="F1763">
        <v>10409983</v>
      </c>
      <c r="G1763" s="2" t="s">
        <v>15</v>
      </c>
      <c r="H1763">
        <v>1.3461303022643811E-2</v>
      </c>
      <c r="I1763">
        <v>96.020230894171775</v>
      </c>
      <c r="J1763">
        <v>1443.10939453125</v>
      </c>
      <c r="K1763">
        <v>0.96614172220596994</v>
      </c>
      <c r="L1763">
        <v>0</v>
      </c>
      <c r="M1763" t="str">
        <f>VLOOKUP(fact_daily_prices[[#This Row],[Ticker]], dim_company[], 2, FALSE)</f>
        <v>Reliance Industries</v>
      </c>
      <c r="N1763" t="str">
        <f>VLOOKUP(fact_daily_prices[[#This Row],[Ticker]], dim_company[], 3, FALSE)</f>
        <v>Energy &amp; Conglomerate</v>
      </c>
    </row>
    <row r="1764" spans="1:14" x14ac:dyDescent="0.3">
      <c r="A1764" s="1">
        <v>45855</v>
      </c>
      <c r="B1764">
        <v>1463.7591552734375</v>
      </c>
      <c r="C1764">
        <v>1476.8460890701654</v>
      </c>
      <c r="D1764">
        <v>1461.2805601585153</v>
      </c>
      <c r="E1764">
        <v>1474.6649737790949</v>
      </c>
      <c r="F1764">
        <v>11854613</v>
      </c>
      <c r="G1764" s="2" t="s">
        <v>15</v>
      </c>
      <c r="H1764">
        <v>-0.61926920101260663</v>
      </c>
      <c r="I1764">
        <v>95.425607177502982</v>
      </c>
      <c r="J1764">
        <v>1444.4855126953125</v>
      </c>
      <c r="K1764">
        <v>0.94933561367719366</v>
      </c>
      <c r="L1764">
        <v>0</v>
      </c>
      <c r="M1764" t="str">
        <f>VLOOKUP(fact_daily_prices[[#This Row],[Ticker]], dim_company[], 2, FALSE)</f>
        <v>Reliance Industries</v>
      </c>
      <c r="N1764" t="str">
        <f>VLOOKUP(fact_daily_prices[[#This Row],[Ticker]], dim_company[], 3, FALSE)</f>
        <v>Energy &amp; Conglomerate</v>
      </c>
    </row>
    <row r="1765" spans="1:14" x14ac:dyDescent="0.3">
      <c r="A1765" s="1">
        <v>45856</v>
      </c>
      <c r="B1765">
        <v>1463.362548828125</v>
      </c>
      <c r="C1765">
        <v>1472.0872520008463</v>
      </c>
      <c r="D1765">
        <v>1456.5216021387355</v>
      </c>
      <c r="E1765">
        <v>1472.0872520008463</v>
      </c>
      <c r="F1765">
        <v>10296318</v>
      </c>
      <c r="G1765" s="2" t="s">
        <v>15</v>
      </c>
      <c r="H1765">
        <v>-2.7095061635218354E-2</v>
      </c>
      <c r="I1765">
        <v>95.399751550422451</v>
      </c>
      <c r="J1765">
        <v>1446.4445947265624</v>
      </c>
      <c r="K1765">
        <v>0.94954477759753975</v>
      </c>
      <c r="L1765">
        <v>0</v>
      </c>
      <c r="M1765" t="str">
        <f>VLOOKUP(fact_daily_prices[[#This Row],[Ticker]], dim_company[], 2, FALSE)</f>
        <v>Reliance Industries</v>
      </c>
      <c r="N1765" t="str">
        <f>VLOOKUP(fact_daily_prices[[#This Row],[Ticker]], dim_company[], 3, FALSE)</f>
        <v>Energy &amp; Conglomerate</v>
      </c>
    </row>
    <row r="1766" spans="1:14" x14ac:dyDescent="0.3">
      <c r="A1766" s="1">
        <v>45859</v>
      </c>
      <c r="B1766">
        <v>1416.3682861328125</v>
      </c>
      <c r="C1766">
        <v>1463.362470991638</v>
      </c>
      <c r="D1766">
        <v>1410.9153771961903</v>
      </c>
      <c r="E1766">
        <v>1452.4566531183939</v>
      </c>
      <c r="F1766">
        <v>22442744</v>
      </c>
      <c r="G1766" s="2" t="s">
        <v>15</v>
      </c>
      <c r="H1766">
        <v>-3.211388916092317</v>
      </c>
      <c r="I1766">
        <v>92.33609450315258</v>
      </c>
      <c r="J1766">
        <v>1446.2879467773437</v>
      </c>
      <c r="K1766">
        <v>1.1212858543289614</v>
      </c>
      <c r="L1766">
        <v>1</v>
      </c>
      <c r="M1766" t="str">
        <f>VLOOKUP(fact_daily_prices[[#This Row],[Ticker]], dim_company[], 2, FALSE)</f>
        <v>Reliance Industries</v>
      </c>
      <c r="N1766" t="str">
        <f>VLOOKUP(fact_daily_prices[[#This Row],[Ticker]], dim_company[], 3, FALSE)</f>
        <v>Energy &amp; Conglomerate</v>
      </c>
    </row>
    <row r="1767" spans="1:14" x14ac:dyDescent="0.3">
      <c r="A1767" s="1">
        <v>45860</v>
      </c>
      <c r="B1767">
        <v>1400.70361328125</v>
      </c>
      <c r="C1767">
        <v>1419.6400543147829</v>
      </c>
      <c r="D1767">
        <v>1398.6214967228643</v>
      </c>
      <c r="E1767">
        <v>1415.1785834470591</v>
      </c>
      <c r="F1767">
        <v>20396320</v>
      </c>
      <c r="G1767" s="2" t="s">
        <v>15</v>
      </c>
      <c r="H1767">
        <v>-1.1059745551301958</v>
      </c>
      <c r="I1767">
        <v>91.314880792746735</v>
      </c>
      <c r="J1767">
        <v>1446.2304443359376</v>
      </c>
      <c r="K1767">
        <v>1.1316993610402406</v>
      </c>
      <c r="L1767">
        <v>0</v>
      </c>
      <c r="M1767" t="str">
        <f>VLOOKUP(fact_daily_prices[[#This Row],[Ticker]], dim_company[], 2, FALSE)</f>
        <v>Reliance Industries</v>
      </c>
      <c r="N1767" t="str">
        <f>VLOOKUP(fact_daily_prices[[#This Row],[Ticker]], dim_company[], 3, FALSE)</f>
        <v>Energy &amp; Conglomerate</v>
      </c>
    </row>
    <row r="1768" spans="1:14" x14ac:dyDescent="0.3">
      <c r="A1768" s="1">
        <v>45861</v>
      </c>
      <c r="B1768">
        <v>1412.402587890625</v>
      </c>
      <c r="C1768">
        <v>1413.7906253323065</v>
      </c>
      <c r="D1768">
        <v>1402.2899684336514</v>
      </c>
      <c r="E1768">
        <v>1413.7906253323065</v>
      </c>
      <c r="F1768">
        <v>8354596</v>
      </c>
      <c r="G1768" s="2" t="s">
        <v>15</v>
      </c>
      <c r="H1768">
        <v>0.83522127725288442</v>
      </c>
      <c r="I1768">
        <v>92.077562106425873</v>
      </c>
      <c r="J1768">
        <v>1446.4069213867188</v>
      </c>
      <c r="K1768">
        <v>1.134538129128976</v>
      </c>
      <c r="L1768">
        <v>0</v>
      </c>
      <c r="M1768" t="str">
        <f>VLOOKUP(fact_daily_prices[[#This Row],[Ticker]], dim_company[], 2, FALSE)</f>
        <v>Reliance Industries</v>
      </c>
      <c r="N1768" t="str">
        <f>VLOOKUP(fact_daily_prices[[#This Row],[Ticker]], dim_company[], 3, FALSE)</f>
        <v>Energy &amp; Conglomerate</v>
      </c>
    </row>
    <row r="1769" spans="1:14" x14ac:dyDescent="0.3">
      <c r="A1769" s="1">
        <v>45862</v>
      </c>
      <c r="B1769">
        <v>1390.888427734375</v>
      </c>
      <c r="C1769">
        <v>1410.8163078068701</v>
      </c>
      <c r="D1769">
        <v>1384.0474811654185</v>
      </c>
      <c r="E1769">
        <v>1407.0487949065318</v>
      </c>
      <c r="F1769">
        <v>14740507</v>
      </c>
      <c r="G1769" s="2" t="s">
        <v>15</v>
      </c>
      <c r="H1769">
        <v>-1.5232314313711859</v>
      </c>
      <c r="I1769">
        <v>90.675007739180472</v>
      </c>
      <c r="J1769">
        <v>1445.3897070312501</v>
      </c>
      <c r="K1769">
        <v>1.1634916779941809</v>
      </c>
      <c r="L1769">
        <v>0</v>
      </c>
      <c r="M1769" t="str">
        <f>VLOOKUP(fact_daily_prices[[#This Row],[Ticker]], dim_company[], 2, FALSE)</f>
        <v>Reliance Industries</v>
      </c>
      <c r="N1769" t="str">
        <f>VLOOKUP(fact_daily_prices[[#This Row],[Ticker]], dim_company[], 3, FALSE)</f>
        <v>Energy &amp; Conglomerate</v>
      </c>
    </row>
    <row r="1770" spans="1:14" x14ac:dyDescent="0.3">
      <c r="A1770" s="1">
        <v>45863</v>
      </c>
      <c r="B1770">
        <v>1379.7841796875</v>
      </c>
      <c r="C1770">
        <v>1389.0046012536309</v>
      </c>
      <c r="D1770">
        <v>1372.2492752918663</v>
      </c>
      <c r="E1770">
        <v>1386.9226057137396</v>
      </c>
      <c r="F1770">
        <v>11854722</v>
      </c>
      <c r="G1770" s="2" t="s">
        <v>15</v>
      </c>
      <c r="H1770">
        <v>-0.7983564911071106</v>
      </c>
      <c r="I1770">
        <v>89.951097929082849</v>
      </c>
      <c r="J1770">
        <v>1444.1067846679687</v>
      </c>
      <c r="K1770">
        <v>1.1599153089520702</v>
      </c>
      <c r="L1770">
        <v>0</v>
      </c>
      <c r="M1770" t="str">
        <f>VLOOKUP(fact_daily_prices[[#This Row],[Ticker]], dim_company[], 2, FALSE)</f>
        <v>Reliance Industries</v>
      </c>
      <c r="N1770" t="str">
        <f>VLOOKUP(fact_daily_prices[[#This Row],[Ticker]], dim_company[], 3, FALSE)</f>
        <v>Energy &amp; Conglomerate</v>
      </c>
    </row>
    <row r="1771" spans="1:14" x14ac:dyDescent="0.3">
      <c r="A1771" s="1">
        <v>45866</v>
      </c>
      <c r="B1771">
        <v>1375.71923828125</v>
      </c>
      <c r="C1771">
        <v>1395.7463569486692</v>
      </c>
      <c r="D1771">
        <v>1373.1415238854815</v>
      </c>
      <c r="E1771">
        <v>1380.3790691362324</v>
      </c>
      <c r="F1771">
        <v>7748361</v>
      </c>
      <c r="G1771" s="2" t="s">
        <v>15</v>
      </c>
      <c r="H1771">
        <v>-0.29460704551422801</v>
      </c>
      <c r="I1771">
        <v>89.68609565706636</v>
      </c>
      <c r="J1771">
        <v>1443.0518920898437</v>
      </c>
      <c r="K1771">
        <v>1.151222306476535</v>
      </c>
      <c r="L1771">
        <v>0</v>
      </c>
      <c r="M1771" t="str">
        <f>VLOOKUP(fact_daily_prices[[#This Row],[Ticker]], dim_company[], 2, FALSE)</f>
        <v>Reliance Industries</v>
      </c>
      <c r="N1771" t="str">
        <f>VLOOKUP(fact_daily_prices[[#This Row],[Ticker]], dim_company[], 3, FALSE)</f>
        <v>Energy &amp; Conglomerate</v>
      </c>
    </row>
    <row r="1772" spans="1:14" x14ac:dyDescent="0.3">
      <c r="A1772" s="1">
        <v>45867</v>
      </c>
      <c r="B1772">
        <v>1404.9666748046875</v>
      </c>
      <c r="C1772">
        <v>1408.0401082010501</v>
      </c>
      <c r="D1772">
        <v>1371.1586653944223</v>
      </c>
      <c r="E1772">
        <v>1371.1586653944223</v>
      </c>
      <c r="F1772">
        <v>10750072</v>
      </c>
      <c r="G1772" s="2" t="s">
        <v>15</v>
      </c>
      <c r="H1772">
        <v>2.1259742329385212</v>
      </c>
      <c r="I1772">
        <v>91.592798941264192</v>
      </c>
      <c r="J1772">
        <v>1442.9031738281251</v>
      </c>
      <c r="K1772">
        <v>1.2190908834515914</v>
      </c>
      <c r="L1772">
        <v>0</v>
      </c>
      <c r="M1772" t="str">
        <f>VLOOKUP(fact_daily_prices[[#This Row],[Ticker]], dim_company[], 2, FALSE)</f>
        <v>Reliance Industries</v>
      </c>
      <c r="N1772" t="str">
        <f>VLOOKUP(fact_daily_prices[[#This Row],[Ticker]], dim_company[], 3, FALSE)</f>
        <v>Energy &amp; Conglomerate</v>
      </c>
    </row>
    <row r="1773" spans="1:14" x14ac:dyDescent="0.3">
      <c r="A1773" s="1">
        <v>45868</v>
      </c>
      <c r="B1773">
        <v>1398.026611328125</v>
      </c>
      <c r="C1773">
        <v>1411.113664716939</v>
      </c>
      <c r="D1773">
        <v>1389.3020300940543</v>
      </c>
      <c r="E1773">
        <v>1405.9581148273558</v>
      </c>
      <c r="F1773">
        <v>7209849</v>
      </c>
      <c r="G1773" s="2" t="s">
        <v>15</v>
      </c>
      <c r="H1773">
        <v>-0.49396641223018456</v>
      </c>
      <c r="I1773">
        <v>91.140361278472824</v>
      </c>
      <c r="J1773">
        <v>1442.524443359375</v>
      </c>
      <c r="K1773">
        <v>1.2220680758175726</v>
      </c>
      <c r="L1773">
        <v>0</v>
      </c>
      <c r="M1773" t="str">
        <f>VLOOKUP(fact_daily_prices[[#This Row],[Ticker]], dim_company[], 2, FALSE)</f>
        <v>Reliance Industries</v>
      </c>
      <c r="N1773" t="str">
        <f>VLOOKUP(fact_daily_prices[[#This Row],[Ticker]], dim_company[], 3, FALSE)</f>
        <v>Energy &amp; Conglomerate</v>
      </c>
    </row>
    <row r="1774" spans="1:14" x14ac:dyDescent="0.3">
      <c r="A1774" s="1">
        <v>45869</v>
      </c>
      <c r="B1774">
        <v>1378.2969970703125</v>
      </c>
      <c r="C1774">
        <v>1390.5908519212596</v>
      </c>
      <c r="D1774">
        <v>1370.365493427784</v>
      </c>
      <c r="E1774">
        <v>1376.215001569177</v>
      </c>
      <c r="F1774">
        <v>17065827</v>
      </c>
      <c r="G1774" s="2" t="s">
        <v>15</v>
      </c>
      <c r="H1774">
        <v>-1.4112474038723288</v>
      </c>
      <c r="I1774">
        <v>89.854145296050518</v>
      </c>
      <c r="J1774">
        <v>1442.1437280273437</v>
      </c>
      <c r="K1774">
        <v>1.2461338442552747</v>
      </c>
      <c r="L1774">
        <v>0</v>
      </c>
      <c r="M1774" t="str">
        <f>VLOOKUP(fact_daily_prices[[#This Row],[Ticker]], dim_company[], 2, FALSE)</f>
        <v>Reliance Industries</v>
      </c>
      <c r="N1774" t="str">
        <f>VLOOKUP(fact_daily_prices[[#This Row],[Ticker]], dim_company[], 3, FALSE)</f>
        <v>Energy &amp; Conglomerate</v>
      </c>
    </row>
    <row r="1775" spans="1:14" x14ac:dyDescent="0.3">
      <c r="A1775" s="1">
        <v>45870</v>
      </c>
      <c r="B1775">
        <v>1381.76708984375</v>
      </c>
      <c r="C1775">
        <v>1393.8627060383001</v>
      </c>
      <c r="D1775">
        <v>1372.4476694796913</v>
      </c>
      <c r="E1775">
        <v>1375.0253840702851</v>
      </c>
      <c r="F1775">
        <v>10321171</v>
      </c>
      <c r="G1775" s="2" t="s">
        <v>15</v>
      </c>
      <c r="H1775">
        <v>0.25176669330437829</v>
      </c>
      <c r="I1775">
        <v>90.080368106459304</v>
      </c>
      <c r="J1775">
        <v>1441.4873925781251</v>
      </c>
      <c r="K1775">
        <v>1.1641618989038596</v>
      </c>
      <c r="L1775">
        <v>0</v>
      </c>
      <c r="M1775" t="str">
        <f>VLOOKUP(fact_daily_prices[[#This Row],[Ticker]], dim_company[], 2, FALSE)</f>
        <v>Reliance Industries</v>
      </c>
      <c r="N1775" t="str">
        <f>VLOOKUP(fact_daily_prices[[#This Row],[Ticker]], dim_company[], 3, FALSE)</f>
        <v>Energy &amp; Conglomerate</v>
      </c>
    </row>
    <row r="1776" spans="1:14" x14ac:dyDescent="0.3">
      <c r="A1776" s="1">
        <v>45873</v>
      </c>
      <c r="B1776">
        <v>1399.4146728515625</v>
      </c>
      <c r="C1776">
        <v>1403.975263237478</v>
      </c>
      <c r="D1776">
        <v>1379.7841529413568</v>
      </c>
      <c r="E1776">
        <v>1383.155066191865</v>
      </c>
      <c r="F1776">
        <v>6312820</v>
      </c>
      <c r="G1776" s="2" t="s">
        <v>15</v>
      </c>
      <c r="H1776">
        <v>1.2771749405182442</v>
      </c>
      <c r="I1776">
        <v>91.230851994241561</v>
      </c>
      <c r="J1776">
        <v>1441.025380859375</v>
      </c>
      <c r="K1776">
        <v>1.1893668874862133</v>
      </c>
      <c r="L1776">
        <v>0</v>
      </c>
      <c r="M1776" t="str">
        <f>VLOOKUP(fact_daily_prices[[#This Row],[Ticker]], dim_company[], 2, FALSE)</f>
        <v>Reliance Industries</v>
      </c>
      <c r="N1776" t="str">
        <f>VLOOKUP(fact_daily_prices[[#This Row],[Ticker]], dim_company[], 3, FALSE)</f>
        <v>Energy &amp; Conglomerate</v>
      </c>
    </row>
    <row r="1777" spans="1:14" x14ac:dyDescent="0.3">
      <c r="A1777" s="1">
        <v>45874</v>
      </c>
      <c r="B1777">
        <v>1379.7841796875</v>
      </c>
      <c r="C1777">
        <v>1398.9189809913439</v>
      </c>
      <c r="D1777">
        <v>1376.2150271869518</v>
      </c>
      <c r="E1777">
        <v>1398.9189809913439</v>
      </c>
      <c r="F1777">
        <v>9315972</v>
      </c>
      <c r="G1777" s="2" t="s">
        <v>15</v>
      </c>
      <c r="H1777">
        <v>-1.4027645661354837</v>
      </c>
      <c r="I1777">
        <v>89.951097929082849</v>
      </c>
      <c r="J1777">
        <v>1440.4225854492188</v>
      </c>
      <c r="K1777">
        <v>1.2119179993745821</v>
      </c>
      <c r="L1777">
        <v>0</v>
      </c>
      <c r="M1777" t="str">
        <f>VLOOKUP(fact_daily_prices[[#This Row],[Ticker]], dim_company[], 2, FALSE)</f>
        <v>Reliance Industries</v>
      </c>
      <c r="N1777" t="str">
        <f>VLOOKUP(fact_daily_prices[[#This Row],[Ticker]], dim_company[], 3, FALSE)</f>
        <v>Energy &amp; Conglomerate</v>
      </c>
    </row>
    <row r="1778" spans="1:14" x14ac:dyDescent="0.3">
      <c r="A1778" s="1">
        <v>45875</v>
      </c>
      <c r="B1778">
        <v>1380.874755859375</v>
      </c>
      <c r="C1778">
        <v>1383.9481891450812</v>
      </c>
      <c r="D1778">
        <v>1371.4560958071288</v>
      </c>
      <c r="E1778">
        <v>1379.9824375441351</v>
      </c>
      <c r="F1778">
        <v>5834312</v>
      </c>
      <c r="G1778" s="2" t="s">
        <v>15</v>
      </c>
      <c r="H1778">
        <v>7.9039619958676255E-2</v>
      </c>
      <c r="I1778">
        <v>90.022194935034648</v>
      </c>
      <c r="J1778">
        <v>1440.0240258789063</v>
      </c>
      <c r="K1778">
        <v>1.1888984429657219</v>
      </c>
      <c r="L1778">
        <v>0</v>
      </c>
      <c r="M1778" t="str">
        <f>VLOOKUP(fact_daily_prices[[#This Row],[Ticker]], dim_company[], 2, FALSE)</f>
        <v>Reliance Industries</v>
      </c>
      <c r="N1778" t="str">
        <f>VLOOKUP(fact_daily_prices[[#This Row],[Ticker]], dim_company[], 3, FALSE)</f>
        <v>Energy &amp; Conglomerate</v>
      </c>
    </row>
    <row r="1779" spans="1:14" x14ac:dyDescent="0.3">
      <c r="A1779" s="1">
        <v>45876</v>
      </c>
      <c r="B1779">
        <v>1377.5040283203125</v>
      </c>
      <c r="C1779">
        <v>1381.7671392504185</v>
      </c>
      <c r="D1779">
        <v>1354.3043541251443</v>
      </c>
      <c r="E1779">
        <v>1375.8185110478189</v>
      </c>
      <c r="F1779">
        <v>9976705</v>
      </c>
      <c r="G1779" s="2" t="s">
        <v>15</v>
      </c>
      <c r="H1779">
        <v>-0.24410088784371231</v>
      </c>
      <c r="I1779">
        <v>89.802449957941832</v>
      </c>
      <c r="J1779">
        <v>1439.460888671875</v>
      </c>
      <c r="K1779">
        <v>1.1224511930674588</v>
      </c>
      <c r="L1779">
        <v>0</v>
      </c>
      <c r="M1779" t="str">
        <f>VLOOKUP(fact_daily_prices[[#This Row],[Ticker]], dim_company[], 2, FALSE)</f>
        <v>Reliance Industries</v>
      </c>
      <c r="N1779" t="str">
        <f>VLOOKUP(fact_daily_prices[[#This Row],[Ticker]], dim_company[], 3, FALSE)</f>
        <v>Energy &amp; Conglomerate</v>
      </c>
    </row>
    <row r="1780" spans="1:14" x14ac:dyDescent="0.3">
      <c r="A1780" s="1">
        <v>45877</v>
      </c>
      <c r="B1780">
        <v>1356.0888671875</v>
      </c>
      <c r="C1780">
        <v>1385.2370458989403</v>
      </c>
      <c r="D1780">
        <v>1353.312792536344</v>
      </c>
      <c r="E1780">
        <v>1373.1415514013454</v>
      </c>
      <c r="F1780">
        <v>8793606</v>
      </c>
      <c r="G1780" s="2" t="s">
        <v>15</v>
      </c>
      <c r="H1780">
        <v>-1.554635100336188</v>
      </c>
      <c r="I1780">
        <v>88.406349549933822</v>
      </c>
      <c r="J1780">
        <v>1438.4079809570312</v>
      </c>
      <c r="K1780">
        <v>1.1061656926189976</v>
      </c>
      <c r="L1780">
        <v>0</v>
      </c>
      <c r="M1780" t="str">
        <f>VLOOKUP(fact_daily_prices[[#This Row],[Ticker]], dim_company[], 2, FALSE)</f>
        <v>Reliance Industries</v>
      </c>
      <c r="N1780" t="str">
        <f>VLOOKUP(fact_daily_prices[[#This Row],[Ticker]], dim_company[], 3, FALSE)</f>
        <v>Energy &amp; Conglomerate</v>
      </c>
    </row>
    <row r="1781" spans="1:14" x14ac:dyDescent="0.3">
      <c r="A1781" s="1">
        <v>45880</v>
      </c>
      <c r="B1781">
        <v>1374.331298828125</v>
      </c>
      <c r="C1781">
        <v>1376.1159356273254</v>
      </c>
      <c r="D1781">
        <v>1349.5453489789295</v>
      </c>
      <c r="E1781">
        <v>1358.2700517359046</v>
      </c>
      <c r="F1781">
        <v>9997486</v>
      </c>
      <c r="G1781" s="2" t="s">
        <v>15</v>
      </c>
      <c r="H1781">
        <v>1.345223906930193</v>
      </c>
      <c r="I1781">
        <v>89.595612899323811</v>
      </c>
      <c r="J1781">
        <v>1437.8626904296875</v>
      </c>
      <c r="K1781">
        <v>1.1404255723774162</v>
      </c>
      <c r="L1781">
        <v>0</v>
      </c>
      <c r="M1781" t="str">
        <f>VLOOKUP(fact_daily_prices[[#This Row],[Ticker]], dim_company[], 2, FALSE)</f>
        <v>Reliance Industries</v>
      </c>
      <c r="N1781" t="str">
        <f>VLOOKUP(fact_daily_prices[[#This Row],[Ticker]], dim_company[], 3, FALSE)</f>
        <v>Energy &amp; Conglomerate</v>
      </c>
    </row>
    <row r="1782" spans="1:14" x14ac:dyDescent="0.3">
      <c r="A1782" s="1">
        <v>45881</v>
      </c>
      <c r="B1782">
        <v>1368.5810546875</v>
      </c>
      <c r="C1782">
        <v>1389.8969719255274</v>
      </c>
      <c r="D1782">
        <v>1363.4255044148415</v>
      </c>
      <c r="E1782">
        <v>1370.0682117041065</v>
      </c>
      <c r="F1782">
        <v>12244664</v>
      </c>
      <c r="G1782" s="2" t="s">
        <v>15</v>
      </c>
      <c r="H1782">
        <v>-0.41840305503688668</v>
      </c>
      <c r="I1782">
        <v>89.220742117774009</v>
      </c>
      <c r="J1782">
        <v>1437.3649877929688</v>
      </c>
      <c r="K1782">
        <v>1.0686315100750978</v>
      </c>
      <c r="L1782">
        <v>0</v>
      </c>
      <c r="M1782" t="str">
        <f>VLOOKUP(fact_daily_prices[[#This Row],[Ticker]], dim_company[], 2, FALSE)</f>
        <v>Reliance Industries</v>
      </c>
      <c r="N1782" t="str">
        <f>VLOOKUP(fact_daily_prices[[#This Row],[Ticker]], dim_company[], 3, FALSE)</f>
        <v>Energy &amp; Conglomerate</v>
      </c>
    </row>
    <row r="1783" spans="1:14" x14ac:dyDescent="0.3">
      <c r="A1783" s="1">
        <v>45882</v>
      </c>
      <c r="B1783">
        <v>1370.7620849609375</v>
      </c>
      <c r="C1783">
        <v>1379.8833867126675</v>
      </c>
      <c r="D1783">
        <v>1365.7057756228248</v>
      </c>
      <c r="E1783">
        <v>1376.115874093997</v>
      </c>
      <c r="F1783">
        <v>7457021</v>
      </c>
      <c r="G1783" s="2" t="s">
        <v>15</v>
      </c>
      <c r="H1783">
        <v>0.159364347911084</v>
      </c>
      <c r="I1783">
        <v>89.362928171651447</v>
      </c>
      <c r="J1783">
        <v>1436.5539892578124</v>
      </c>
      <c r="K1783">
        <v>1.0708114695118325</v>
      </c>
      <c r="L1783">
        <v>0</v>
      </c>
      <c r="M1783" t="str">
        <f>VLOOKUP(fact_daily_prices[[#This Row],[Ticker]], dim_company[], 2, FALSE)</f>
        <v>Reliance Industries</v>
      </c>
      <c r="N1783" t="str">
        <f>VLOOKUP(fact_daily_prices[[#This Row],[Ticker]], dim_company[], 3, FALSE)</f>
        <v>Energy &amp; Conglomerate</v>
      </c>
    </row>
    <row r="1784" spans="1:14" x14ac:dyDescent="0.3">
      <c r="A1784" s="1">
        <v>45883</v>
      </c>
      <c r="B1784">
        <v>1367.4774169921875</v>
      </c>
      <c r="C1784">
        <v>1374.3455639562076</v>
      </c>
      <c r="D1784">
        <v>1363.7943725751891</v>
      </c>
      <c r="E1784">
        <v>1370.961308962897</v>
      </c>
      <c r="F1784">
        <v>7126128</v>
      </c>
      <c r="G1784" s="2" t="s">
        <v>15</v>
      </c>
      <c r="H1784">
        <v>-0.23962349154438289</v>
      </c>
      <c r="I1784">
        <v>89.148793603020223</v>
      </c>
      <c r="J1784">
        <v>1435.3025341796874</v>
      </c>
      <c r="K1784">
        <v>1.069930826957721</v>
      </c>
      <c r="L1784">
        <v>0</v>
      </c>
      <c r="M1784" t="str">
        <f>VLOOKUP(fact_daily_prices[[#This Row],[Ticker]], dim_company[], 2, FALSE)</f>
        <v>Reliance Industries</v>
      </c>
      <c r="N1784" t="str">
        <f>VLOOKUP(fact_daily_prices[[#This Row],[Ticker]], dim_company[], 3, FALSE)</f>
        <v>Energy &amp; Conglomerate</v>
      </c>
    </row>
    <row r="1785" spans="1:14" x14ac:dyDescent="0.3">
      <c r="A1785" s="1">
        <v>45887</v>
      </c>
      <c r="B1785">
        <v>1375.3409423828125</v>
      </c>
      <c r="C1785">
        <v>1388.4802648218374</v>
      </c>
      <c r="D1785">
        <v>1370.6626218339859</v>
      </c>
      <c r="E1785">
        <v>1383.602791829514</v>
      </c>
      <c r="F1785">
        <v>11785109</v>
      </c>
      <c r="G1785" s="2" t="s">
        <v>15</v>
      </c>
      <c r="H1785">
        <v>0.57503877525970637</v>
      </c>
      <c r="I1785">
        <v>89.661433733913839</v>
      </c>
      <c r="J1785">
        <v>1434.1865380859374</v>
      </c>
      <c r="K1785">
        <v>1.0684308973228447</v>
      </c>
      <c r="L1785">
        <v>0</v>
      </c>
      <c r="M1785" t="str">
        <f>VLOOKUP(fact_daily_prices[[#This Row],[Ticker]], dim_company[], 2, FALSE)</f>
        <v>Reliance Industries</v>
      </c>
      <c r="N1785" t="str">
        <f>VLOOKUP(fact_daily_prices[[#This Row],[Ticker]], dim_company[], 3, FALSE)</f>
        <v>Energy &amp; Conglomerate</v>
      </c>
    </row>
    <row r="1786" spans="1:14" x14ac:dyDescent="0.3">
      <c r="A1786" s="1">
        <v>45888</v>
      </c>
      <c r="B1786">
        <v>1413.564208984375</v>
      </c>
      <c r="C1786">
        <v>1414.460091190419</v>
      </c>
      <c r="D1786">
        <v>1382.7068811681168</v>
      </c>
      <c r="E1786">
        <v>1383.6027633741608</v>
      </c>
      <c r="F1786">
        <v>14384719</v>
      </c>
      <c r="G1786" s="2" t="s">
        <v>15</v>
      </c>
      <c r="H1786">
        <v>2.7791848132827202</v>
      </c>
      <c r="I1786">
        <v>92.153290683618323</v>
      </c>
      <c r="J1786">
        <v>1433.7299145507814</v>
      </c>
      <c r="K1786">
        <v>1.1892328415610731</v>
      </c>
      <c r="L1786">
        <v>0</v>
      </c>
      <c r="M1786" t="str">
        <f>VLOOKUP(fact_daily_prices[[#This Row],[Ticker]], dim_company[], 2, FALSE)</f>
        <v>Reliance Industries</v>
      </c>
      <c r="N1786" t="str">
        <f>VLOOKUP(fact_daily_prices[[#This Row],[Ticker]], dim_company[], 3, FALSE)</f>
        <v>Energy &amp; Conglomerate</v>
      </c>
    </row>
    <row r="1787" spans="1:14" x14ac:dyDescent="0.3">
      <c r="A1787" s="1">
        <v>45889</v>
      </c>
      <c r="B1787">
        <v>1406.4969482421875</v>
      </c>
      <c r="C1787">
        <v>1418.3422051582429</v>
      </c>
      <c r="D1787">
        <v>1403.5107551461319</v>
      </c>
      <c r="E1787">
        <v>1406.4969482421875</v>
      </c>
      <c r="F1787">
        <v>8725641</v>
      </c>
      <c r="G1787" s="2" t="s">
        <v>15</v>
      </c>
      <c r="H1787">
        <v>-0.49996036241362063</v>
      </c>
      <c r="I1787">
        <v>91.692560757540434</v>
      </c>
      <c r="J1787">
        <v>1433.3361840820312</v>
      </c>
      <c r="K1787">
        <v>1.1900875247682536</v>
      </c>
      <c r="L1787">
        <v>0</v>
      </c>
      <c r="M1787" t="str">
        <f>VLOOKUP(fact_daily_prices[[#This Row],[Ticker]], dim_company[], 2, FALSE)</f>
        <v>Reliance Industries</v>
      </c>
      <c r="N1787" t="str">
        <f>VLOOKUP(fact_daily_prices[[#This Row],[Ticker]], dim_company[], 3, FALSE)</f>
        <v>Energy &amp; Conglomerate</v>
      </c>
    </row>
    <row r="1788" spans="1:14" x14ac:dyDescent="0.3">
      <c r="A1788" s="1">
        <v>45890</v>
      </c>
      <c r="B1788">
        <v>1418.24267578125</v>
      </c>
      <c r="C1788">
        <v>1425.3099750709036</v>
      </c>
      <c r="D1788">
        <v>1413.7633861810953</v>
      </c>
      <c r="E1788">
        <v>1418.4417067156321</v>
      </c>
      <c r="F1788">
        <v>11021323</v>
      </c>
      <c r="G1788" s="2" t="s">
        <v>15</v>
      </c>
      <c r="H1788">
        <v>0.8351050852788644</v>
      </c>
      <c r="I1788">
        <v>92.458289995249061</v>
      </c>
      <c r="J1788">
        <v>1432.9711474609376</v>
      </c>
      <c r="K1788">
        <v>1.1924452638918868</v>
      </c>
      <c r="L1788">
        <v>0</v>
      </c>
      <c r="M1788" t="str">
        <f>VLOOKUP(fact_daily_prices[[#This Row],[Ticker]], dim_company[], 2, FALSE)</f>
        <v>Reliance Industries</v>
      </c>
      <c r="N1788" t="str">
        <f>VLOOKUP(fact_daily_prices[[#This Row],[Ticker]], dim_company[], 3, FALSE)</f>
        <v>Energy &amp; Conglomerate</v>
      </c>
    </row>
    <row r="1789" spans="1:14" x14ac:dyDescent="0.3">
      <c r="A1789" s="1">
        <v>45891</v>
      </c>
      <c r="B1789">
        <v>1402.71435546875</v>
      </c>
      <c r="C1789">
        <v>1416.8490753635101</v>
      </c>
      <c r="D1789">
        <v>1401.4204113959267</v>
      </c>
      <c r="E1789">
        <v>1413.464698965694</v>
      </c>
      <c r="F1789">
        <v>5818868</v>
      </c>
      <c r="G1789" s="2" t="s">
        <v>15</v>
      </c>
      <c r="H1789">
        <v>-1.0948986783200665</v>
      </c>
      <c r="I1789">
        <v>91.445965400093741</v>
      </c>
      <c r="J1789">
        <v>1432.4402929687501</v>
      </c>
      <c r="K1789">
        <v>1.2036132939334048</v>
      </c>
      <c r="L1789">
        <v>0</v>
      </c>
      <c r="M1789" t="str">
        <f>VLOOKUP(fact_daily_prices[[#This Row],[Ticker]], dim_company[], 2, FALSE)</f>
        <v>Reliance Industries</v>
      </c>
      <c r="N1789" t="str">
        <f>VLOOKUP(fact_daily_prices[[#This Row],[Ticker]], dim_company[], 3, FALSE)</f>
        <v>Energy &amp; Conglomerate</v>
      </c>
    </row>
    <row r="1790" spans="1:14" x14ac:dyDescent="0.3">
      <c r="A1790" s="1">
        <v>45894</v>
      </c>
      <c r="B1790">
        <v>1406.0987548828125</v>
      </c>
      <c r="C1790">
        <v>1412.9670232567023</v>
      </c>
      <c r="D1790">
        <v>1399.2304865089229</v>
      </c>
      <c r="E1790">
        <v>1408.1890657335159</v>
      </c>
      <c r="F1790">
        <v>5979407</v>
      </c>
      <c r="G1790" s="2" t="s">
        <v>15</v>
      </c>
      <c r="H1790">
        <v>0.24127502515873811</v>
      </c>
      <c r="I1790">
        <v>91.66660167611947</v>
      </c>
      <c r="J1790">
        <v>1432.2487817382812</v>
      </c>
      <c r="K1790">
        <v>1.1837287704454285</v>
      </c>
      <c r="L1790">
        <v>0</v>
      </c>
      <c r="M1790" t="str">
        <f>VLOOKUP(fact_daily_prices[[#This Row],[Ticker]], dim_company[], 2, FALSE)</f>
        <v>Reliance Industries</v>
      </c>
      <c r="N1790" t="str">
        <f>VLOOKUP(fact_daily_prices[[#This Row],[Ticker]], dim_company[], 3, FALSE)</f>
        <v>Energy &amp; Conglomerate</v>
      </c>
    </row>
    <row r="1791" spans="1:14" x14ac:dyDescent="0.3">
      <c r="A1791" s="1">
        <v>45895</v>
      </c>
      <c r="B1791">
        <v>1378.5262451171875</v>
      </c>
      <c r="C1791">
        <v>1403.5107021083377</v>
      </c>
      <c r="D1791">
        <v>1375.241384232256</v>
      </c>
      <c r="E1791">
        <v>1401.5199067861979</v>
      </c>
      <c r="F1791">
        <v>12145259</v>
      </c>
      <c r="G1791" s="2" t="s">
        <v>15</v>
      </c>
      <c r="H1791">
        <v>-1.9609227068779322</v>
      </c>
      <c r="I1791">
        <v>89.869090469229093</v>
      </c>
      <c r="J1791">
        <v>1431.3095141601561</v>
      </c>
      <c r="K1791">
        <v>1.223874381009213</v>
      </c>
      <c r="L1791">
        <v>0</v>
      </c>
      <c r="M1791" t="str">
        <f>VLOOKUP(fact_daily_prices[[#This Row],[Ticker]], dim_company[], 2, FALSE)</f>
        <v>Reliance Industries</v>
      </c>
      <c r="N1791" t="str">
        <f>VLOOKUP(fact_daily_prices[[#This Row],[Ticker]], dim_company[], 3, FALSE)</f>
        <v>Energy &amp; Conglomerate</v>
      </c>
    </row>
    <row r="1792" spans="1:14" x14ac:dyDescent="0.3">
      <c r="A1792" s="1">
        <v>45897</v>
      </c>
      <c r="B1792">
        <v>1379.521728515625</v>
      </c>
      <c r="C1792">
        <v>1385.7926612650012</v>
      </c>
      <c r="D1792">
        <v>1360.2109883890075</v>
      </c>
      <c r="E1792">
        <v>1383.5033194073601</v>
      </c>
      <c r="F1792">
        <v>13161813</v>
      </c>
      <c r="G1792" s="2" t="s">
        <v>15</v>
      </c>
      <c r="H1792">
        <v>7.2213597816039865E-2</v>
      </c>
      <c r="I1792">
        <v>89.933988172781483</v>
      </c>
      <c r="J1792">
        <v>1430.5210278320312</v>
      </c>
      <c r="K1792">
        <v>1.2235125497626531</v>
      </c>
      <c r="L1792">
        <v>0</v>
      </c>
      <c r="M1792" t="str">
        <f>VLOOKUP(fact_daily_prices[[#This Row],[Ticker]], dim_company[], 2, FALSE)</f>
        <v>Reliance Industries</v>
      </c>
      <c r="N1792" t="str">
        <f>VLOOKUP(fact_daily_prices[[#This Row],[Ticker]], dim_company[], 3, FALSE)</f>
        <v>Energy &amp; Conglomerate</v>
      </c>
    </row>
    <row r="1793" spans="1:14" x14ac:dyDescent="0.3">
      <c r="A1793" s="1">
        <v>45898</v>
      </c>
      <c r="B1793">
        <v>1350.9537353515625</v>
      </c>
      <c r="C1793">
        <v>1397.0406983353937</v>
      </c>
      <c r="D1793">
        <v>1343.7869203796088</v>
      </c>
      <c r="E1793">
        <v>1374.7437651325777</v>
      </c>
      <c r="F1793">
        <v>18758842</v>
      </c>
      <c r="G1793" s="2" t="s">
        <v>15</v>
      </c>
      <c r="H1793">
        <v>-2.070862138199292</v>
      </c>
      <c r="I1793">
        <v>88.071579262338716</v>
      </c>
      <c r="J1793">
        <v>1429.1829931640625</v>
      </c>
      <c r="K1793">
        <v>1.2687099056947537</v>
      </c>
      <c r="L1793">
        <v>0</v>
      </c>
      <c r="M1793" t="str">
        <f>VLOOKUP(fact_daily_prices[[#This Row],[Ticker]], dim_company[], 2, FALSE)</f>
        <v>Reliance Industries</v>
      </c>
      <c r="N1793" t="str">
        <f>VLOOKUP(fact_daily_prices[[#This Row],[Ticker]], dim_company[], 3, FALSE)</f>
        <v>Energy &amp; Conglomerate</v>
      </c>
    </row>
    <row r="1794" spans="1:14" x14ac:dyDescent="0.3">
      <c r="A1794" s="1">
        <v>45901</v>
      </c>
      <c r="B1794">
        <v>1347.6689453125</v>
      </c>
      <c r="C1794">
        <v>1356.9260708455383</v>
      </c>
      <c r="D1794">
        <v>1334.430107544873</v>
      </c>
      <c r="E1794">
        <v>1349.759256141992</v>
      </c>
      <c r="F1794">
        <v>11232238</v>
      </c>
      <c r="G1794" s="2" t="s">
        <v>15</v>
      </c>
      <c r="H1794">
        <v>-0.24314600515965568</v>
      </c>
      <c r="I1794">
        <v>87.857436735681333</v>
      </c>
      <c r="J1794">
        <v>1427.7158081054688</v>
      </c>
      <c r="K1794">
        <v>1.2670972346328637</v>
      </c>
      <c r="L1794">
        <v>0</v>
      </c>
      <c r="M1794" t="str">
        <f>VLOOKUP(fact_daily_prices[[#This Row],[Ticker]], dim_company[], 2, FALSE)</f>
        <v>Reliance Industries</v>
      </c>
      <c r="N1794" t="str">
        <f>VLOOKUP(fact_daily_prices[[#This Row],[Ticker]], dim_company[], 3, FALSE)</f>
        <v>Energy &amp; Conglomerate</v>
      </c>
    </row>
    <row r="1795" spans="1:14" x14ac:dyDescent="0.3">
      <c r="A1795" s="1">
        <v>45902</v>
      </c>
      <c r="B1795">
        <v>1360.2109375</v>
      </c>
      <c r="C1795">
        <v>1378.1280958424809</v>
      </c>
      <c r="D1795">
        <v>1348.2661652716797</v>
      </c>
      <c r="E1795">
        <v>1348.5648331807902</v>
      </c>
      <c r="F1795">
        <v>11517006</v>
      </c>
      <c r="G1795" s="2" t="s">
        <v>15</v>
      </c>
      <c r="H1795">
        <v>0.9306434069823899</v>
      </c>
      <c r="I1795">
        <v>88.675076178205671</v>
      </c>
      <c r="J1795">
        <v>1425.8470996093749</v>
      </c>
      <c r="K1795">
        <v>1.2852920747820353</v>
      </c>
      <c r="L1795">
        <v>0</v>
      </c>
      <c r="M1795" t="str">
        <f>VLOOKUP(fact_daily_prices[[#This Row],[Ticker]], dim_company[], 2, FALSE)</f>
        <v>Reliance Industries</v>
      </c>
      <c r="N1795" t="str">
        <f>VLOOKUP(fact_daily_prices[[#This Row],[Ticker]], dim_company[], 3, FALSE)</f>
        <v>Energy &amp; Conglomerate</v>
      </c>
    </row>
    <row r="1796" spans="1:14" x14ac:dyDescent="0.3">
      <c r="A1796" s="1">
        <v>45903</v>
      </c>
      <c r="B1796">
        <v>1366.2828369140625</v>
      </c>
      <c r="C1796">
        <v>1370.1649121838109</v>
      </c>
      <c r="D1796">
        <v>1354.2385492379765</v>
      </c>
      <c r="E1796">
        <v>1363.3961593284289</v>
      </c>
      <c r="F1796">
        <v>7847563</v>
      </c>
      <c r="G1796" s="2" t="s">
        <v>15</v>
      </c>
      <c r="H1796">
        <v>0.44639395601555609</v>
      </c>
      <c r="I1796">
        <v>89.070916358757373</v>
      </c>
      <c r="J1796">
        <v>1424.2862182617187</v>
      </c>
      <c r="K1796">
        <v>1.1606979538268096</v>
      </c>
      <c r="L1796">
        <v>0</v>
      </c>
      <c r="M1796" t="str">
        <f>VLOOKUP(fact_daily_prices[[#This Row],[Ticker]], dim_company[], 2, FALSE)</f>
        <v>Reliance Industries</v>
      </c>
      <c r="N1796" t="str">
        <f>VLOOKUP(fact_daily_prices[[#This Row],[Ticker]], dim_company[], 3, FALSE)</f>
        <v>Energy &amp; Conglomerate</v>
      </c>
    </row>
    <row r="1797" spans="1:14" x14ac:dyDescent="0.3">
      <c r="A1797" s="1">
        <v>45904</v>
      </c>
      <c r="B1797">
        <v>1353.0440673828125</v>
      </c>
      <c r="C1797">
        <v>1367.6763641601649</v>
      </c>
      <c r="D1797">
        <v>1350.8541196588233</v>
      </c>
      <c r="E1797">
        <v>1365.4865379446771</v>
      </c>
      <c r="F1797">
        <v>13223177</v>
      </c>
      <c r="G1797" s="2" t="s">
        <v>15</v>
      </c>
      <c r="H1797">
        <v>-0.9689625876550978</v>
      </c>
      <c r="I1797">
        <v>88.207852502759437</v>
      </c>
      <c r="J1797">
        <v>1422.5795336914061</v>
      </c>
      <c r="K1797">
        <v>1.1569212962024837</v>
      </c>
      <c r="L1797">
        <v>0</v>
      </c>
      <c r="M1797" t="str">
        <f>VLOOKUP(fact_daily_prices[[#This Row],[Ticker]], dim_company[], 2, FALSE)</f>
        <v>Reliance Industries</v>
      </c>
      <c r="N1797" t="str">
        <f>VLOOKUP(fact_daily_prices[[#This Row],[Ticker]], dim_company[], 3, FALSE)</f>
        <v>Energy &amp; Conglomerate</v>
      </c>
    </row>
    <row r="1798" spans="1:14" x14ac:dyDescent="0.3">
      <c r="A1798" s="1">
        <v>45905</v>
      </c>
      <c r="B1798">
        <v>1368.671875</v>
      </c>
      <c r="C1798">
        <v>1374.6442613636364</v>
      </c>
      <c r="D1798">
        <v>1353.0441792852228</v>
      </c>
      <c r="E1798">
        <v>1356.7271022727273</v>
      </c>
      <c r="F1798">
        <v>5777575</v>
      </c>
      <c r="G1798" s="2" t="s">
        <v>15</v>
      </c>
      <c r="H1798">
        <v>1.1550109855192225</v>
      </c>
      <c r="I1798">
        <v>89.2266628892569</v>
      </c>
      <c r="J1798">
        <v>1420.8582299804686</v>
      </c>
      <c r="K1798">
        <v>1.16734619413928</v>
      </c>
      <c r="L1798">
        <v>0</v>
      </c>
      <c r="M1798" t="str">
        <f>VLOOKUP(fact_daily_prices[[#This Row],[Ticker]], dim_company[], 2, FALSE)</f>
        <v>Reliance Industries</v>
      </c>
      <c r="N1798" t="str">
        <f>VLOOKUP(fact_daily_prices[[#This Row],[Ticker]], dim_company[], 3, FALSE)</f>
        <v>Energy &amp; Conglomerate</v>
      </c>
    </row>
    <row r="1799" spans="1:14" x14ac:dyDescent="0.3">
      <c r="A1799" s="1">
        <v>45908</v>
      </c>
      <c r="B1799">
        <v>1372.15576171875</v>
      </c>
      <c r="C1799">
        <v>1379.6212446443146</v>
      </c>
      <c r="D1799">
        <v>1366.0838599076601</v>
      </c>
      <c r="E1799">
        <v>1373.6488583038629</v>
      </c>
      <c r="F1799">
        <v>6986720</v>
      </c>
      <c r="G1799" s="2" t="s">
        <v>15</v>
      </c>
      <c r="H1799">
        <v>0.25454506535760313</v>
      </c>
      <c r="I1799">
        <v>89.453784956624787</v>
      </c>
      <c r="J1799">
        <v>1418.6513989257812</v>
      </c>
      <c r="K1799">
        <v>1.1372473557156735</v>
      </c>
      <c r="L1799">
        <v>0</v>
      </c>
      <c r="M1799" t="str">
        <f>VLOOKUP(fact_daily_prices[[#This Row],[Ticker]], dim_company[], 2, FALSE)</f>
        <v>Reliance Industries</v>
      </c>
      <c r="N1799" t="str">
        <f>VLOOKUP(fact_daily_prices[[#This Row],[Ticker]], dim_company[], 3, FALSE)</f>
        <v>Energy &amp; Conglomerate</v>
      </c>
    </row>
    <row r="1800" spans="1:14" x14ac:dyDescent="0.3">
      <c r="A1800" s="1">
        <v>45909</v>
      </c>
      <c r="B1800">
        <v>1369.8662109375</v>
      </c>
      <c r="C1800">
        <v>1374.843199236951</v>
      </c>
      <c r="D1800">
        <v>1362.4007284883237</v>
      </c>
      <c r="E1800">
        <v>1370.2643943031569</v>
      </c>
      <c r="F1800">
        <v>9754452</v>
      </c>
      <c r="G1800" s="2" t="s">
        <v>15</v>
      </c>
      <c r="H1800">
        <v>-0.1668579358936717</v>
      </c>
      <c r="I1800">
        <v>89.304524217467389</v>
      </c>
      <c r="J1800">
        <v>1416.0002197265626</v>
      </c>
      <c r="K1800">
        <v>1.1285172482135533</v>
      </c>
      <c r="L1800">
        <v>0</v>
      </c>
      <c r="M1800" t="str">
        <f>VLOOKUP(fact_daily_prices[[#This Row],[Ticker]], dim_company[], 2, FALSE)</f>
        <v>Reliance Industries</v>
      </c>
      <c r="N1800" t="str">
        <f>VLOOKUP(fact_daily_prices[[#This Row],[Ticker]], dim_company[], 3, FALSE)</f>
        <v>Energy &amp; Conglomerate</v>
      </c>
    </row>
    <row r="1801" spans="1:14" x14ac:dyDescent="0.3">
      <c r="A1801" s="1">
        <v>45910</v>
      </c>
      <c r="B1801">
        <v>1370.66259765625</v>
      </c>
      <c r="C1801">
        <v>1382.1096709119122</v>
      </c>
      <c r="D1801">
        <v>1367.7759200987732</v>
      </c>
      <c r="E1801">
        <v>1377.5308659113482</v>
      </c>
      <c r="F1801">
        <v>7790815</v>
      </c>
      <c r="G1801" s="2" t="s">
        <v>15</v>
      </c>
      <c r="H1801">
        <v>5.8136094780003589E-2</v>
      </c>
      <c r="I1801">
        <v>89.356442380309304</v>
      </c>
      <c r="J1801">
        <v>1413.6584350585938</v>
      </c>
      <c r="K1801">
        <v>1.1273718507516737</v>
      </c>
      <c r="L1801">
        <v>0</v>
      </c>
      <c r="M1801" t="str">
        <f>VLOOKUP(fact_daily_prices[[#This Row],[Ticker]], dim_company[], 2, FALSE)</f>
        <v>Reliance Industries</v>
      </c>
      <c r="N1801" t="str">
        <f>VLOOKUP(fact_daily_prices[[#This Row],[Ticker]], dim_company[], 3, FALSE)</f>
        <v>Energy &amp; Conglomerate</v>
      </c>
    </row>
    <row r="1802" spans="1:14" x14ac:dyDescent="0.3">
      <c r="A1802" s="1">
        <v>45911</v>
      </c>
      <c r="B1802">
        <v>1376.9337158203125</v>
      </c>
      <c r="C1802">
        <v>1379.1235422027223</v>
      </c>
      <c r="D1802">
        <v>1368.6718661340626</v>
      </c>
      <c r="E1802">
        <v>1369.6672638548871</v>
      </c>
      <c r="F1802">
        <v>9766072</v>
      </c>
      <c r="G1802" s="2" t="s">
        <v>15</v>
      </c>
      <c r="H1802">
        <v>0.45752457058256812</v>
      </c>
      <c r="I1802">
        <v>89.765270059597654</v>
      </c>
      <c r="J1802">
        <v>1410.8908325195312</v>
      </c>
      <c r="K1802">
        <v>1.0575561869415426</v>
      </c>
      <c r="L1802">
        <v>0</v>
      </c>
      <c r="M1802" t="str">
        <f>VLOOKUP(fact_daily_prices[[#This Row],[Ticker]], dim_company[], 2, FALSE)</f>
        <v>Reliance Industries</v>
      </c>
      <c r="N1802" t="str">
        <f>VLOOKUP(fact_daily_prices[[#This Row],[Ticker]], dim_company[], 3, FALSE)</f>
        <v>Energy &amp; Conglomerate</v>
      </c>
    </row>
    <row r="1803" spans="1:14" x14ac:dyDescent="0.3">
      <c r="A1803" s="1">
        <v>45912</v>
      </c>
      <c r="B1803">
        <v>1388.579833984375</v>
      </c>
      <c r="C1803">
        <v>1389.8738996373711</v>
      </c>
      <c r="D1803">
        <v>1374.146566892781</v>
      </c>
      <c r="E1803">
        <v>1376.9337291414593</v>
      </c>
      <c r="F1803">
        <v>7403368</v>
      </c>
      <c r="G1803" s="2" t="s">
        <v>15</v>
      </c>
      <c r="H1803">
        <v>0.84580092928614459</v>
      </c>
      <c r="I1803">
        <v>90.524505547937963</v>
      </c>
      <c r="J1803">
        <v>1408.5465087890625</v>
      </c>
      <c r="K1803">
        <v>1.0669219580989058</v>
      </c>
      <c r="L1803">
        <v>0</v>
      </c>
      <c r="M1803" t="str">
        <f>VLOOKUP(fact_daily_prices[[#This Row],[Ticker]], dim_company[], 2, FALSE)</f>
        <v>Reliance Industries</v>
      </c>
      <c r="N1803" t="str">
        <f>VLOOKUP(fact_daily_prices[[#This Row],[Ticker]], dim_company[], 3, FALSE)</f>
        <v>Energy &amp; Conglomerate</v>
      </c>
    </row>
    <row r="1804" spans="1:14" x14ac:dyDescent="0.3">
      <c r="A1804" s="1">
        <v>45915</v>
      </c>
      <c r="B1804">
        <v>1392.8599853515625</v>
      </c>
      <c r="C1804">
        <v>1394.3530818320328</v>
      </c>
      <c r="D1804">
        <v>1382.2091575524389</v>
      </c>
      <c r="E1804">
        <v>1386.5889315301856</v>
      </c>
      <c r="F1804">
        <v>5396697</v>
      </c>
      <c r="G1804" s="2" t="s">
        <v>15</v>
      </c>
      <c r="H1804">
        <v>0.30823948774383325</v>
      </c>
      <c r="I1804">
        <v>90.803537820121548</v>
      </c>
      <c r="J1804">
        <v>1406.3076147460938</v>
      </c>
      <c r="K1804">
        <v>1.0351576466053545</v>
      </c>
      <c r="L1804">
        <v>0</v>
      </c>
      <c r="M1804" t="str">
        <f>VLOOKUP(fact_daily_prices[[#This Row],[Ticker]], dim_company[], 2, FALSE)</f>
        <v>Reliance Industries</v>
      </c>
      <c r="N1804" t="str">
        <f>VLOOKUP(fact_daily_prices[[#This Row],[Ticker]], dim_company[], 3, FALSE)</f>
        <v>Energy &amp; Conglomerate</v>
      </c>
    </row>
    <row r="1805" spans="1:14" x14ac:dyDescent="0.3">
      <c r="A1805" s="1">
        <v>45916</v>
      </c>
      <c r="B1805">
        <v>1392.8599853515625</v>
      </c>
      <c r="C1805">
        <v>1401.5199225726965</v>
      </c>
      <c r="D1805">
        <v>1391.7649767809332</v>
      </c>
      <c r="E1805">
        <v>1398.2350616507645</v>
      </c>
      <c r="F1805">
        <v>8686961</v>
      </c>
      <c r="G1805" s="2" t="s">
        <v>15</v>
      </c>
      <c r="H1805">
        <v>0</v>
      </c>
      <c r="I1805">
        <v>90.803537820121548</v>
      </c>
      <c r="J1805">
        <v>1403.8803466796876</v>
      </c>
      <c r="K1805">
        <v>1.034403727385047</v>
      </c>
      <c r="L1805">
        <v>0</v>
      </c>
      <c r="M1805" t="str">
        <f>VLOOKUP(fact_daily_prices[[#This Row],[Ticker]], dim_company[], 2, FALSE)</f>
        <v>Reliance Industries</v>
      </c>
      <c r="N1805" t="str">
        <f>VLOOKUP(fact_daily_prices[[#This Row],[Ticker]], dim_company[], 3, FALSE)</f>
        <v>Energy &amp; Conglomerate</v>
      </c>
    </row>
    <row r="1806" spans="1:14" x14ac:dyDescent="0.3">
      <c r="A1806" s="1">
        <v>45917</v>
      </c>
      <c r="B1806">
        <v>1407.2933349609375</v>
      </c>
      <c r="C1806">
        <v>1409.6821922648512</v>
      </c>
      <c r="D1806">
        <v>1400.4250664409112</v>
      </c>
      <c r="E1806">
        <v>1400.5245819104894</v>
      </c>
      <c r="F1806">
        <v>7519417</v>
      </c>
      <c r="G1806" s="2" t="s">
        <v>15</v>
      </c>
      <c r="H1806">
        <v>1.0362383700564193</v>
      </c>
      <c r="I1806">
        <v>91.744478920382335</v>
      </c>
      <c r="J1806">
        <v>1401.4601806640626</v>
      </c>
      <c r="K1806">
        <v>1.0252965295216738</v>
      </c>
      <c r="L1806">
        <v>0</v>
      </c>
      <c r="M1806" t="str">
        <f>VLOOKUP(fact_daily_prices[[#This Row],[Ticker]], dim_company[], 2, FALSE)</f>
        <v>Reliance Industries</v>
      </c>
      <c r="N1806" t="str">
        <f>VLOOKUP(fact_daily_prices[[#This Row],[Ticker]], dim_company[], 3, FALSE)</f>
        <v>Energy &amp; Conglomerate</v>
      </c>
    </row>
    <row r="1807" spans="1:14" x14ac:dyDescent="0.3">
      <c r="A1807" s="1">
        <v>45918</v>
      </c>
      <c r="B1807">
        <v>1408.4876708984375</v>
      </c>
      <c r="C1807">
        <v>1415.4554544293835</v>
      </c>
      <c r="D1807">
        <v>1404.2074124117412</v>
      </c>
      <c r="E1807">
        <v>1413.8628424954393</v>
      </c>
      <c r="F1807">
        <v>9332642</v>
      </c>
      <c r="G1807" s="2" t="s">
        <v>15</v>
      </c>
      <c r="H1807">
        <v>8.486758999204369E-2</v>
      </c>
      <c r="I1807">
        <v>91.822340248592823</v>
      </c>
      <c r="J1807">
        <v>1399.1412353515625</v>
      </c>
      <c r="K1807">
        <v>0.98926385938509331</v>
      </c>
      <c r="L1807">
        <v>0</v>
      </c>
      <c r="M1807" t="str">
        <f>VLOOKUP(fact_daily_prices[[#This Row],[Ticker]], dim_company[], 2, FALSE)</f>
        <v>Reliance Industries</v>
      </c>
      <c r="N1807" t="str">
        <f>VLOOKUP(fact_daily_prices[[#This Row],[Ticker]], dim_company[], 3, FALSE)</f>
        <v>Energy &amp; Conglomerate</v>
      </c>
    </row>
    <row r="1808" spans="1:14" x14ac:dyDescent="0.3">
      <c r="A1808" s="1">
        <v>45919</v>
      </c>
      <c r="B1808">
        <v>1400.9227294921875</v>
      </c>
      <c r="C1808">
        <v>1410.4785229891424</v>
      </c>
      <c r="D1808">
        <v>1397.1401696768169</v>
      </c>
      <c r="E1808">
        <v>1408.3882121473878</v>
      </c>
      <c r="F1808">
        <v>13461373</v>
      </c>
      <c r="G1808" s="2" t="s">
        <v>15</v>
      </c>
      <c r="H1808">
        <v>-0.53709674302114818</v>
      </c>
      <c r="I1808">
        <v>91.329165449751827</v>
      </c>
      <c r="J1808">
        <v>1397.0398046875</v>
      </c>
      <c r="K1808">
        <v>0.99551832271460416</v>
      </c>
      <c r="L1808">
        <v>0</v>
      </c>
      <c r="M1808" t="str">
        <f>VLOOKUP(fact_daily_prices[[#This Row],[Ticker]], dim_company[], 2, FALSE)</f>
        <v>Reliance Industries</v>
      </c>
      <c r="N1808" t="str">
        <f>VLOOKUP(fact_daily_prices[[#This Row],[Ticker]], dim_company[], 3, FALSE)</f>
        <v>Energy &amp; Conglomerate</v>
      </c>
    </row>
    <row r="1809" spans="1:14" x14ac:dyDescent="0.3">
      <c r="A1809" s="1">
        <v>45922</v>
      </c>
      <c r="B1809">
        <v>1384.199951171875</v>
      </c>
      <c r="C1809">
        <v>1404.2074196840813</v>
      </c>
      <c r="D1809">
        <v>1381.6119415772491</v>
      </c>
      <c r="E1809">
        <v>1397.4387885526371</v>
      </c>
      <c r="F1809">
        <v>7757970</v>
      </c>
      <c r="G1809" s="2" t="s">
        <v>15</v>
      </c>
      <c r="H1809">
        <v>-1.193697408733907</v>
      </c>
      <c r="I1809">
        <v>90.238971568359844</v>
      </c>
      <c r="J1809">
        <v>1394.6396118164062</v>
      </c>
      <c r="K1809">
        <v>1.0200790648874689</v>
      </c>
      <c r="L1809">
        <v>0</v>
      </c>
      <c r="M1809" t="str">
        <f>VLOOKUP(fact_daily_prices[[#This Row],[Ticker]], dim_company[], 2, FALSE)</f>
        <v>Reliance Industries</v>
      </c>
      <c r="N1809" t="str">
        <f>VLOOKUP(fact_daily_prices[[#This Row],[Ticker]], dim_company[], 3, FALSE)</f>
        <v>Energy &amp; Conglomerate</v>
      </c>
    </row>
    <row r="1810" spans="1:14" x14ac:dyDescent="0.3">
      <c r="A1810" s="1">
        <v>45923</v>
      </c>
      <c r="B1810">
        <v>1383.40380859375</v>
      </c>
      <c r="C1810">
        <v>1388.5798281670254</v>
      </c>
      <c r="D1810">
        <v>1370.4636381520502</v>
      </c>
      <c r="E1810">
        <v>1384.5982372618869</v>
      </c>
      <c r="F1810">
        <v>14014702</v>
      </c>
      <c r="G1810" s="2" t="s">
        <v>15</v>
      </c>
      <c r="H1810">
        <v>-5.7516443159166819E-2</v>
      </c>
      <c r="I1810">
        <v>90.187069321570306</v>
      </c>
      <c r="J1810">
        <v>1392.6597265625001</v>
      </c>
      <c r="K1810">
        <v>0.97599695277730125</v>
      </c>
      <c r="L1810">
        <v>0</v>
      </c>
      <c r="M1810" t="str">
        <f>VLOOKUP(fact_daily_prices[[#This Row],[Ticker]], dim_company[], 2, FALSE)</f>
        <v>Reliance Industries</v>
      </c>
      <c r="N1810" t="str">
        <f>VLOOKUP(fact_daily_prices[[#This Row],[Ticker]], dim_company[], 3, FALSE)</f>
        <v>Energy &amp; Conglomerate</v>
      </c>
    </row>
    <row r="1811" spans="1:14" x14ac:dyDescent="0.3">
      <c r="A1811" s="1">
        <v>45924</v>
      </c>
      <c r="B1811">
        <v>1376.635009765625</v>
      </c>
      <c r="C1811">
        <v>1389.5751797778832</v>
      </c>
      <c r="D1811">
        <v>1374.0470000648747</v>
      </c>
      <c r="E1811">
        <v>1378.9244730635044</v>
      </c>
      <c r="F1811">
        <v>5922759</v>
      </c>
      <c r="G1811" s="2" t="s">
        <v>15</v>
      </c>
      <c r="H1811">
        <v>-0.4892858315176718</v>
      </c>
      <c r="I1811">
        <v>89.745796769518847</v>
      </c>
      <c r="J1811">
        <v>1390.7724975585938</v>
      </c>
      <c r="K1811">
        <v>0.95055290399680947</v>
      </c>
      <c r="L1811">
        <v>0</v>
      </c>
      <c r="M1811" t="str">
        <f>VLOOKUP(fact_daily_prices[[#This Row],[Ticker]], dim_company[], 2, FALSE)</f>
        <v>Reliance Industries</v>
      </c>
      <c r="N1811" t="str">
        <f>VLOOKUP(fact_daily_prices[[#This Row],[Ticker]], dim_company[], 3, FALSE)</f>
        <v>Energy &amp; Conglomerate</v>
      </c>
    </row>
    <row r="1812" spans="1:14" x14ac:dyDescent="0.3">
      <c r="A1812" s="1">
        <v>45925</v>
      </c>
      <c r="B1812">
        <v>1366.0838623046875</v>
      </c>
      <c r="C1812">
        <v>1378.1281504773631</v>
      </c>
      <c r="D1812">
        <v>1362.6994857374575</v>
      </c>
      <c r="E1812">
        <v>1374.942926360271</v>
      </c>
      <c r="F1812">
        <v>11411143</v>
      </c>
      <c r="G1812" s="2" t="s">
        <v>15</v>
      </c>
      <c r="H1812">
        <v>-0.76644480098859713</v>
      </c>
      <c r="I1812">
        <v>89.057944776073086</v>
      </c>
      <c r="J1812">
        <v>1388.6405346679687</v>
      </c>
      <c r="K1812">
        <v>0.9580554145663428</v>
      </c>
      <c r="L1812">
        <v>0</v>
      </c>
      <c r="M1812" t="str">
        <f>VLOOKUP(fact_daily_prices[[#This Row],[Ticker]], dim_company[], 2, FALSE)</f>
        <v>Reliance Industries</v>
      </c>
      <c r="N1812" t="str">
        <f>VLOOKUP(fact_daily_prices[[#This Row],[Ticker]], dim_company[], 3, FALSE)</f>
        <v>Energy &amp; Conglomerate</v>
      </c>
    </row>
    <row r="1813" spans="1:14" x14ac:dyDescent="0.3">
      <c r="A1813" s="1">
        <v>45926</v>
      </c>
      <c r="B1813">
        <v>1371.2598876953125</v>
      </c>
      <c r="C1813">
        <v>1376.3363918134596</v>
      </c>
      <c r="D1813">
        <v>1359.7132983361803</v>
      </c>
      <c r="E1813">
        <v>1365.6856847124741</v>
      </c>
      <c r="F1813">
        <v>9879109</v>
      </c>
      <c r="G1813" s="2" t="s">
        <v>15</v>
      </c>
      <c r="H1813">
        <v>0.37889514205171615</v>
      </c>
      <c r="I1813">
        <v>89.395381002440715</v>
      </c>
      <c r="J1813">
        <v>1386.6081274414062</v>
      </c>
      <c r="K1813">
        <v>0.96016378802213453</v>
      </c>
      <c r="L1813">
        <v>0</v>
      </c>
      <c r="M1813" t="str">
        <f>VLOOKUP(fact_daily_prices[[#This Row],[Ticker]], dim_company[], 2, FALSE)</f>
        <v>Reliance Industries</v>
      </c>
      <c r="N1813" t="str">
        <f>VLOOKUP(fact_daily_prices[[#This Row],[Ticker]], dim_company[], 3, FALSE)</f>
        <v>Energy &amp; Conglomerate</v>
      </c>
    </row>
    <row r="1814" spans="1:14" x14ac:dyDescent="0.3">
      <c r="A1814" s="1">
        <v>45929</v>
      </c>
      <c r="B1814">
        <v>1366.48193359375</v>
      </c>
      <c r="C1814">
        <v>1382.6073268149732</v>
      </c>
      <c r="D1814">
        <v>1361.7039763015721</v>
      </c>
      <c r="E1814">
        <v>1375.2413599514075</v>
      </c>
      <c r="F1814">
        <v>14231999</v>
      </c>
      <c r="G1814" s="2" t="s">
        <v>15</v>
      </c>
      <c r="H1814">
        <v>-0.34843534361621575</v>
      </c>
      <c r="I1814">
        <v>89.083895899467848</v>
      </c>
      <c r="J1814">
        <v>1384.6625830078126</v>
      </c>
      <c r="K1814">
        <v>0.9613271290577623</v>
      </c>
      <c r="L1814">
        <v>0</v>
      </c>
      <c r="M1814" t="str">
        <f>VLOOKUP(fact_daily_prices[[#This Row],[Ticker]], dim_company[], 2, FALSE)</f>
        <v>Reliance Industries</v>
      </c>
      <c r="N1814" t="str">
        <f>VLOOKUP(fact_daily_prices[[#This Row],[Ticker]], dim_company[], 3, FALSE)</f>
        <v>Energy &amp; Conglomerate</v>
      </c>
    </row>
    <row r="1815" spans="1:14" x14ac:dyDescent="0.3">
      <c r="A1815" s="1">
        <v>45930</v>
      </c>
      <c r="B1815">
        <v>1357.722412109375</v>
      </c>
      <c r="C1815">
        <v>1370.7620971908359</v>
      </c>
      <c r="D1815">
        <v>1356.5279835173724</v>
      </c>
      <c r="E1815">
        <v>1370.7620971908359</v>
      </c>
      <c r="F1815">
        <v>14604684</v>
      </c>
      <c r="G1815" s="2" t="s">
        <v>15</v>
      </c>
      <c r="H1815">
        <v>-0.64102724441720271</v>
      </c>
      <c r="I1815">
        <v>88.512843856364</v>
      </c>
      <c r="J1815">
        <v>1382.5497802734376</v>
      </c>
      <c r="K1815">
        <v>0.96197077717526203</v>
      </c>
      <c r="L1815">
        <v>0</v>
      </c>
      <c r="M1815" t="str">
        <f>VLOOKUP(fact_daily_prices[[#This Row],[Ticker]], dim_company[], 2, FALSE)</f>
        <v>Reliance Industries</v>
      </c>
      <c r="N1815" t="str">
        <f>VLOOKUP(fact_daily_prices[[#This Row],[Ticker]], dim_company[], 3, FALSE)</f>
        <v>Energy &amp; Conglomerate</v>
      </c>
    </row>
    <row r="1816" spans="1:14" x14ac:dyDescent="0.3">
      <c r="A1816" s="1">
        <v>45931</v>
      </c>
      <c r="B1816">
        <v>1362.4007568359375</v>
      </c>
      <c r="C1816">
        <v>1372.2552181755941</v>
      </c>
      <c r="D1816">
        <v>1356.4283707523282</v>
      </c>
      <c r="E1816">
        <v>1360.7086293823172</v>
      </c>
      <c r="F1816">
        <v>12045916</v>
      </c>
      <c r="G1816" s="2" t="s">
        <v>15</v>
      </c>
      <c r="H1816">
        <v>0.34457299112373718</v>
      </c>
      <c r="I1816">
        <v>88.81783520996855</v>
      </c>
      <c r="J1816">
        <v>1381.4704296875</v>
      </c>
      <c r="K1816">
        <v>0.80614147776977108</v>
      </c>
      <c r="L1816">
        <v>0</v>
      </c>
      <c r="M1816" t="str">
        <f>VLOOKUP(fact_daily_prices[[#This Row],[Ticker]], dim_company[], 2, FALSE)</f>
        <v>Reliance Industries</v>
      </c>
      <c r="N1816" t="str">
        <f>VLOOKUP(fact_daily_prices[[#This Row],[Ticker]], dim_company[], 3, FALSE)</f>
        <v>Energy &amp; Conglomerate</v>
      </c>
    </row>
    <row r="1817" spans="1:14" x14ac:dyDescent="0.3">
      <c r="A1817" s="1">
        <v>45933</v>
      </c>
      <c r="B1817">
        <v>1357.125244140625</v>
      </c>
      <c r="C1817">
        <v>1365.287456651113</v>
      </c>
      <c r="D1817">
        <v>1350.6551591113212</v>
      </c>
      <c r="E1817">
        <v>1356.9260916961571</v>
      </c>
      <c r="F1817">
        <v>12842347</v>
      </c>
      <c r="G1817" s="2" t="s">
        <v>15</v>
      </c>
      <c r="H1817">
        <v>-0.38722179717254335</v>
      </c>
      <c r="I1817">
        <v>88.473913192258749</v>
      </c>
      <c r="J1817">
        <v>1380.5988623046876</v>
      </c>
      <c r="K1817">
        <v>0.80456873335108092</v>
      </c>
      <c r="L1817">
        <v>0</v>
      </c>
      <c r="M1817" t="str">
        <f>VLOOKUP(fact_daily_prices[[#This Row],[Ticker]], dim_company[], 2, FALSE)</f>
        <v>Reliance Industries</v>
      </c>
      <c r="N1817" t="str">
        <f>VLOOKUP(fact_daily_prices[[#This Row],[Ticker]], dim_company[], 3, FALSE)</f>
        <v>Energy &amp; Conglomerate</v>
      </c>
    </row>
    <row r="1818" spans="1:14" x14ac:dyDescent="0.3">
      <c r="A1818" s="1">
        <v>45936</v>
      </c>
      <c r="B1818">
        <v>1368.671875</v>
      </c>
      <c r="C1818">
        <v>1371.0608538471567</v>
      </c>
      <c r="D1818">
        <v>1352.7455113636363</v>
      </c>
      <c r="E1818">
        <v>1353.7409090909091</v>
      </c>
      <c r="F1818">
        <v>12396580</v>
      </c>
      <c r="G1818" s="2" t="s">
        <v>15</v>
      </c>
      <c r="H1818">
        <v>0.85081542099576524</v>
      </c>
      <c r="I1818">
        <v>89.2266628892569</v>
      </c>
      <c r="J1818">
        <v>1379.7242480468749</v>
      </c>
      <c r="K1818">
        <v>0.8052139203657569</v>
      </c>
      <c r="L1818">
        <v>0</v>
      </c>
      <c r="M1818" t="str">
        <f>VLOOKUP(fact_daily_prices[[#This Row],[Ticker]], dim_company[], 2, FALSE)</f>
        <v>Reliance Industries</v>
      </c>
      <c r="N1818" t="str">
        <f>VLOOKUP(fact_daily_prices[[#This Row],[Ticker]], dim_company[], 3, FALSE)</f>
        <v>Energy &amp; Conglomerate</v>
      </c>
    </row>
    <row r="1819" spans="1:14" x14ac:dyDescent="0.3">
      <c r="A1819" s="1">
        <v>45937</v>
      </c>
      <c r="B1819">
        <v>1378.4267578125</v>
      </c>
      <c r="C1819">
        <v>1389.4756477743899</v>
      </c>
      <c r="D1819">
        <v>1369.5676941462978</v>
      </c>
      <c r="E1819">
        <v>1369.667209612737</v>
      </c>
      <c r="F1819">
        <v>11244040</v>
      </c>
      <c r="G1819" s="2" t="s">
        <v>15</v>
      </c>
      <c r="H1819">
        <v>0.71272618300131096</v>
      </c>
      <c r="I1819">
        <v>89.862604677886949</v>
      </c>
      <c r="J1819">
        <v>1379.4750146484375</v>
      </c>
      <c r="K1819">
        <v>0.79697870478277488</v>
      </c>
      <c r="L1819">
        <v>0</v>
      </c>
      <c r="M1819" t="str">
        <f>VLOOKUP(fact_daily_prices[[#This Row],[Ticker]], dim_company[], 2, FALSE)</f>
        <v>Reliance Industries</v>
      </c>
      <c r="N1819" t="str">
        <f>VLOOKUP(fact_daily_prices[[#This Row],[Ticker]], dim_company[], 3, FALSE)</f>
        <v>Energy &amp; Conglomerate</v>
      </c>
    </row>
    <row r="1820" spans="1:14" x14ac:dyDescent="0.3">
      <c r="A1820" s="1">
        <v>45938</v>
      </c>
      <c r="B1820">
        <v>1361.1068115234375</v>
      </c>
      <c r="C1820">
        <v>1382.6073771032557</v>
      </c>
      <c r="D1820">
        <v>1358.2201339506064</v>
      </c>
      <c r="E1820">
        <v>1378.4267554519181</v>
      </c>
      <c r="F1820">
        <v>8525081</v>
      </c>
      <c r="G1820" s="2" t="s">
        <v>15</v>
      </c>
      <c r="H1820">
        <v>-1.2565010212474692</v>
      </c>
      <c r="I1820">
        <v>88.733480132389715</v>
      </c>
      <c r="J1820">
        <v>1379.1014672851563</v>
      </c>
      <c r="K1820">
        <v>0.82421890668506603</v>
      </c>
      <c r="L1820">
        <v>0</v>
      </c>
      <c r="M1820" t="str">
        <f>VLOOKUP(fact_daily_prices[[#This Row],[Ticker]], dim_company[], 2, FALSE)</f>
        <v>Reliance Industries</v>
      </c>
      <c r="N1820" t="str">
        <f>VLOOKUP(fact_daily_prices[[#This Row],[Ticker]], dim_company[], 3, FALSE)</f>
        <v>Energy &amp; Conglomerate</v>
      </c>
    </row>
    <row r="1821" spans="1:14" x14ac:dyDescent="0.3">
      <c r="A1821" s="1">
        <v>45939</v>
      </c>
      <c r="B1821">
        <v>1371.458984375</v>
      </c>
      <c r="C1821">
        <v>1373.6488106871857</v>
      </c>
      <c r="D1821">
        <v>1362.7989515764332</v>
      </c>
      <c r="E1821">
        <v>1367.6764245537629</v>
      </c>
      <c r="F1821">
        <v>8826633</v>
      </c>
      <c r="G1821" s="2" t="s">
        <v>15</v>
      </c>
      <c r="H1821">
        <v>0.7605702038898432</v>
      </c>
      <c r="I1821">
        <v>89.408360543151204</v>
      </c>
      <c r="J1821">
        <v>1379.0162622070313</v>
      </c>
      <c r="K1821">
        <v>0.76019261713315289</v>
      </c>
      <c r="L1821">
        <v>0</v>
      </c>
      <c r="M1821" t="str">
        <f>VLOOKUP(fact_daily_prices[[#This Row],[Ticker]], dim_company[], 2, FALSE)</f>
        <v>Reliance Industries</v>
      </c>
      <c r="N1821" t="str">
        <f>VLOOKUP(fact_daily_prices[[#This Row],[Ticker]], dim_company[], 3, FALSE)</f>
        <v>Energy &amp; Conglomerate</v>
      </c>
    </row>
    <row r="1822" spans="1:14" x14ac:dyDescent="0.3">
      <c r="A1822" s="1">
        <v>45940</v>
      </c>
      <c r="B1822">
        <v>1375.3409423828125</v>
      </c>
      <c r="C1822">
        <v>1381.6119964455866</v>
      </c>
      <c r="D1822">
        <v>1368.7713419175536</v>
      </c>
      <c r="E1822">
        <v>1371.45898859096</v>
      </c>
      <c r="F1822">
        <v>6373084</v>
      </c>
      <c r="G1822" s="2" t="s">
        <v>15</v>
      </c>
      <c r="H1822">
        <v>0.28305316105254885</v>
      </c>
      <c r="I1822">
        <v>89.661433733913839</v>
      </c>
      <c r="J1822">
        <v>1378.4237475585937</v>
      </c>
      <c r="K1822">
        <v>0.7619927655565506</v>
      </c>
      <c r="L1822">
        <v>0</v>
      </c>
      <c r="M1822" t="str">
        <f>VLOOKUP(fact_daily_prices[[#This Row],[Ticker]], dim_company[], 2, FALSE)</f>
        <v>Reliance Industries</v>
      </c>
      <c r="N1822" t="str">
        <f>VLOOKUP(fact_daily_prices[[#This Row],[Ticker]], dim_company[], 3, FALSE)</f>
        <v>Energy &amp; Conglomerate</v>
      </c>
    </row>
    <row r="1823" spans="1:14" x14ac:dyDescent="0.3">
      <c r="A1823" s="1">
        <v>45943</v>
      </c>
      <c r="B1823">
        <v>1368.671875</v>
      </c>
      <c r="C1823">
        <v>1371.3594002602315</v>
      </c>
      <c r="D1823">
        <v>1361.505059967041</v>
      </c>
      <c r="E1823">
        <v>1370.5631549835205</v>
      </c>
      <c r="F1823">
        <v>7600682</v>
      </c>
      <c r="G1823" s="2" t="s">
        <v>15</v>
      </c>
      <c r="H1823">
        <v>-0.48490284679943985</v>
      </c>
      <c r="I1823">
        <v>89.2266628892569</v>
      </c>
      <c r="J1823">
        <v>1377.8366528320312</v>
      </c>
      <c r="K1823">
        <v>0.66239721697982834</v>
      </c>
      <c r="L1823">
        <v>0</v>
      </c>
      <c r="M1823" t="str">
        <f>VLOOKUP(fact_daily_prices[[#This Row],[Ticker]], dim_company[], 2, FALSE)</f>
        <v>Reliance Industries</v>
      </c>
      <c r="N1823" t="str">
        <f>VLOOKUP(fact_daily_prices[[#This Row],[Ticker]], dim_company[], 3, FALSE)</f>
        <v>Energy &amp; Conglomerate</v>
      </c>
    </row>
    <row r="1824" spans="1:14" x14ac:dyDescent="0.3">
      <c r="A1824" s="1">
        <v>45944</v>
      </c>
      <c r="B1824">
        <v>1369.5677490234375</v>
      </c>
      <c r="C1824">
        <v>1381.6120371493339</v>
      </c>
      <c r="D1824">
        <v>1363.7943936365562</v>
      </c>
      <c r="E1824">
        <v>1373.6488553790207</v>
      </c>
      <c r="F1824">
        <v>9768174</v>
      </c>
      <c r="G1824" s="2" t="s">
        <v>15</v>
      </c>
      <c r="H1824">
        <v>6.545571950453688E-2</v>
      </c>
      <c r="I1824">
        <v>89.285066843440958</v>
      </c>
      <c r="J1824">
        <v>1377.6620678710938</v>
      </c>
      <c r="K1824">
        <v>0.66015148393175416</v>
      </c>
      <c r="L1824">
        <v>0</v>
      </c>
      <c r="M1824" t="str">
        <f>VLOOKUP(fact_daily_prices[[#This Row],[Ticker]], dim_company[], 2, FALSE)</f>
        <v>Reliance Industries</v>
      </c>
      <c r="N1824" t="str">
        <f>VLOOKUP(fact_daily_prices[[#This Row],[Ticker]], dim_company[], 3, FALSE)</f>
        <v>Energy &amp; Conglomerate</v>
      </c>
    </row>
    <row r="1825" spans="1:14" x14ac:dyDescent="0.3">
      <c r="A1825" s="1">
        <v>45945</v>
      </c>
      <c r="B1825">
        <v>1367.97509765625</v>
      </c>
      <c r="C1825">
        <v>1377.6304066718624</v>
      </c>
      <c r="D1825">
        <v>1366.3823641411529</v>
      </c>
      <c r="E1825">
        <v>1376.6350089791804</v>
      </c>
      <c r="F1825">
        <v>10882743</v>
      </c>
      <c r="G1825" s="2" t="s">
        <v>15</v>
      </c>
      <c r="H1825">
        <v>-0.1162886150263942</v>
      </c>
      <c r="I1825">
        <v>89.181238475783331</v>
      </c>
      <c r="J1825">
        <v>1377.3862280273438</v>
      </c>
      <c r="K1825">
        <v>0.63966680049748281</v>
      </c>
      <c r="L1825">
        <v>0</v>
      </c>
      <c r="M1825" t="str">
        <f>VLOOKUP(fact_daily_prices[[#This Row],[Ticker]], dim_company[], 2, FALSE)</f>
        <v>Reliance Industries</v>
      </c>
      <c r="N1825" t="str">
        <f>VLOOKUP(fact_daily_prices[[#This Row],[Ticker]], dim_company[], 3, FALSE)</f>
        <v>Energy &amp; Conglomerate</v>
      </c>
    </row>
    <row r="1826" spans="1:14" x14ac:dyDescent="0.3">
      <c r="A1826" s="1">
        <v>45946</v>
      </c>
      <c r="B1826">
        <v>1391.8646240234375</v>
      </c>
      <c r="C1826">
        <v>1394.0544503152107</v>
      </c>
      <c r="D1826">
        <v>1368.6718094847661</v>
      </c>
      <c r="E1826">
        <v>1368.7713249510273</v>
      </c>
      <c r="F1826">
        <v>12315932</v>
      </c>
      <c r="G1826" s="2" t="s">
        <v>15</v>
      </c>
      <c r="H1826">
        <v>1.7463421964418302</v>
      </c>
      <c r="I1826">
        <v>90.738648074595346</v>
      </c>
      <c r="J1826">
        <v>1377.2352270507813</v>
      </c>
      <c r="K1826">
        <v>0.70967871272519911</v>
      </c>
      <c r="L1826">
        <v>0</v>
      </c>
      <c r="M1826" t="str">
        <f>VLOOKUP(fact_daily_prices[[#This Row],[Ticker]], dim_company[], 2, FALSE)</f>
        <v>Reliance Industries</v>
      </c>
      <c r="N1826" t="str">
        <f>VLOOKUP(fact_daily_prices[[#This Row],[Ticker]], dim_company[], 3, FALSE)</f>
        <v>Energy &amp; Conglomerate</v>
      </c>
    </row>
    <row r="1827" spans="1:14" x14ac:dyDescent="0.3">
      <c r="A1827" s="1">
        <v>45947</v>
      </c>
      <c r="B1827">
        <v>1410.279541015625</v>
      </c>
      <c r="C1827">
        <v>1416.7496262080865</v>
      </c>
      <c r="D1827">
        <v>1392.6609284325848</v>
      </c>
      <c r="E1827">
        <v>1394.5522084059296</v>
      </c>
      <c r="F1827">
        <v>19335561</v>
      </c>
      <c r="G1827" s="2" t="s">
        <v>15</v>
      </c>
      <c r="H1827">
        <v>1.3230393728203227</v>
      </c>
      <c r="I1827">
        <v>91.939156114987114</v>
      </c>
      <c r="J1827">
        <v>1377.8451342773437</v>
      </c>
      <c r="K1827">
        <v>0.71793344323406594</v>
      </c>
      <c r="L1827">
        <v>0</v>
      </c>
      <c r="M1827" t="str">
        <f>VLOOKUP(fact_daily_prices[[#This Row],[Ticker]], dim_company[], 2, FALSE)</f>
        <v>Reliance Industries</v>
      </c>
      <c r="N1827" t="str">
        <f>VLOOKUP(fact_daily_prices[[#This Row],[Ticker]], dim_company[], 3, FALSE)</f>
        <v>Energy &amp; Conglomerate</v>
      </c>
    </row>
    <row r="1828" spans="1:14" x14ac:dyDescent="0.3">
      <c r="A1828" s="1">
        <v>45950</v>
      </c>
      <c r="B1828">
        <v>1460.04931640625</v>
      </c>
      <c r="C1828">
        <v>1467.0170999313525</v>
      </c>
      <c r="D1828">
        <v>1426.7034952504036</v>
      </c>
      <c r="E1828">
        <v>1433.3726108781725</v>
      </c>
      <c r="F1828">
        <v>24721978</v>
      </c>
      <c r="G1828" s="2" t="s">
        <v>15</v>
      </c>
      <c r="H1828">
        <v>3.5290716445324666</v>
      </c>
      <c r="I1828">
        <v>95.183754803663561</v>
      </c>
      <c r="J1828">
        <v>1379.4286254882813</v>
      </c>
      <c r="K1828">
        <v>0.93240249509949436</v>
      </c>
      <c r="L1828">
        <v>1</v>
      </c>
      <c r="M1828" t="str">
        <f>VLOOKUP(fact_daily_prices[[#This Row],[Ticker]], dim_company[], 2, FALSE)</f>
        <v>Reliance Industries</v>
      </c>
      <c r="N1828" t="str">
        <f>VLOOKUP(fact_daily_prices[[#This Row],[Ticker]], dim_company[], 3, FALSE)</f>
        <v>Energy &amp; Conglomerate</v>
      </c>
    </row>
    <row r="1829" spans="1:14" x14ac:dyDescent="0.3">
      <c r="A1829" s="1">
        <v>45951</v>
      </c>
      <c r="B1829">
        <v>1458.4566650390625</v>
      </c>
      <c r="C1829">
        <v>1467.2162134241023</v>
      </c>
      <c r="D1829">
        <v>1453.2806455896807</v>
      </c>
      <c r="E1829">
        <v>1461.2438272093502</v>
      </c>
      <c r="F1829">
        <v>2066169</v>
      </c>
      <c r="G1829" s="2" t="s">
        <v>15</v>
      </c>
      <c r="H1829">
        <v>-0.10908202546936474</v>
      </c>
      <c r="I1829">
        <v>95.079926436005934</v>
      </c>
      <c r="J1829">
        <v>1381.0476782226563</v>
      </c>
      <c r="K1829">
        <v>0.93429711060593068</v>
      </c>
      <c r="L1829">
        <v>0</v>
      </c>
      <c r="M1829" t="str">
        <f>VLOOKUP(fact_daily_prices[[#This Row],[Ticker]], dim_company[], 2, FALSE)</f>
        <v>Reliance Industries</v>
      </c>
      <c r="N1829" t="str">
        <f>VLOOKUP(fact_daily_prices[[#This Row],[Ticker]], dim_company[], 3, FALSE)</f>
        <v>Energy &amp; Conglomerate</v>
      </c>
    </row>
    <row r="1830" spans="1:14" x14ac:dyDescent="0.3">
      <c r="A1830" s="1">
        <v>45953</v>
      </c>
      <c r="B1830">
        <v>1441.7340087890625</v>
      </c>
      <c r="C1830">
        <v>1476.0752283864208</v>
      </c>
      <c r="D1830">
        <v>1437.9514490416038</v>
      </c>
      <c r="E1830">
        <v>1468.2115624957596</v>
      </c>
      <c r="F1830">
        <v>18707090</v>
      </c>
      <c r="G1830" s="2" t="s">
        <v>15</v>
      </c>
      <c r="H1830">
        <v>-1.14659946029676</v>
      </c>
      <c r="I1830">
        <v>93.989740512640125</v>
      </c>
      <c r="J1830">
        <v>1382.7605810546875</v>
      </c>
      <c r="K1830">
        <v>0.96447695279225309</v>
      </c>
      <c r="L1830">
        <v>0</v>
      </c>
      <c r="M1830" t="str">
        <f>VLOOKUP(fact_daily_prices[[#This Row],[Ticker]], dim_company[], 2, FALSE)</f>
        <v>Reliance Industries</v>
      </c>
      <c r="N1830" t="str">
        <f>VLOOKUP(fact_daily_prices[[#This Row],[Ticker]], dim_company[], 3, FALSE)</f>
        <v>Energy &amp; Conglomerate</v>
      </c>
    </row>
    <row r="1831" spans="1:14" x14ac:dyDescent="0.3">
      <c r="A1831" s="1">
        <v>45954</v>
      </c>
      <c r="B1831">
        <v>1444.9193115234375</v>
      </c>
      <c r="C1831">
        <v>1453.0816457634617</v>
      </c>
      <c r="D1831">
        <v>1434.3681199531734</v>
      </c>
      <c r="E1831">
        <v>1443.3266994671071</v>
      </c>
      <c r="F1831">
        <v>9700837</v>
      </c>
      <c r="G1831" s="2" t="s">
        <v>15</v>
      </c>
      <c r="H1831">
        <v>0.2209355342217556</v>
      </c>
      <c r="I1831">
        <v>94.197397247955379</v>
      </c>
      <c r="J1831">
        <v>1384.1723413085938</v>
      </c>
      <c r="K1831">
        <v>0.96425447110105533</v>
      </c>
      <c r="L1831">
        <v>0</v>
      </c>
      <c r="M1831" t="str">
        <f>VLOOKUP(fact_daily_prices[[#This Row],[Ticker]], dim_company[], 2, FALSE)</f>
        <v>Reliance Industries</v>
      </c>
      <c r="N1831" t="str">
        <f>VLOOKUP(fact_daily_prices[[#This Row],[Ticker]], dim_company[], 3, FALSE)</f>
        <v>Energy &amp; Conglomerate</v>
      </c>
    </row>
    <row r="1832" spans="1:14" x14ac:dyDescent="0.3">
      <c r="A1832" s="1">
        <v>45957</v>
      </c>
      <c r="B1832">
        <v>1477.2696533203125</v>
      </c>
      <c r="C1832">
        <v>1478.1655355223299</v>
      </c>
      <c r="D1832">
        <v>1451.2897985128329</v>
      </c>
      <c r="E1832">
        <v>1456.266786847925</v>
      </c>
      <c r="F1832">
        <v>11513110</v>
      </c>
      <c r="G1832" s="2" t="s">
        <v>15</v>
      </c>
      <c r="H1832">
        <v>2.2389029988648002</v>
      </c>
      <c r="I1832">
        <v>96.306385599792449</v>
      </c>
      <c r="J1832">
        <v>1386.3461132812499</v>
      </c>
      <c r="K1832">
        <v>1.034215180304515</v>
      </c>
      <c r="L1832">
        <v>0</v>
      </c>
      <c r="M1832" t="str">
        <f>VLOOKUP(fact_daily_prices[[#This Row],[Ticker]], dim_company[], 2, FALSE)</f>
        <v>Reliance Industries</v>
      </c>
      <c r="N1832" t="str">
        <f>VLOOKUP(fact_daily_prices[[#This Row],[Ticker]], dim_company[], 3, FALSE)</f>
        <v>Energy &amp; Conglomerate</v>
      </c>
    </row>
    <row r="1833" spans="1:14" x14ac:dyDescent="0.3">
      <c r="A1833" s="1">
        <v>45958</v>
      </c>
      <c r="B1833">
        <v>1480.056884765625</v>
      </c>
      <c r="C1833">
        <v>1485.1333888036677</v>
      </c>
      <c r="D1833">
        <v>1470.7996374250399</v>
      </c>
      <c r="E1833">
        <v>1477.2697225639299</v>
      </c>
      <c r="F1833">
        <v>17631577</v>
      </c>
      <c r="G1833" s="2" t="s">
        <v>15</v>
      </c>
      <c r="H1833">
        <v>0.18867452120525652</v>
      </c>
      <c r="I1833">
        <v>96.488091211712941</v>
      </c>
      <c r="J1833">
        <v>1388.5320092773438</v>
      </c>
      <c r="K1833">
        <v>1.0278782216487365</v>
      </c>
      <c r="L1833">
        <v>0</v>
      </c>
      <c r="M1833" t="str">
        <f>VLOOKUP(fact_daily_prices[[#This Row],[Ticker]], dim_company[], 2, FALSE)</f>
        <v>Reliance Industries</v>
      </c>
      <c r="N1833" t="str">
        <f>VLOOKUP(fact_daily_prices[[#This Row],[Ticker]], dim_company[], 3, FALSE)</f>
        <v>Energy &amp; Conglomerate</v>
      </c>
    </row>
    <row r="1834" spans="1:14" x14ac:dyDescent="0.3">
      <c r="A1834" s="1">
        <v>45959</v>
      </c>
      <c r="B1834">
        <v>1497.277099609375</v>
      </c>
      <c r="C1834">
        <v>1501.3583271895798</v>
      </c>
      <c r="D1834">
        <v>1481.2512217130793</v>
      </c>
      <c r="E1834">
        <v>1483.1425015536738</v>
      </c>
      <c r="F1834">
        <v>11884745</v>
      </c>
      <c r="G1834" s="2" t="s">
        <v>15</v>
      </c>
      <c r="H1834">
        <v>1.163483310742941</v>
      </c>
      <c r="I1834">
        <v>97.610714049815655</v>
      </c>
      <c r="J1834">
        <v>1391.1280029296875</v>
      </c>
      <c r="K1834">
        <v>1.0422288205411245</v>
      </c>
      <c r="L1834">
        <v>0</v>
      </c>
      <c r="M1834" t="str">
        <f>VLOOKUP(fact_daily_prices[[#This Row],[Ticker]], dim_company[], 2, FALSE)</f>
        <v>Reliance Industries</v>
      </c>
      <c r="N1834" t="str">
        <f>VLOOKUP(fact_daily_prices[[#This Row],[Ticker]], dim_company[], 3, FALSE)</f>
        <v>Energy &amp; Conglomerate</v>
      </c>
    </row>
    <row r="1835" spans="1:14" x14ac:dyDescent="0.3">
      <c r="A1835" s="1">
        <v>45960</v>
      </c>
      <c r="B1835">
        <v>1481.6494140625</v>
      </c>
      <c r="C1835">
        <v>1496.1821955688697</v>
      </c>
      <c r="D1835">
        <v>1477.1701246011085</v>
      </c>
      <c r="E1835">
        <v>1493.0964871305005</v>
      </c>
      <c r="F1835">
        <v>9318663</v>
      </c>
      <c r="G1835" s="2" t="s">
        <v>15</v>
      </c>
      <c r="H1835">
        <v>-1.0437403705000348</v>
      </c>
      <c r="I1835">
        <v>96.59191162134438</v>
      </c>
      <c r="J1835">
        <v>1393.2541723632812</v>
      </c>
      <c r="K1835">
        <v>1.0678455604800656</v>
      </c>
      <c r="L1835">
        <v>0</v>
      </c>
      <c r="M1835" t="str">
        <f>VLOOKUP(fact_daily_prices[[#This Row],[Ticker]], dim_company[], 2, FALSE)</f>
        <v>Reliance Industries</v>
      </c>
      <c r="N1835" t="str">
        <f>VLOOKUP(fact_daily_prices[[#This Row],[Ticker]], dim_company[], 3, FALSE)</f>
        <v>Energy &amp; Conglomerate</v>
      </c>
    </row>
    <row r="1836" spans="1:14" x14ac:dyDescent="0.3">
      <c r="A1836" s="1">
        <v>45961</v>
      </c>
      <c r="B1836">
        <v>1479.5592041015625</v>
      </c>
      <c r="C1836">
        <v>1490.6080945575152</v>
      </c>
      <c r="D1836">
        <v>1475.4780977270138</v>
      </c>
      <c r="E1836">
        <v>1483.540795005222</v>
      </c>
      <c r="F1836">
        <v>8758053</v>
      </c>
      <c r="G1836" s="2" t="s">
        <v>15</v>
      </c>
      <c r="H1836">
        <v>-0.14107318108448341</v>
      </c>
      <c r="I1836">
        <v>96.455646338949848</v>
      </c>
      <c r="J1836">
        <v>1394.5740722656251</v>
      </c>
      <c r="K1836">
        <v>1.0580857725777417</v>
      </c>
      <c r="L1836">
        <v>0</v>
      </c>
      <c r="M1836" t="str">
        <f>VLOOKUP(fact_daily_prices[[#This Row],[Ticker]], dim_company[], 2, FALSE)</f>
        <v>Reliance Industries</v>
      </c>
      <c r="N1836" t="str">
        <f>VLOOKUP(fact_daily_prices[[#This Row],[Ticker]], dim_company[], 3, FALSE)</f>
        <v>Energy &amp; Conglomerate</v>
      </c>
    </row>
    <row r="1837" spans="1:14" x14ac:dyDescent="0.3">
      <c r="A1837" s="1">
        <v>45964</v>
      </c>
      <c r="B1837">
        <v>1477.866943359375</v>
      </c>
      <c r="C1837">
        <v>1488.1195884585134</v>
      </c>
      <c r="D1837">
        <v>1472.4918928888085</v>
      </c>
      <c r="E1837">
        <v>1479.1610089962214</v>
      </c>
      <c r="F1837">
        <v>8452085</v>
      </c>
      <c r="G1837" s="2" t="s">
        <v>15</v>
      </c>
      <c r="H1837">
        <v>-0.11437600722541408</v>
      </c>
      <c r="I1837">
        <v>96.345324221923889</v>
      </c>
      <c r="J1837">
        <v>1396.0014721679688</v>
      </c>
      <c r="K1837">
        <v>1.0592788925991152</v>
      </c>
      <c r="L1837">
        <v>0</v>
      </c>
      <c r="M1837" t="str">
        <f>VLOOKUP(fact_daily_prices[[#This Row],[Ticker]], dim_company[], 2, FALSE)</f>
        <v>Reliance Industries</v>
      </c>
      <c r="N1837" t="str">
        <f>VLOOKUP(fact_daily_prices[[#This Row],[Ticker]], dim_company[], 3, FALSE)</f>
        <v>Energy &amp; Conglomerate</v>
      </c>
    </row>
    <row r="1838" spans="1:14" x14ac:dyDescent="0.3">
      <c r="A1838" s="1">
        <v>45965</v>
      </c>
      <c r="B1838">
        <v>1466.3203125</v>
      </c>
      <c r="C1838">
        <v>1485.9297198935935</v>
      </c>
      <c r="D1838">
        <v>1463.334119430687</v>
      </c>
      <c r="E1838">
        <v>1477.07065615293</v>
      </c>
      <c r="F1838">
        <v>10007806</v>
      </c>
      <c r="G1838" s="2" t="s">
        <v>15</v>
      </c>
      <c r="H1838">
        <v>-0.78130381840249008</v>
      </c>
      <c r="I1838">
        <v>95.592574524925737</v>
      </c>
      <c r="J1838">
        <v>1396.9630249023437</v>
      </c>
      <c r="K1838">
        <v>1.0657848505593019</v>
      </c>
      <c r="L1838">
        <v>0</v>
      </c>
      <c r="M1838" t="str">
        <f>VLOOKUP(fact_daily_prices[[#This Row],[Ticker]], dim_company[], 2, FALSE)</f>
        <v>Reliance Industries</v>
      </c>
      <c r="N1838" t="str">
        <f>VLOOKUP(fact_daily_prices[[#This Row],[Ticker]], dim_company[], 3, FALSE)</f>
        <v>Energy &amp; Conglomerate</v>
      </c>
    </row>
    <row r="1839" spans="1:14" x14ac:dyDescent="0.3">
      <c r="A1839" s="1">
        <v>45967</v>
      </c>
      <c r="B1839">
        <v>1489.2144775390625</v>
      </c>
      <c r="C1839">
        <v>1494.6891648996159</v>
      </c>
      <c r="D1839">
        <v>1469.4060389691761</v>
      </c>
      <c r="E1839">
        <v>1477.1701896475463</v>
      </c>
      <c r="F1839">
        <v>16772678</v>
      </c>
      <c r="G1839" s="2" t="s">
        <v>15</v>
      </c>
      <c r="H1839">
        <v>1.5613345081491259</v>
      </c>
      <c r="I1839">
        <v>97.085094378211551</v>
      </c>
      <c r="J1839">
        <v>1398.6930273437499</v>
      </c>
      <c r="K1839">
        <v>1.064024417224178</v>
      </c>
      <c r="L1839">
        <v>0</v>
      </c>
      <c r="M1839" t="str">
        <f>VLOOKUP(fact_daily_prices[[#This Row],[Ticker]], dim_company[], 2, FALSE)</f>
        <v>Reliance Industries</v>
      </c>
      <c r="N1839" t="str">
        <f>VLOOKUP(fact_daily_prices[[#This Row],[Ticker]], dim_company[], 3, FALSE)</f>
        <v>Energy &amp; Conglomerate</v>
      </c>
    </row>
    <row r="1840" spans="1:14" x14ac:dyDescent="0.3">
      <c r="A1840" s="1">
        <v>45968</v>
      </c>
      <c r="B1840">
        <v>1471.19775390625</v>
      </c>
      <c r="C1840">
        <v>1491.5038906434634</v>
      </c>
      <c r="D1840">
        <v>1469.1074431042953</v>
      </c>
      <c r="E1840">
        <v>1487.7213309001131</v>
      </c>
      <c r="F1840">
        <v>7821765</v>
      </c>
      <c r="G1840" s="2" t="s">
        <v>15</v>
      </c>
      <c r="H1840">
        <v>-1.2098138921255441</v>
      </c>
      <c r="I1840">
        <v>95.910545419240762</v>
      </c>
      <c r="J1840">
        <v>1399.9950073242187</v>
      </c>
      <c r="K1840">
        <v>1.095811744749968</v>
      </c>
      <c r="L1840">
        <v>0</v>
      </c>
      <c r="M1840" t="str">
        <f>VLOOKUP(fact_daily_prices[[#This Row],[Ticker]], dim_company[], 2, FALSE)</f>
        <v>Reliance Industries</v>
      </c>
      <c r="N1840" t="str">
        <f>VLOOKUP(fact_daily_prices[[#This Row],[Ticker]], dim_company[], 3, FALSE)</f>
        <v>Energy &amp; Conglomerate</v>
      </c>
    </row>
    <row r="1841" spans="1:14" x14ac:dyDescent="0.3">
      <c r="A1841" s="1">
        <v>45971</v>
      </c>
      <c r="B1841">
        <v>1482.44580078125</v>
      </c>
      <c r="C1841">
        <v>1494.0919049344996</v>
      </c>
      <c r="D1841">
        <v>1468.7092643110286</v>
      </c>
      <c r="E1841">
        <v>1471.0982430243505</v>
      </c>
      <c r="F1841">
        <v>7068438</v>
      </c>
      <c r="G1841" s="2" t="s">
        <v>15</v>
      </c>
      <c r="H1841">
        <v>0.7645503023053557</v>
      </c>
      <c r="I1841">
        <v>96.643829784186281</v>
      </c>
      <c r="J1841">
        <v>1402.0733984374999</v>
      </c>
      <c r="K1841">
        <v>1.0920837990289693</v>
      </c>
      <c r="L1841">
        <v>0</v>
      </c>
      <c r="M1841" t="str">
        <f>VLOOKUP(fact_daily_prices[[#This Row],[Ticker]], dim_company[], 2, FALSE)</f>
        <v>Reliance Industries</v>
      </c>
      <c r="N1841" t="str">
        <f>VLOOKUP(fact_daily_prices[[#This Row],[Ticker]], dim_company[], 3, FALSE)</f>
        <v>Energy &amp; Conglomerate</v>
      </c>
    </row>
    <row r="1842" spans="1:14" x14ac:dyDescent="0.3">
      <c r="A1842" s="1">
        <v>45972</v>
      </c>
      <c r="B1842">
        <v>1486.5269775390625</v>
      </c>
      <c r="C1842">
        <v>1491.9021495222175</v>
      </c>
      <c r="D1842">
        <v>1473.3876547459602</v>
      </c>
      <c r="E1842">
        <v>1490.1103850249956</v>
      </c>
      <c r="F1842">
        <v>7127506</v>
      </c>
      <c r="G1842" s="2" t="s">
        <v>15</v>
      </c>
      <c r="H1842">
        <v>0.27530023395538894</v>
      </c>
      <c r="I1842">
        <v>96.909890473685593</v>
      </c>
      <c r="J1842">
        <v>1404.2135034179687</v>
      </c>
      <c r="K1842">
        <v>1.0749839383517377</v>
      </c>
      <c r="L1842">
        <v>0</v>
      </c>
      <c r="M1842" t="str">
        <f>VLOOKUP(fact_daily_prices[[#This Row],[Ticker]], dim_company[], 2, FALSE)</f>
        <v>Reliance Industries</v>
      </c>
      <c r="N1842" t="str">
        <f>VLOOKUP(fact_daily_prices[[#This Row],[Ticker]], dim_company[], 3, FALSE)</f>
        <v>Energy &amp; Conglomerate</v>
      </c>
    </row>
    <row r="1843" spans="1:14" x14ac:dyDescent="0.3">
      <c r="A1843" s="1">
        <v>45973</v>
      </c>
      <c r="B1843">
        <v>1504.5435791015625</v>
      </c>
      <c r="C1843">
        <v>1517.6827797499902</v>
      </c>
      <c r="D1843">
        <v>1493.0965058897411</v>
      </c>
      <c r="E1843">
        <v>1498.0734942427068</v>
      </c>
      <c r="F1843">
        <v>12384459</v>
      </c>
      <c r="G1843" s="2" t="s">
        <v>15</v>
      </c>
      <c r="H1843">
        <v>1.2119929092929249</v>
      </c>
      <c r="I1843">
        <v>98.084431474630208</v>
      </c>
      <c r="J1843">
        <v>1407.2853002929687</v>
      </c>
      <c r="K1843">
        <v>1.0881048316478721</v>
      </c>
      <c r="L1843">
        <v>0</v>
      </c>
      <c r="M1843" t="str">
        <f>VLOOKUP(fact_daily_prices[[#This Row],[Ticker]], dim_company[], 2, FALSE)</f>
        <v>Reliance Industries</v>
      </c>
      <c r="N1843" t="str">
        <f>VLOOKUP(fact_daily_prices[[#This Row],[Ticker]], dim_company[], 3, FALSE)</f>
        <v>Energy &amp; Conglomerate</v>
      </c>
    </row>
    <row r="1844" spans="1:14" x14ac:dyDescent="0.3">
      <c r="A1844" s="1">
        <v>45974</v>
      </c>
      <c r="B1844">
        <v>1503.9464111328125</v>
      </c>
      <c r="C1844">
        <v>1515.0948167835015</v>
      </c>
      <c r="D1844">
        <v>1499.8653048593551</v>
      </c>
      <c r="E1844">
        <v>1508.0275174062697</v>
      </c>
      <c r="F1844">
        <v>7196443</v>
      </c>
      <c r="G1844" s="2" t="s">
        <v>15</v>
      </c>
      <c r="H1844">
        <v>-3.9690971869799085E-2</v>
      </c>
      <c r="I1844">
        <v>98.04550081052497</v>
      </c>
      <c r="J1844">
        <v>1410.410849609375</v>
      </c>
      <c r="K1844">
        <v>1.0830585395423693</v>
      </c>
      <c r="L1844">
        <v>0</v>
      </c>
      <c r="M1844" t="str">
        <f>VLOOKUP(fact_daily_prices[[#This Row],[Ticker]], dim_company[], 2, FALSE)</f>
        <v>Reliance Industries</v>
      </c>
      <c r="N1844" t="str">
        <f>VLOOKUP(fact_daily_prices[[#This Row],[Ticker]], dim_company[], 3, FALSE)</f>
        <v>Energy &amp; Conglomerate</v>
      </c>
    </row>
    <row r="1845" spans="1:14" x14ac:dyDescent="0.3">
      <c r="A1845" s="1">
        <v>45975</v>
      </c>
      <c r="B1845">
        <v>1511.9095458984375</v>
      </c>
      <c r="C1845">
        <v>1513.9003412392719</v>
      </c>
      <c r="D1845">
        <v>1498.5711928131457</v>
      </c>
      <c r="E1845">
        <v>1498.5711928131457</v>
      </c>
      <c r="F1845">
        <v>7682823</v>
      </c>
      <c r="G1845" s="2" t="s">
        <v>15</v>
      </c>
      <c r="H1845">
        <v>0.52948261365421967</v>
      </c>
      <c r="I1845">
        <v>98.564634690786917</v>
      </c>
      <c r="J1845">
        <v>1413.4448217773438</v>
      </c>
      <c r="K1845">
        <v>1.0680128934614421</v>
      </c>
      <c r="L1845">
        <v>0</v>
      </c>
      <c r="M1845" t="str">
        <f>VLOOKUP(fact_daily_prices[[#This Row],[Ticker]], dim_company[], 2, FALSE)</f>
        <v>Reliance Industries</v>
      </c>
      <c r="N1845" t="str">
        <f>VLOOKUP(fact_daily_prices[[#This Row],[Ticker]], dim_company[], 3, FALSE)</f>
        <v>Energy &amp; Conglomerate</v>
      </c>
    </row>
    <row r="1846" spans="1:14" x14ac:dyDescent="0.3">
      <c r="A1846" s="1">
        <v>45978</v>
      </c>
      <c r="B1846">
        <v>1511.3123779296875</v>
      </c>
      <c r="C1846">
        <v>1516.6874283079178</v>
      </c>
      <c r="D1846">
        <v>1504.5436249599409</v>
      </c>
      <c r="E1846">
        <v>1513.9003876504109</v>
      </c>
      <c r="F1846">
        <v>5871416</v>
      </c>
      <c r="G1846" s="2" t="s">
        <v>15</v>
      </c>
      <c r="H1846">
        <v>-3.9497598938376122E-2</v>
      </c>
      <c r="I1846">
        <v>98.525704026681666</v>
      </c>
      <c r="J1846">
        <v>1416.3454125976561</v>
      </c>
      <c r="K1846">
        <v>1.070560846213394</v>
      </c>
      <c r="L1846">
        <v>0</v>
      </c>
      <c r="M1846" t="str">
        <f>VLOOKUP(fact_daily_prices[[#This Row],[Ticker]], dim_company[], 2, FALSE)</f>
        <v>Reliance Industries</v>
      </c>
      <c r="N1846" t="str">
        <f>VLOOKUP(fact_daily_prices[[#This Row],[Ticker]], dim_company[], 3, FALSE)</f>
        <v>Energy &amp; Conglomerate</v>
      </c>
    </row>
    <row r="1847" spans="1:14" x14ac:dyDescent="0.3">
      <c r="A1847" s="1">
        <v>45979</v>
      </c>
      <c r="B1847">
        <v>1512.4072265625</v>
      </c>
      <c r="C1847">
        <v>1520.7685911952462</v>
      </c>
      <c r="D1847">
        <v>1503.5481631005248</v>
      </c>
      <c r="E1847">
        <v>1514.696568271851</v>
      </c>
      <c r="F1847">
        <v>11045042</v>
      </c>
      <c r="G1847" s="2" t="s">
        <v>15</v>
      </c>
      <c r="H1847">
        <v>7.2443569496360993E-2</v>
      </c>
      <c r="I1847">
        <v>98.597079563550011</v>
      </c>
      <c r="J1847">
        <v>1419.53267578125</v>
      </c>
      <c r="K1847">
        <v>1.0628800939346867</v>
      </c>
      <c r="L1847">
        <v>0</v>
      </c>
      <c r="M1847" t="str">
        <f>VLOOKUP(fact_daily_prices[[#This Row],[Ticker]], dim_company[], 2, FALSE)</f>
        <v>Reliance Industries</v>
      </c>
      <c r="N1847" t="str">
        <f>VLOOKUP(fact_daily_prices[[#This Row],[Ticker]], dim_company[], 3, FALSE)</f>
        <v>Energy &amp; Conglomerate</v>
      </c>
    </row>
    <row r="1848" spans="1:14" x14ac:dyDescent="0.3">
      <c r="A1848" s="1">
        <v>45980</v>
      </c>
      <c r="B1848">
        <v>1511.9095458984375</v>
      </c>
      <c r="C1848">
        <v>1515.2939222795571</v>
      </c>
      <c r="D1848">
        <v>1505.0412776708577</v>
      </c>
      <c r="E1848">
        <v>1510.4164493928115</v>
      </c>
      <c r="F1848">
        <v>5692366</v>
      </c>
      <c r="G1848" s="2" t="s">
        <v>15</v>
      </c>
      <c r="H1848">
        <v>-3.290652512906167E-2</v>
      </c>
      <c r="I1848">
        <v>98.564634690786917</v>
      </c>
      <c r="J1848">
        <v>1422.3974291992188</v>
      </c>
      <c r="K1848">
        <v>1.0612587998175784</v>
      </c>
      <c r="L1848">
        <v>0</v>
      </c>
      <c r="M1848" t="str">
        <f>VLOOKUP(fact_daily_prices[[#This Row],[Ticker]], dim_company[], 2, FALSE)</f>
        <v>Reliance Industries</v>
      </c>
      <c r="N1848" t="str">
        <f>VLOOKUP(fact_daily_prices[[#This Row],[Ticker]], dim_company[], 3, FALSE)</f>
        <v>Energy &amp; Conglomerate</v>
      </c>
    </row>
    <row r="1849" spans="1:14" x14ac:dyDescent="0.3">
      <c r="A1849" s="1">
        <v>45981</v>
      </c>
      <c r="B1849">
        <v>1541.9705810546875</v>
      </c>
      <c r="C1849">
        <v>1543.7623455509597</v>
      </c>
      <c r="D1849">
        <v>1519.6736478639641</v>
      </c>
      <c r="E1849">
        <v>1522.9585089376258</v>
      </c>
      <c r="F1849">
        <v>18171724</v>
      </c>
      <c r="G1849" s="2" t="s">
        <v>15</v>
      </c>
      <c r="H1849">
        <v>1.9882826481121718</v>
      </c>
      <c r="I1849">
        <v>100.52437821951897</v>
      </c>
      <c r="J1849">
        <v>1425.7937255859374</v>
      </c>
      <c r="K1849">
        <v>1.1015871159876882</v>
      </c>
      <c r="L1849">
        <v>0</v>
      </c>
      <c r="M1849" t="str">
        <f>VLOOKUP(fact_daily_prices[[#This Row],[Ticker]], dim_company[], 2, FALSE)</f>
        <v>Reliance Industries</v>
      </c>
      <c r="N1849" t="str">
        <f>VLOOKUP(fact_daily_prices[[#This Row],[Ticker]], dim_company[], 3, FALSE)</f>
        <v>Energy &amp; Conglomerate</v>
      </c>
    </row>
    <row r="1850" spans="1:14" x14ac:dyDescent="0.3">
      <c r="A1850" s="1">
        <v>45982</v>
      </c>
      <c r="B1850">
        <v>1539.4820556640625</v>
      </c>
      <c r="C1850">
        <v>1550.6305827884978</v>
      </c>
      <c r="D1850">
        <v>1533.0119706260582</v>
      </c>
      <c r="E1850">
        <v>1533.9078528560988</v>
      </c>
      <c r="F1850">
        <v>9615271</v>
      </c>
      <c r="G1850" s="2" t="s">
        <v>15</v>
      </c>
      <c r="H1850">
        <v>-0.1613860485537244</v>
      </c>
      <c r="I1850">
        <v>100.36214589767729</v>
      </c>
      <c r="J1850">
        <v>1429.1860424804688</v>
      </c>
      <c r="K1850">
        <v>1.0629464126162345</v>
      </c>
      <c r="L1850">
        <v>0</v>
      </c>
      <c r="M1850" t="str">
        <f>VLOOKUP(fact_daily_prices[[#This Row],[Ticker]], dim_company[], 2, FALSE)</f>
        <v>Reliance Industries</v>
      </c>
      <c r="N1850" t="str">
        <f>VLOOKUP(fact_daily_prices[[#This Row],[Ticker]], dim_company[], 3, FALSE)</f>
        <v>Energy &amp; Conglomerate</v>
      </c>
    </row>
    <row r="1851" spans="1:14" x14ac:dyDescent="0.3">
      <c r="A1851" s="1">
        <v>45985</v>
      </c>
      <c r="B1851">
        <v>1528.831298828125</v>
      </c>
      <c r="C1851">
        <v>1542.8663816107544</v>
      </c>
      <c r="D1851">
        <v>1524.7501927010492</v>
      </c>
      <c r="E1851">
        <v>1542.8663816107544</v>
      </c>
      <c r="F1851">
        <v>18433951</v>
      </c>
      <c r="G1851" s="2" t="s">
        <v>15</v>
      </c>
      <c r="H1851">
        <v>-0.69184027165183348</v>
      </c>
      <c r="I1851">
        <v>99.667800154863187</v>
      </c>
      <c r="J1851">
        <v>1432.3494165039062</v>
      </c>
      <c r="K1851">
        <v>1.0796905194152859</v>
      </c>
      <c r="L1851">
        <v>0</v>
      </c>
      <c r="M1851" t="str">
        <f>VLOOKUP(fact_daily_prices[[#This Row],[Ticker]], dim_company[], 2, FALSE)</f>
        <v>Reliance Industries</v>
      </c>
      <c r="N1851" t="str">
        <f>VLOOKUP(fact_daily_prices[[#This Row],[Ticker]], dim_company[], 3, FALSE)</f>
        <v>Energy &amp; Conglomerate</v>
      </c>
    </row>
    <row r="1852" spans="1:14" x14ac:dyDescent="0.3">
      <c r="A1852" s="1">
        <v>45986</v>
      </c>
      <c r="B1852">
        <v>1532.61376953125</v>
      </c>
      <c r="C1852">
        <v>1552.4222077972818</v>
      </c>
      <c r="D1852">
        <v>1518.0809876078647</v>
      </c>
      <c r="E1852">
        <v>1528.8313312270848</v>
      </c>
      <c r="F1852">
        <v>15033482</v>
      </c>
      <c r="G1852" s="2" t="s">
        <v>15</v>
      </c>
      <c r="H1852">
        <v>0.24740929270772316</v>
      </c>
      <c r="I1852">
        <v>99.914387554283692</v>
      </c>
      <c r="J1852">
        <v>1435.4630175781249</v>
      </c>
      <c r="K1852">
        <v>1.0798072003583694</v>
      </c>
      <c r="L1852">
        <v>0</v>
      </c>
      <c r="M1852" t="str">
        <f>VLOOKUP(fact_daily_prices[[#This Row],[Ticker]], dim_company[], 2, FALSE)</f>
        <v>Reliance Industries</v>
      </c>
      <c r="N1852" t="str">
        <f>VLOOKUP(fact_daily_prices[[#This Row],[Ticker]], dim_company[], 3, FALSE)</f>
        <v>Energy &amp; Conglomerate</v>
      </c>
    </row>
    <row r="1853" spans="1:14" x14ac:dyDescent="0.3">
      <c r="A1853" s="1">
        <v>45987</v>
      </c>
      <c r="B1853">
        <v>1562.6748046875</v>
      </c>
      <c r="C1853">
        <v>1564.3669320995491</v>
      </c>
      <c r="D1853">
        <v>1533.4100892950655</v>
      </c>
      <c r="E1853">
        <v>1535.2018536795324</v>
      </c>
      <c r="F1853">
        <v>14054299</v>
      </c>
      <c r="G1853" s="2" t="s">
        <v>15</v>
      </c>
      <c r="H1853">
        <v>1.9614227507197768</v>
      </c>
      <c r="I1853">
        <v>101.87413108301575</v>
      </c>
      <c r="J1853">
        <v>1438.9449169921875</v>
      </c>
      <c r="K1853">
        <v>1.1053132025442987</v>
      </c>
      <c r="L1853">
        <v>0</v>
      </c>
      <c r="M1853" t="str">
        <f>VLOOKUP(fact_daily_prices[[#This Row],[Ticker]], dim_company[], 2, FALSE)</f>
        <v>Reliance Industries</v>
      </c>
      <c r="N1853" t="str">
        <f>VLOOKUP(fact_daily_prices[[#This Row],[Ticker]], dim_company[], 3, FALSE)</f>
        <v>Energy &amp; Conglomerate</v>
      </c>
    </row>
    <row r="1854" spans="1:14" x14ac:dyDescent="0.3">
      <c r="A1854" s="1">
        <v>45988</v>
      </c>
      <c r="B1854">
        <v>1556.2047119140625</v>
      </c>
      <c r="C1854">
        <v>1568.2489991897637</v>
      </c>
      <c r="D1854">
        <v>1548.8387449947777</v>
      </c>
      <c r="E1854">
        <v>1567.7513003642512</v>
      </c>
      <c r="F1854">
        <v>9794643</v>
      </c>
      <c r="G1854" s="2" t="s">
        <v>15</v>
      </c>
      <c r="H1854">
        <v>-0.41403961681787393</v>
      </c>
      <c r="I1854">
        <v>101.45233182104309</v>
      </c>
      <c r="J1854">
        <v>1442.2118115234375</v>
      </c>
      <c r="K1854">
        <v>1.114474755385416</v>
      </c>
      <c r="L1854">
        <v>0</v>
      </c>
      <c r="M1854" t="str">
        <f>VLOOKUP(fact_daily_prices[[#This Row],[Ticker]], dim_company[], 2, FALSE)</f>
        <v>Reliance Industries</v>
      </c>
      <c r="N1854" t="str">
        <f>VLOOKUP(fact_daily_prices[[#This Row],[Ticker]], dim_company[], 3, FALSE)</f>
        <v>Energy &amp; Conglomerate</v>
      </c>
    </row>
    <row r="1855" spans="1:14" x14ac:dyDescent="0.3">
      <c r="A1855" s="1">
        <v>45989</v>
      </c>
      <c r="B1855">
        <v>1560.285888671875</v>
      </c>
      <c r="C1855">
        <v>1574.0224254817672</v>
      </c>
      <c r="D1855">
        <v>1555.8065990393241</v>
      </c>
      <c r="E1855">
        <v>1560.7835875199362</v>
      </c>
      <c r="F1855">
        <v>8959508</v>
      </c>
      <c r="G1855" s="2" t="s">
        <v>15</v>
      </c>
      <c r="H1855">
        <v>0.26225192139361919</v>
      </c>
      <c r="I1855">
        <v>101.7183925105424</v>
      </c>
      <c r="J1855">
        <v>1445.5603295898438</v>
      </c>
      <c r="K1855">
        <v>1.1101794246253025</v>
      </c>
      <c r="L1855">
        <v>0</v>
      </c>
      <c r="M1855" t="str">
        <f>VLOOKUP(fact_daily_prices[[#This Row],[Ticker]], dim_company[], 2, FALSE)</f>
        <v>Reliance Industries</v>
      </c>
      <c r="N1855" t="str">
        <f>VLOOKUP(fact_daily_prices[[#This Row],[Ticker]], dim_company[], 3, FALSE)</f>
        <v>Energy &amp; Conglomerate</v>
      </c>
    </row>
    <row r="1856" spans="1:14" x14ac:dyDescent="0.3">
      <c r="A1856" s="1">
        <v>45992</v>
      </c>
      <c r="B1856">
        <v>1558.892333984375</v>
      </c>
      <c r="C1856">
        <v>1570.2398922139623</v>
      </c>
      <c r="D1856">
        <v>1556.403839701944</v>
      </c>
      <c r="E1856">
        <v>1567.7513979315313</v>
      </c>
      <c r="F1856">
        <v>8920233</v>
      </c>
      <c r="G1856" s="2" t="s">
        <v>15</v>
      </c>
      <c r="H1856">
        <v>-8.9314060815237628E-2</v>
      </c>
      <c r="I1856">
        <v>101.62754368359526</v>
      </c>
      <c r="J1856">
        <v>1448.5923095703124</v>
      </c>
      <c r="K1856">
        <v>1.0863304631417106</v>
      </c>
      <c r="L1856">
        <v>0</v>
      </c>
      <c r="M1856" t="str">
        <f>VLOOKUP(fact_daily_prices[[#This Row],[Ticker]], dim_company[], 2, FALSE)</f>
        <v>Reliance Industries</v>
      </c>
      <c r="N1856" t="str">
        <f>VLOOKUP(fact_daily_prices[[#This Row],[Ticker]], dim_company[], 3, FALSE)</f>
        <v>Energy &amp; Conglomerate</v>
      </c>
    </row>
    <row r="1857" spans="1:14" x14ac:dyDescent="0.3">
      <c r="A1857" s="1">
        <v>45993</v>
      </c>
      <c r="B1857">
        <v>1539.1834716796875</v>
      </c>
      <c r="C1857">
        <v>1560.2858537619331</v>
      </c>
      <c r="D1857">
        <v>1534.9032130787248</v>
      </c>
      <c r="E1857">
        <v>1553.9152843475838</v>
      </c>
      <c r="F1857">
        <v>11389150</v>
      </c>
      <c r="G1857" s="2" t="s">
        <v>15</v>
      </c>
      <c r="H1857">
        <v>-1.2642863060538412</v>
      </c>
      <c r="I1857">
        <v>100.34268056562468</v>
      </c>
      <c r="J1857">
        <v>1451.2062255859375</v>
      </c>
      <c r="K1857">
        <v>1.1116295671937055</v>
      </c>
      <c r="L1857">
        <v>0</v>
      </c>
      <c r="M1857" t="str">
        <f>VLOOKUP(fact_daily_prices[[#This Row],[Ticker]], dim_company[], 2, FALSE)</f>
        <v>Reliance Industries</v>
      </c>
      <c r="N1857" t="str">
        <f>VLOOKUP(fact_daily_prices[[#This Row],[Ticker]], dim_company[], 3, FALSE)</f>
        <v>Energy &amp; Conglomerate</v>
      </c>
    </row>
    <row r="1858" spans="1:14" x14ac:dyDescent="0.3">
      <c r="A1858" s="1">
        <v>45994</v>
      </c>
      <c r="B1858">
        <v>1531.718017578125</v>
      </c>
      <c r="C1858">
        <v>1545.2554018922649</v>
      </c>
      <c r="D1858">
        <v>1525.9446623591427</v>
      </c>
      <c r="E1858">
        <v>1538.0884656023031</v>
      </c>
      <c r="F1858">
        <v>6090883</v>
      </c>
      <c r="G1858" s="2" t="s">
        <v>15</v>
      </c>
      <c r="H1858">
        <v>-0.48502691452472213</v>
      </c>
      <c r="I1858">
        <v>99.855991558125822</v>
      </c>
      <c r="J1858">
        <v>1453.8221313476563</v>
      </c>
      <c r="K1858">
        <v>0.93718550100061504</v>
      </c>
      <c r="L1858">
        <v>0</v>
      </c>
      <c r="M1858" t="str">
        <f>VLOOKUP(fact_daily_prices[[#This Row],[Ticker]], dim_company[], 2, FALSE)</f>
        <v>Reliance Industries</v>
      </c>
      <c r="N1858" t="str">
        <f>VLOOKUP(fact_daily_prices[[#This Row],[Ticker]], dim_company[], 3, FALSE)</f>
        <v>Energy &amp; Conglomerate</v>
      </c>
    </row>
    <row r="1859" spans="1:14" x14ac:dyDescent="0.3">
      <c r="A1859" s="1">
        <v>45995</v>
      </c>
      <c r="B1859">
        <v>1528.53271484375</v>
      </c>
      <c r="C1859">
        <v>1553.3181423785347</v>
      </c>
      <c r="D1859">
        <v>1510.6155558800758</v>
      </c>
      <c r="E1859">
        <v>1528.9308982335338</v>
      </c>
      <c r="F1859">
        <v>11867930</v>
      </c>
      <c r="G1859" s="2" t="s">
        <v>15</v>
      </c>
      <c r="H1859">
        <v>-0.2079562098127874</v>
      </c>
      <c r="I1859">
        <v>99.648334822810568</v>
      </c>
      <c r="J1859">
        <v>1456.7087866210939</v>
      </c>
      <c r="K1859">
        <v>0.93835239700416828</v>
      </c>
      <c r="L1859">
        <v>0</v>
      </c>
      <c r="M1859" t="str">
        <f>VLOOKUP(fact_daily_prices[[#This Row],[Ticker]], dim_company[], 2, FALSE)</f>
        <v>Reliance Industries</v>
      </c>
      <c r="N1859" t="str">
        <f>VLOOKUP(fact_daily_prices[[#This Row],[Ticker]], dim_company[], 3, FALSE)</f>
        <v>Energy &amp; Conglomerate</v>
      </c>
    </row>
    <row r="1860" spans="1:14" x14ac:dyDescent="0.3">
      <c r="A1860" s="1">
        <v>45996</v>
      </c>
      <c r="B1860">
        <v>1533.5096435546875</v>
      </c>
      <c r="C1860">
        <v>1538.6857844027049</v>
      </c>
      <c r="D1860">
        <v>1513.6016899280953</v>
      </c>
      <c r="E1860">
        <v>1523.3566358085279</v>
      </c>
      <c r="F1860">
        <v>10183266</v>
      </c>
      <c r="G1860" s="2" t="s">
        <v>15</v>
      </c>
      <c r="H1860">
        <v>0.32560171349989009</v>
      </c>
      <c r="I1860">
        <v>99.972791508467736</v>
      </c>
      <c r="J1860">
        <v>1459.7109033203126</v>
      </c>
      <c r="K1860">
        <v>0.90554440644710876</v>
      </c>
      <c r="L1860">
        <v>0</v>
      </c>
      <c r="M1860" t="str">
        <f>VLOOKUP(fact_daily_prices[[#This Row],[Ticker]], dim_company[], 2, FALSE)</f>
        <v>Reliance Industries</v>
      </c>
      <c r="N1860" t="str">
        <f>VLOOKUP(fact_daily_prices[[#This Row],[Ticker]], dim_company[], 3, FALSE)</f>
        <v>Energy &amp; Conglomerate</v>
      </c>
    </row>
    <row r="1861" spans="1:14" x14ac:dyDescent="0.3">
      <c r="A1861" s="1">
        <v>45999</v>
      </c>
      <c r="B1861">
        <v>1535.898681640625</v>
      </c>
      <c r="C1861">
        <v>1543.861863398969</v>
      </c>
      <c r="D1861">
        <v>1527.9354998822807</v>
      </c>
      <c r="E1861">
        <v>1532.1161217020071</v>
      </c>
      <c r="F1861">
        <v>11301491</v>
      </c>
      <c r="G1861" s="2" t="s">
        <v>15</v>
      </c>
      <c r="H1861">
        <v>0.1557889183141814</v>
      </c>
      <c r="I1861">
        <v>100.12853803896726</v>
      </c>
      <c r="J1861">
        <v>1462.8961767578126</v>
      </c>
      <c r="K1861">
        <v>0.90559504363051913</v>
      </c>
      <c r="L1861">
        <v>0</v>
      </c>
      <c r="M1861" t="str">
        <f>VLOOKUP(fact_daily_prices[[#This Row],[Ticker]], dim_company[], 2, FALSE)</f>
        <v>Reliance Industries</v>
      </c>
      <c r="N1861" t="str">
        <f>VLOOKUP(fact_daily_prices[[#This Row],[Ticker]], dim_company[], 3, FALSE)</f>
        <v>Energy &amp; Conglomerate</v>
      </c>
    </row>
    <row r="1862" spans="1:14" x14ac:dyDescent="0.3">
      <c r="A1862" s="1">
        <v>46000</v>
      </c>
      <c r="B1862">
        <v>1522.3612060546875</v>
      </c>
      <c r="C1862">
        <v>1535.4008911036892</v>
      </c>
      <c r="D1862">
        <v>1513.1039592099478</v>
      </c>
      <c r="E1862">
        <v>1533.211064854301</v>
      </c>
      <c r="F1862">
        <v>11503971</v>
      </c>
      <c r="G1862" s="2" t="s">
        <v>15</v>
      </c>
      <c r="H1862">
        <v>-0.88140420639445383</v>
      </c>
      <c r="I1862">
        <v>99.246000892890535</v>
      </c>
      <c r="J1862">
        <v>1466.0217236328126</v>
      </c>
      <c r="K1862">
        <v>0.84115517853125965</v>
      </c>
      <c r="L1862">
        <v>0</v>
      </c>
      <c r="M1862" t="str">
        <f>VLOOKUP(fact_daily_prices[[#This Row],[Ticker]], dim_company[], 2, FALSE)</f>
        <v>Reliance Industries</v>
      </c>
      <c r="N1862" t="str">
        <f>VLOOKUP(fact_daily_prices[[#This Row],[Ticker]], dim_company[], 3, FALSE)</f>
        <v>Energy &amp; Conglomerate</v>
      </c>
    </row>
    <row r="1863" spans="1:14" x14ac:dyDescent="0.3">
      <c r="A1863" s="1">
        <v>46001</v>
      </c>
      <c r="B1863">
        <v>1529.8267822265625</v>
      </c>
      <c r="C1863">
        <v>1540.3779737710463</v>
      </c>
      <c r="D1863">
        <v>1524.3520947592017</v>
      </c>
      <c r="E1863">
        <v>1526.9401045329791</v>
      </c>
      <c r="F1863">
        <v>7991629</v>
      </c>
      <c r="G1863" s="2" t="s">
        <v>15</v>
      </c>
      <c r="H1863">
        <v>0.49039453594739157</v>
      </c>
      <c r="I1863">
        <v>99.732697858415577</v>
      </c>
      <c r="J1863">
        <v>1469.1930615234376</v>
      </c>
      <c r="K1863">
        <v>0.8440054196067649</v>
      </c>
      <c r="L1863">
        <v>0</v>
      </c>
      <c r="M1863" t="str">
        <f>VLOOKUP(fact_daily_prices[[#This Row],[Ticker]], dim_company[], 2, FALSE)</f>
        <v>Reliance Industries</v>
      </c>
      <c r="N1863" t="str">
        <f>VLOOKUP(fact_daily_prices[[#This Row],[Ticker]], dim_company[], 3, FALSE)</f>
        <v>Energy &amp; Conglomerate</v>
      </c>
    </row>
    <row r="1864" spans="1:14" x14ac:dyDescent="0.3">
      <c r="A1864" s="1">
        <v>46002</v>
      </c>
      <c r="B1864">
        <v>1537.889404296875</v>
      </c>
      <c r="C1864">
        <v>1542.8663926602951</v>
      </c>
      <c r="D1864">
        <v>1516.9860531705101</v>
      </c>
      <c r="E1864">
        <v>1529.8267074498351</v>
      </c>
      <c r="F1864">
        <v>4706197</v>
      </c>
      <c r="G1864" s="2" t="s">
        <v>15</v>
      </c>
      <c r="H1864">
        <v>0.52702842988392451</v>
      </c>
      <c r="I1864">
        <v>100.25831753001965</v>
      </c>
      <c r="J1864">
        <v>1472.6212109375001</v>
      </c>
      <c r="K1864">
        <v>0.82448203511859131</v>
      </c>
      <c r="L1864">
        <v>0</v>
      </c>
      <c r="M1864" t="str">
        <f>VLOOKUP(fact_daily_prices[[#This Row],[Ticker]], dim_company[], 2, FALSE)</f>
        <v>Reliance Industries</v>
      </c>
      <c r="N1864" t="str">
        <f>VLOOKUP(fact_daily_prices[[#This Row],[Ticker]], dim_company[], 3, FALSE)</f>
        <v>Energy &amp; Conglomerate</v>
      </c>
    </row>
    <row r="1865" spans="1:14" x14ac:dyDescent="0.3">
      <c r="A1865" s="1">
        <v>46003</v>
      </c>
      <c r="B1865">
        <v>1549.3365478515625</v>
      </c>
      <c r="C1865">
        <v>1552.6214089239099</v>
      </c>
      <c r="D1865">
        <v>1538.9843872841</v>
      </c>
      <c r="E1865">
        <v>1543.6628294631555</v>
      </c>
      <c r="F1865">
        <v>5106655</v>
      </c>
      <c r="G1865" s="2" t="s">
        <v>15</v>
      </c>
      <c r="H1865">
        <v>0.74434114200305768</v>
      </c>
      <c r="I1865">
        <v>101.00458143567568</v>
      </c>
      <c r="J1865">
        <v>1476.4534936523437</v>
      </c>
      <c r="K1865">
        <v>0.80388182002998843</v>
      </c>
      <c r="L1865">
        <v>0</v>
      </c>
      <c r="M1865" t="str">
        <f>VLOOKUP(fact_daily_prices[[#This Row],[Ticker]], dim_company[], 2, FALSE)</f>
        <v>Reliance Industries</v>
      </c>
      <c r="N1865" t="str">
        <f>VLOOKUP(fact_daily_prices[[#This Row],[Ticker]], dim_company[], 3, FALSE)</f>
        <v>Energy &amp; Conglomerate</v>
      </c>
    </row>
    <row r="1866" spans="1:14" x14ac:dyDescent="0.3">
      <c r="A1866" s="1">
        <v>46006</v>
      </c>
      <c r="B1866">
        <v>1549.037841796875</v>
      </c>
      <c r="C1866">
        <v>1551.4268205626304</v>
      </c>
      <c r="D1866">
        <v>1539.3825327747268</v>
      </c>
      <c r="E1866">
        <v>1544.0608533300961</v>
      </c>
      <c r="F1866">
        <v>5774543</v>
      </c>
      <c r="G1866" s="2" t="s">
        <v>15</v>
      </c>
      <c r="H1866">
        <v>-1.9279610688960336E-2</v>
      </c>
      <c r="I1866">
        <v>100.98510814559687</v>
      </c>
      <c r="J1866">
        <v>1480.1862353515626</v>
      </c>
      <c r="K1866">
        <v>0.80265665941013264</v>
      </c>
      <c r="L1866">
        <v>0</v>
      </c>
      <c r="M1866" t="str">
        <f>VLOOKUP(fact_daily_prices[[#This Row],[Ticker]], dim_company[], 2, FALSE)</f>
        <v>Reliance Industries</v>
      </c>
      <c r="N1866" t="str">
        <f>VLOOKUP(fact_daily_prices[[#This Row],[Ticker]], dim_company[], 3, FALSE)</f>
        <v>Energy &amp; Conglomerate</v>
      </c>
    </row>
    <row r="1867" spans="1:14" x14ac:dyDescent="0.3">
      <c r="A1867" s="1">
        <v>46007</v>
      </c>
      <c r="B1867">
        <v>1535.201904296875</v>
      </c>
      <c r="C1867">
        <v>1544.5585453663573</v>
      </c>
      <c r="D1867">
        <v>1531.7180123854912</v>
      </c>
      <c r="E1867">
        <v>1537.8894294536826</v>
      </c>
      <c r="F1867">
        <v>11731856</v>
      </c>
      <c r="G1867" s="2" t="s">
        <v>15</v>
      </c>
      <c r="H1867">
        <v>-0.89319557771102565</v>
      </c>
      <c r="I1867">
        <v>100.0831136254937</v>
      </c>
      <c r="J1867">
        <v>1483.7477685546876</v>
      </c>
      <c r="K1867">
        <v>0.82401977148502414</v>
      </c>
      <c r="L1867">
        <v>0</v>
      </c>
      <c r="M1867" t="str">
        <f>VLOOKUP(fact_daily_prices[[#This Row],[Ticker]], dim_company[], 2, FALSE)</f>
        <v>Reliance Industries</v>
      </c>
      <c r="N1867" t="str">
        <f>VLOOKUP(fact_daily_prices[[#This Row],[Ticker]], dim_company[], 3, FALSE)</f>
        <v>Energy &amp; Conglomerate</v>
      </c>
    </row>
    <row r="1868" spans="1:14" x14ac:dyDescent="0.3">
      <c r="A1868" s="1">
        <v>46008</v>
      </c>
      <c r="B1868">
        <v>1537.292236328125</v>
      </c>
      <c r="C1868">
        <v>1542.8664391614582</v>
      </c>
      <c r="D1868">
        <v>1532.2157323461342</v>
      </c>
      <c r="E1868">
        <v>1542.8664391614582</v>
      </c>
      <c r="F1868">
        <v>7116649</v>
      </c>
      <c r="G1868" s="2" t="s">
        <v>15</v>
      </c>
      <c r="H1868">
        <v>0.13616007284771303</v>
      </c>
      <c r="I1868">
        <v>100.21938686591443</v>
      </c>
      <c r="J1868">
        <v>1487.1201757812501</v>
      </c>
      <c r="K1868">
        <v>0.80584813778858766</v>
      </c>
      <c r="L1868">
        <v>0</v>
      </c>
      <c r="M1868" t="str">
        <f>VLOOKUP(fact_daily_prices[[#This Row],[Ticker]], dim_company[], 2, FALSE)</f>
        <v>Reliance Industries</v>
      </c>
      <c r="N1868" t="str">
        <f>VLOOKUP(fact_daily_prices[[#This Row],[Ticker]], dim_company[], 3, FALSE)</f>
        <v>Energy &amp; Conglomerate</v>
      </c>
    </row>
    <row r="1869" spans="1:14" x14ac:dyDescent="0.3">
      <c r="A1869" s="1">
        <v>46009</v>
      </c>
      <c r="B1869">
        <v>1537.292236328125</v>
      </c>
      <c r="C1869">
        <v>1544.3595357154854</v>
      </c>
      <c r="D1869">
        <v>1528.1345045583196</v>
      </c>
      <c r="E1869">
        <v>1528.1345045583196</v>
      </c>
      <c r="F1869">
        <v>6580829</v>
      </c>
      <c r="G1869" s="2" t="s">
        <v>15</v>
      </c>
      <c r="H1869">
        <v>0</v>
      </c>
      <c r="I1869">
        <v>100.21938686591443</v>
      </c>
      <c r="J1869">
        <v>1490.2974853515625</v>
      </c>
      <c r="K1869">
        <v>0.76147456037123262</v>
      </c>
      <c r="L1869">
        <v>0</v>
      </c>
      <c r="M1869" t="str">
        <f>VLOOKUP(fact_daily_prices[[#This Row],[Ticker]], dim_company[], 2, FALSE)</f>
        <v>Reliance Industries</v>
      </c>
      <c r="N1869" t="str">
        <f>VLOOKUP(fact_daily_prices[[#This Row],[Ticker]], dim_company[], 3, FALSE)</f>
        <v>Energy &amp; Conglomerate</v>
      </c>
    </row>
    <row r="1870" spans="1:14" x14ac:dyDescent="0.3">
      <c r="A1870" s="1">
        <v>46010</v>
      </c>
      <c r="B1870">
        <v>1557.8968505859375</v>
      </c>
      <c r="C1870">
        <v>1566.9549449740823</v>
      </c>
      <c r="D1870">
        <v>1543.8617679066683</v>
      </c>
      <c r="E1870">
        <v>1547.2461442463334</v>
      </c>
      <c r="F1870">
        <v>13937275</v>
      </c>
      <c r="G1870" s="2" t="s">
        <v>15</v>
      </c>
      <c r="H1870">
        <v>1.3403186310904314</v>
      </c>
      <c r="I1870">
        <v>101.56264598004286</v>
      </c>
      <c r="J1870">
        <v>1494.2332861328125</v>
      </c>
      <c r="K1870">
        <v>0.75147639622773987</v>
      </c>
      <c r="L1870">
        <v>0</v>
      </c>
      <c r="M1870" t="str">
        <f>VLOOKUP(fact_daily_prices[[#This Row],[Ticker]], dim_company[], 2, FALSE)</f>
        <v>Reliance Industries</v>
      </c>
      <c r="N1870" t="str">
        <f>VLOOKUP(fact_daily_prices[[#This Row],[Ticker]], dim_company[], 3, FALSE)</f>
        <v>Energy &amp; Conglomerate</v>
      </c>
    </row>
    <row r="1871" spans="1:14" x14ac:dyDescent="0.3">
      <c r="A1871" s="1">
        <v>46013</v>
      </c>
      <c r="B1871">
        <v>1568.1495361328125</v>
      </c>
      <c r="C1871">
        <v>1570.2398469681211</v>
      </c>
      <c r="D1871">
        <v>1558.0960438231807</v>
      </c>
      <c r="E1871">
        <v>1566.2582562309594</v>
      </c>
      <c r="F1871">
        <v>10184852</v>
      </c>
      <c r="G1871" s="2" t="s">
        <v>15</v>
      </c>
      <c r="H1871">
        <v>0.65811067934433698</v>
      </c>
      <c r="I1871">
        <v>102.2310405994622</v>
      </c>
      <c r="J1871">
        <v>1498.1670971679687</v>
      </c>
      <c r="K1871">
        <v>0.74893556236435599</v>
      </c>
      <c r="L1871">
        <v>0</v>
      </c>
      <c r="M1871" t="str">
        <f>VLOOKUP(fact_daily_prices[[#This Row],[Ticker]], dim_company[], 2, FALSE)</f>
        <v>Reliance Industries</v>
      </c>
      <c r="N1871" t="str">
        <f>VLOOKUP(fact_daily_prices[[#This Row],[Ticker]], dim_company[], 3, FALSE)</f>
        <v>Energy &amp; Conglomerate</v>
      </c>
    </row>
    <row r="1872" spans="1:14" x14ac:dyDescent="0.3">
      <c r="A1872" s="1">
        <v>46014</v>
      </c>
      <c r="B1872">
        <v>1563.4710693359375</v>
      </c>
      <c r="C1872">
        <v>1573.6241984599117</v>
      </c>
      <c r="D1872">
        <v>1560.8830596994949</v>
      </c>
      <c r="E1872">
        <v>1573.6241984599117</v>
      </c>
      <c r="F1872">
        <v>7506564</v>
      </c>
      <c r="G1872" s="2" t="s">
        <v>15</v>
      </c>
      <c r="H1872">
        <v>-0.29834315472314632</v>
      </c>
      <c r="I1872">
        <v>101.92604128783147</v>
      </c>
      <c r="J1872">
        <v>1501.9296997070312</v>
      </c>
      <c r="K1872">
        <v>0.753994252470367</v>
      </c>
      <c r="L1872">
        <v>0</v>
      </c>
      <c r="M1872" t="str">
        <f>VLOOKUP(fact_daily_prices[[#This Row],[Ticker]], dim_company[], 2, FALSE)</f>
        <v>Reliance Industries</v>
      </c>
      <c r="N1872" t="str">
        <f>VLOOKUP(fact_daily_prices[[#This Row],[Ticker]], dim_company[], 3, FALSE)</f>
        <v>Energy &amp; Conglomerate</v>
      </c>
    </row>
    <row r="1873" spans="1:14" x14ac:dyDescent="0.3">
      <c r="A1873" s="1">
        <v>46015</v>
      </c>
      <c r="B1873">
        <v>1551.0286865234375</v>
      </c>
      <c r="C1873">
        <v>1568.4481467112951</v>
      </c>
      <c r="D1873">
        <v>1546.4498812900458</v>
      </c>
      <c r="E1873">
        <v>1565.4619535362338</v>
      </c>
      <c r="F1873">
        <v>8815745</v>
      </c>
      <c r="G1873" s="2" t="s">
        <v>15</v>
      </c>
      <c r="H1873">
        <v>-0.79581791160259208</v>
      </c>
      <c r="I1873">
        <v>101.11489559467543</v>
      </c>
      <c r="J1873">
        <v>1505.5768359374999</v>
      </c>
      <c r="K1873">
        <v>0.74749673436152808</v>
      </c>
      <c r="L1873">
        <v>0</v>
      </c>
      <c r="M1873" t="str">
        <f>VLOOKUP(fact_daily_prices[[#This Row],[Ticker]], dim_company[], 2, FALSE)</f>
        <v>Reliance Industries</v>
      </c>
      <c r="N1873" t="str">
        <f>VLOOKUP(fact_daily_prices[[#This Row],[Ticker]], dim_company[], 3, FALSE)</f>
        <v>Energy &amp; Conglomerate</v>
      </c>
    </row>
    <row r="1874" spans="1:14" x14ac:dyDescent="0.3">
      <c r="A1874" s="1">
        <v>46017</v>
      </c>
      <c r="B1874">
        <v>1552.0240478515625</v>
      </c>
      <c r="C1874">
        <v>1553.8158123179846</v>
      </c>
      <c r="D1874">
        <v>1547.1466963201517</v>
      </c>
      <c r="E1874">
        <v>1547.5447581940157</v>
      </c>
      <c r="F1874">
        <v>2311495</v>
      </c>
      <c r="G1874" s="2" t="s">
        <v>15</v>
      </c>
      <c r="H1874">
        <v>6.417426942348925E-2</v>
      </c>
      <c r="I1874">
        <v>101.17978534020165</v>
      </c>
      <c r="J1874">
        <v>1509.2259619140625</v>
      </c>
      <c r="K1874">
        <v>0.74704784689599646</v>
      </c>
      <c r="L1874">
        <v>0</v>
      </c>
      <c r="M1874" t="str">
        <f>VLOOKUP(fact_daily_prices[[#This Row],[Ticker]], dim_company[], 2, FALSE)</f>
        <v>Reliance Industries</v>
      </c>
      <c r="N1874" t="str">
        <f>VLOOKUP(fact_daily_prices[[#This Row],[Ticker]], dim_company[], 3, FALSE)</f>
        <v>Energy &amp; Conglomerate</v>
      </c>
    </row>
    <row r="1875" spans="1:14" x14ac:dyDescent="0.3">
      <c r="A1875" s="1">
        <v>46020</v>
      </c>
      <c r="B1875">
        <v>1538.4866943359375</v>
      </c>
      <c r="C1875">
        <v>1550.9291658570105</v>
      </c>
      <c r="D1875">
        <v>1536.4958988925659</v>
      </c>
      <c r="E1875">
        <v>1547.7439417510202</v>
      </c>
      <c r="F1875">
        <v>5972105</v>
      </c>
      <c r="G1875" s="2" t="s">
        <v>15</v>
      </c>
      <c r="H1875">
        <v>-0.87223864439243126</v>
      </c>
      <c r="I1875">
        <v>100.29725615215111</v>
      </c>
      <c r="J1875">
        <v>1512.6361938476562</v>
      </c>
      <c r="K1875">
        <v>0.76340942456112559</v>
      </c>
      <c r="L1875">
        <v>0</v>
      </c>
      <c r="M1875" t="str">
        <f>VLOOKUP(fact_daily_prices[[#This Row],[Ticker]], dim_company[], 2, FALSE)</f>
        <v>Reliance Industries</v>
      </c>
      <c r="N1875" t="str">
        <f>VLOOKUP(fact_daily_prices[[#This Row],[Ticker]], dim_company[], 3, FALSE)</f>
        <v>Energy &amp; Conglomerate</v>
      </c>
    </row>
    <row r="1876" spans="1:14" x14ac:dyDescent="0.3">
      <c r="A1876" s="1">
        <v>46021</v>
      </c>
      <c r="B1876">
        <v>1532.71337890625</v>
      </c>
      <c r="C1876">
        <v>1546.4497938295531</v>
      </c>
      <c r="D1876">
        <v>1530.7225835687998</v>
      </c>
      <c r="E1876">
        <v>1539.8801935176689</v>
      </c>
      <c r="F1876">
        <v>8815884</v>
      </c>
      <c r="G1876" s="2" t="s">
        <v>15</v>
      </c>
      <c r="H1876">
        <v>-0.37525936694431383</v>
      </c>
      <c r="I1876">
        <v>99.920881303652024</v>
      </c>
      <c r="J1876">
        <v>1515.4531689453124</v>
      </c>
      <c r="K1876">
        <v>0.76738306693611091</v>
      </c>
      <c r="L1876">
        <v>0</v>
      </c>
      <c r="M1876" t="str">
        <f>VLOOKUP(fact_daily_prices[[#This Row],[Ticker]], dim_company[], 2, FALSE)</f>
        <v>Reliance Industries</v>
      </c>
      <c r="N1876" t="str">
        <f>VLOOKUP(fact_daily_prices[[#This Row],[Ticker]], dim_company[], 3, FALSE)</f>
        <v>Energy &amp; Conglomerate</v>
      </c>
    </row>
    <row r="1877" spans="1:14" x14ac:dyDescent="0.3">
      <c r="A1877" s="1">
        <v>46022</v>
      </c>
      <c r="B1877">
        <v>1563.172607421875</v>
      </c>
      <c r="C1877">
        <v>1569.7422080874378</v>
      </c>
      <c r="D1877">
        <v>1533.9078900841737</v>
      </c>
      <c r="E1877">
        <v>1533.9078900841737</v>
      </c>
      <c r="F1877">
        <v>5771830</v>
      </c>
      <c r="G1877" s="2" t="s">
        <v>15</v>
      </c>
      <c r="H1877">
        <v>1.9872749161595316</v>
      </c>
      <c r="I1877">
        <v>101.90658391380502</v>
      </c>
      <c r="J1877">
        <v>1518.5110302734374</v>
      </c>
      <c r="K1877">
        <v>0.845042968355042</v>
      </c>
      <c r="L1877">
        <v>0</v>
      </c>
      <c r="M1877" t="str">
        <f>VLOOKUP(fact_daily_prices[[#This Row],[Ticker]], dim_company[], 2, FALSE)</f>
        <v>Reliance Industries</v>
      </c>
      <c r="N1877" t="str">
        <f>VLOOKUP(fact_daily_prices[[#This Row],[Ticker]], dim_company[], 3, FALSE)</f>
        <v>Energy &amp; Conglomerate</v>
      </c>
    </row>
    <row r="1878" spans="1:14" x14ac:dyDescent="0.3">
      <c r="A1878" s="1">
        <v>46023</v>
      </c>
      <c r="B1878">
        <v>1568.3485107421875</v>
      </c>
      <c r="C1878">
        <v>1585.1707553042595</v>
      </c>
      <c r="D1878">
        <v>1563.8692213237453</v>
      </c>
      <c r="E1878">
        <v>1566.457230908256</v>
      </c>
      <c r="F1878">
        <v>6408128</v>
      </c>
      <c r="G1878" s="2" t="s">
        <v>15</v>
      </c>
      <c r="H1878">
        <v>0.33111527772029525</v>
      </c>
      <c r="I1878">
        <v>102.24401218214649</v>
      </c>
      <c r="J1878">
        <v>1520.6770141601562</v>
      </c>
      <c r="K1878">
        <v>0.84548098323783971</v>
      </c>
      <c r="L1878">
        <v>0</v>
      </c>
      <c r="M1878" t="str">
        <f>VLOOKUP(fact_daily_prices[[#This Row],[Ticker]], dim_company[], 2, FALSE)</f>
        <v>Reliance Industries</v>
      </c>
      <c r="N1878" t="str">
        <f>VLOOKUP(fact_daily_prices[[#This Row],[Ticker]], dim_company[], 3, FALSE)</f>
        <v>Energy &amp; Conglomerate</v>
      </c>
    </row>
    <row r="1879" spans="1:14" x14ac:dyDescent="0.3">
      <c r="A1879" s="1">
        <v>46024</v>
      </c>
      <c r="B1879">
        <v>1584.9718017578125</v>
      </c>
      <c r="C1879">
        <v>1587.2611435561273</v>
      </c>
      <c r="D1879">
        <v>1570.9365970213464</v>
      </c>
      <c r="E1879">
        <v>1572.7283614795997</v>
      </c>
      <c r="F1879">
        <v>6602230</v>
      </c>
      <c r="G1879" s="2" t="s">
        <v>15</v>
      </c>
      <c r="H1879">
        <v>1.0599232824698213</v>
      </c>
      <c r="I1879">
        <v>103.32772027219632</v>
      </c>
      <c r="J1879">
        <v>1523.2073168945312</v>
      </c>
      <c r="K1879">
        <v>0.79013510931104802</v>
      </c>
      <c r="L1879">
        <v>0</v>
      </c>
      <c r="M1879" t="str">
        <f>VLOOKUP(fact_daily_prices[[#This Row],[Ticker]], dim_company[], 2, FALSE)</f>
        <v>Reliance Industries</v>
      </c>
      <c r="N1879" t="str">
        <f>VLOOKUP(fact_daily_prices[[#This Row],[Ticker]], dim_company[], 3, FALSE)</f>
        <v>Energy &amp; Conglomerate</v>
      </c>
    </row>
    <row r="1880" spans="1:14" x14ac:dyDescent="0.3">
      <c r="A1880" s="1">
        <v>46027</v>
      </c>
      <c r="B1880">
        <v>1570.8370361328125</v>
      </c>
      <c r="C1880">
        <v>1604.3820104615531</v>
      </c>
      <c r="D1880">
        <v>1568.049995566515</v>
      </c>
      <c r="E1880">
        <v>1585.6684856930358</v>
      </c>
      <c r="F1880">
        <v>8704973</v>
      </c>
      <c r="G1880" s="2" t="s">
        <v>15</v>
      </c>
      <c r="H1880">
        <v>-0.8917991859113128</v>
      </c>
      <c r="I1880">
        <v>102.40624450398816</v>
      </c>
      <c r="J1880">
        <v>1525.7893774414063</v>
      </c>
      <c r="K1880">
        <v>0.80931971342194908</v>
      </c>
      <c r="L1880">
        <v>0</v>
      </c>
      <c r="M1880" t="str">
        <f>VLOOKUP(fact_daily_prices[[#This Row],[Ticker]], dim_company[], 2, FALSE)</f>
        <v>Reliance Industries</v>
      </c>
      <c r="N1880" t="str">
        <f>VLOOKUP(fact_daily_prices[[#This Row],[Ticker]], dim_company[], 3, FALSE)</f>
        <v>Energy &amp; Conglomerate</v>
      </c>
    </row>
    <row r="1881" spans="1:14" x14ac:dyDescent="0.3">
      <c r="A1881" s="1">
        <v>46028</v>
      </c>
      <c r="B1881">
        <v>1500.6614990234375</v>
      </c>
      <c r="C1881">
        <v>1561.77894010158</v>
      </c>
      <c r="D1881">
        <v>1489.4135782872731</v>
      </c>
      <c r="E1881">
        <v>1561.77894010158</v>
      </c>
      <c r="F1881">
        <v>27417125</v>
      </c>
      <c r="G1881" s="2" t="s">
        <v>15</v>
      </c>
      <c r="H1881">
        <v>-4.4673976673059386</v>
      </c>
      <c r="I1881">
        <v>97.831350325841385</v>
      </c>
      <c r="J1881">
        <v>1526.9042211914064</v>
      </c>
      <c r="K1881">
        <v>1.1526621023813182</v>
      </c>
      <c r="L1881">
        <v>1</v>
      </c>
      <c r="M1881" t="str">
        <f>VLOOKUP(fact_daily_prices[[#This Row],[Ticker]], dim_company[], 2, FALSE)</f>
        <v>Reliance Industries</v>
      </c>
      <c r="N1881" t="str">
        <f>VLOOKUP(fact_daily_prices[[#This Row],[Ticker]], dim_company[], 3, FALSE)</f>
        <v>Energy &amp; Conglomerate</v>
      </c>
    </row>
    <row r="1882" spans="1:14" x14ac:dyDescent="0.3">
      <c r="A1882" s="1">
        <v>46029</v>
      </c>
      <c r="B1882">
        <v>1497.277099609375</v>
      </c>
      <c r="C1882">
        <v>1513.0044311151571</v>
      </c>
      <c r="D1882">
        <v>1491.1056827700695</v>
      </c>
      <c r="E1882">
        <v>1503.0504545946628</v>
      </c>
      <c r="F1882">
        <v>11199340</v>
      </c>
      <c r="G1882" s="2" t="s">
        <v>15</v>
      </c>
      <c r="H1882">
        <v>-0.22552717026890212</v>
      </c>
      <c r="I1882">
        <v>97.610714049815655</v>
      </c>
      <c r="J1882">
        <v>1527.3043701171875</v>
      </c>
      <c r="K1882">
        <v>1.1516105289423757</v>
      </c>
      <c r="L1882">
        <v>0</v>
      </c>
      <c r="M1882" t="str">
        <f>VLOOKUP(fact_daily_prices[[#This Row],[Ticker]], dim_company[], 2, FALSE)</f>
        <v>Reliance Industries</v>
      </c>
      <c r="N1882" t="str">
        <f>VLOOKUP(fact_daily_prices[[#This Row],[Ticker]], dim_company[], 3, FALSE)</f>
        <v>Energy &amp; Conglomerate</v>
      </c>
    </row>
    <row r="1883" spans="1:14" x14ac:dyDescent="0.3">
      <c r="A1883" s="1">
        <v>46030</v>
      </c>
      <c r="B1883">
        <v>1463.831787109375</v>
      </c>
      <c r="C1883">
        <v>1496.9785780764305</v>
      </c>
      <c r="D1883">
        <v>1462.0401442110369</v>
      </c>
      <c r="E1883">
        <v>1493.0965028672745</v>
      </c>
      <c r="F1883">
        <v>16518684</v>
      </c>
      <c r="G1883" s="2" t="s">
        <v>15</v>
      </c>
      <c r="H1883">
        <v>-2.2337423385908717</v>
      </c>
      <c r="I1883">
        <v>95.430342203084052</v>
      </c>
      <c r="J1883">
        <v>1526.9798681640625</v>
      </c>
      <c r="K1883">
        <v>1.1509832497341574</v>
      </c>
      <c r="L1883">
        <v>0</v>
      </c>
      <c r="M1883" t="str">
        <f>VLOOKUP(fact_daily_prices[[#This Row],[Ticker]], dim_company[], 2, FALSE)</f>
        <v>Reliance Industries</v>
      </c>
      <c r="N1883" t="str">
        <f>VLOOKUP(fact_daily_prices[[#This Row],[Ticker]], dim_company[], 3, FALSE)</f>
        <v>Energy &amp; Conglomerate</v>
      </c>
    </row>
    <row r="1884" spans="1:14" x14ac:dyDescent="0.3">
      <c r="A1884" s="1">
        <v>46031</v>
      </c>
      <c r="B1884">
        <v>1468.51025390625</v>
      </c>
      <c r="C1884">
        <v>1473.0890589574892</v>
      </c>
      <c r="D1884">
        <v>1458.2576091430024</v>
      </c>
      <c r="E1884">
        <v>1458.2576091430024</v>
      </c>
      <c r="F1884">
        <v>8335311</v>
      </c>
      <c r="G1884" s="2" t="s">
        <v>15</v>
      </c>
      <c r="H1884">
        <v>0.31960412651739212</v>
      </c>
      <c r="I1884">
        <v>95.73534151471479</v>
      </c>
      <c r="J1884">
        <v>1526.40453125</v>
      </c>
      <c r="K1884">
        <v>1.1543111128442152</v>
      </c>
      <c r="L1884">
        <v>0</v>
      </c>
      <c r="M1884" t="str">
        <f>VLOOKUP(fact_daily_prices[[#This Row],[Ticker]], dim_company[], 2, FALSE)</f>
        <v>Reliance Industries</v>
      </c>
      <c r="N1884" t="str">
        <f>VLOOKUP(fact_daily_prices[[#This Row],[Ticker]], dim_company[], 3, FALSE)</f>
        <v>Energy &amp; Conglomerate</v>
      </c>
    </row>
    <row r="1885" spans="1:14" x14ac:dyDescent="0.3">
      <c r="A1885" s="1">
        <v>46034</v>
      </c>
      <c r="B1885">
        <v>1476.373779296875</v>
      </c>
      <c r="C1885">
        <v>1478.4642116159971</v>
      </c>
      <c r="D1885">
        <v>1444.322022844729</v>
      </c>
      <c r="E1885">
        <v>1468.5102348906721</v>
      </c>
      <c r="F1885">
        <v>11513110</v>
      </c>
      <c r="G1885" s="2" t="s">
        <v>15</v>
      </c>
      <c r="H1885">
        <v>0.53547636931428055</v>
      </c>
      <c r="I1885">
        <v>96.247981645608405</v>
      </c>
      <c r="J1885">
        <v>1526.2990185546876</v>
      </c>
      <c r="K1885">
        <v>1.1590429639461561</v>
      </c>
      <c r="L1885">
        <v>0</v>
      </c>
      <c r="M1885" t="str">
        <f>VLOOKUP(fact_daily_prices[[#This Row],[Ticker]], dim_company[], 2, FALSE)</f>
        <v>Reliance Industries</v>
      </c>
      <c r="N1885" t="str">
        <f>VLOOKUP(fact_daily_prices[[#This Row],[Ticker]], dim_company[], 3, FALSE)</f>
        <v>Energy &amp; Conglomerate</v>
      </c>
    </row>
    <row r="1886" spans="1:14" x14ac:dyDescent="0.3">
      <c r="A1886" s="1">
        <v>46035</v>
      </c>
      <c r="B1886">
        <v>1446.11376953125</v>
      </c>
      <c r="C1886">
        <v>1478.9618923221497</v>
      </c>
      <c r="D1886">
        <v>1438.0509512757719</v>
      </c>
      <c r="E1886">
        <v>1478.1655255904841</v>
      </c>
      <c r="F1886">
        <v>13499760</v>
      </c>
      <c r="G1886" s="2" t="s">
        <v>15</v>
      </c>
      <c r="H1886">
        <v>-2.0496171220296455</v>
      </c>
      <c r="I1886">
        <v>94.275266534192056</v>
      </c>
      <c r="J1886">
        <v>1525.6301098632812</v>
      </c>
      <c r="K1886">
        <v>1.2081184278233772</v>
      </c>
      <c r="L1886">
        <v>0</v>
      </c>
      <c r="M1886" t="str">
        <f>VLOOKUP(fact_daily_prices[[#This Row],[Ticker]], dim_company[], 2, FALSE)</f>
        <v>Reliance Industries</v>
      </c>
      <c r="N1886" t="str">
        <f>VLOOKUP(fact_daily_prices[[#This Row],[Ticker]], dim_company[], 3, FALSE)</f>
        <v>Energy &amp; Conglomerate</v>
      </c>
    </row>
    <row r="1887" spans="1:14" x14ac:dyDescent="0.3">
      <c r="A1887" s="1">
        <v>46036</v>
      </c>
      <c r="B1887">
        <v>1452.086181640625</v>
      </c>
      <c r="C1887">
        <v>1460.2483939989072</v>
      </c>
      <c r="D1887">
        <v>1433.5716876182923</v>
      </c>
      <c r="E1887">
        <v>1437.3542473990606</v>
      </c>
      <c r="F1887">
        <v>8321764</v>
      </c>
      <c r="G1887" s="2" t="s">
        <v>15</v>
      </c>
      <c r="H1887">
        <v>0.41299738894755578</v>
      </c>
      <c r="I1887">
        <v>94.664620923401614</v>
      </c>
      <c r="J1887">
        <v>1525.1144946289062</v>
      </c>
      <c r="K1887">
        <v>1.1979866791676077</v>
      </c>
      <c r="L1887">
        <v>0</v>
      </c>
      <c r="M1887" t="str">
        <f>VLOOKUP(fact_daily_prices[[#This Row],[Ticker]], dim_company[], 2, FALSE)</f>
        <v>Reliance Industries</v>
      </c>
      <c r="N1887" t="str">
        <f>VLOOKUP(fact_daily_prices[[#This Row],[Ticker]], dim_company[], 3, FALSE)</f>
        <v>Energy &amp; Conglomerate</v>
      </c>
    </row>
    <row r="1888" spans="1:14" x14ac:dyDescent="0.3">
      <c r="A1888" s="1">
        <v>46037</v>
      </c>
      <c r="B1888">
        <v>1452.086181640625</v>
      </c>
      <c r="C1888">
        <v>1452.086181640625</v>
      </c>
      <c r="D1888">
        <v>1452.086181640625</v>
      </c>
      <c r="E1888">
        <v>1452.086181640625</v>
      </c>
      <c r="F1888">
        <v>0</v>
      </c>
      <c r="G1888" s="2" t="s">
        <v>15</v>
      </c>
      <c r="H1888">
        <v>0</v>
      </c>
      <c r="I1888">
        <v>94.664620923401614</v>
      </c>
      <c r="J1888">
        <v>1524.8298120117188</v>
      </c>
      <c r="K1888">
        <v>1.1970976763398176</v>
      </c>
      <c r="L1888">
        <v>0</v>
      </c>
      <c r="M1888" t="str">
        <f>VLOOKUP(fact_daily_prices[[#This Row],[Ticker]], dim_company[], 2, FALSE)</f>
        <v>Reliance Industries</v>
      </c>
      <c r="N1888" t="str">
        <f>VLOOKUP(fact_daily_prices[[#This Row],[Ticker]], dim_company[], 3, FALSE)</f>
        <v>Energy &amp; Conglomerate</v>
      </c>
    </row>
    <row r="1889" spans="1:14" x14ac:dyDescent="0.3">
      <c r="A1889" s="1">
        <v>46038</v>
      </c>
      <c r="B1889">
        <v>1451.1903076171875</v>
      </c>
      <c r="C1889">
        <v>1473.1885721290346</v>
      </c>
      <c r="D1889">
        <v>1448.4031454989463</v>
      </c>
      <c r="E1889">
        <v>1452.0861898343726</v>
      </c>
      <c r="F1889">
        <v>17167161</v>
      </c>
      <c r="G1889" s="2" t="s">
        <v>15</v>
      </c>
      <c r="H1889">
        <v>-6.1695651040860611E-2</v>
      </c>
      <c r="I1889">
        <v>94.606216969217556</v>
      </c>
      <c r="J1889">
        <v>1524.0693286132812</v>
      </c>
      <c r="K1889">
        <v>1.1972388567621153</v>
      </c>
      <c r="L1889">
        <v>0</v>
      </c>
      <c r="M1889" t="str">
        <f>VLOOKUP(fact_daily_prices[[#This Row],[Ticker]], dim_company[], 2, FALSE)</f>
        <v>Reliance Industries</v>
      </c>
      <c r="N1889" t="str">
        <f>VLOOKUP(fact_daily_prices[[#This Row],[Ticker]], dim_company[], 3, FALSE)</f>
        <v>Energy &amp; Conglomerate</v>
      </c>
    </row>
    <row r="1890" spans="1:14" x14ac:dyDescent="0.3">
      <c r="A1890" s="1">
        <v>46041</v>
      </c>
      <c r="B1890">
        <v>1407.0941162109375</v>
      </c>
      <c r="C1890">
        <v>1443.9238298491432</v>
      </c>
      <c r="D1890">
        <v>1396.8415931572963</v>
      </c>
      <c r="E1890">
        <v>1443.9238298491432</v>
      </c>
      <c r="F1890">
        <v>20392765</v>
      </c>
      <c r="G1890" s="2" t="s">
        <v>15</v>
      </c>
      <c r="H1890">
        <v>-3.0386222382269512</v>
      </c>
      <c r="I1890">
        <v>91.731491421645671</v>
      </c>
      <c r="J1890">
        <v>1522.7872558593749</v>
      </c>
      <c r="K1890">
        <v>1.3025404372076759</v>
      </c>
      <c r="L1890">
        <v>1</v>
      </c>
      <c r="M1890" t="str">
        <f>VLOOKUP(fact_daily_prices[[#This Row],[Ticker]], dim_company[], 2, FALSE)</f>
        <v>Reliance Industries</v>
      </c>
      <c r="N1890" t="str">
        <f>VLOOKUP(fact_daily_prices[[#This Row],[Ticker]], dim_company[], 3, FALSE)</f>
        <v>Energy &amp; Conglomerate</v>
      </c>
    </row>
    <row r="1891" spans="1:14" x14ac:dyDescent="0.3">
      <c r="A1891" s="1">
        <v>46042</v>
      </c>
      <c r="B1891">
        <v>1387.5843505859375</v>
      </c>
      <c r="C1891">
        <v>1409.4830993039366</v>
      </c>
      <c r="D1891">
        <v>1383.6027599099375</v>
      </c>
      <c r="E1891">
        <v>1404.207443054835</v>
      </c>
      <c r="F1891">
        <v>13189498</v>
      </c>
      <c r="G1891" s="2" t="s">
        <v>15</v>
      </c>
      <c r="H1891">
        <v>-1.3865288327362557</v>
      </c>
      <c r="I1891">
        <v>90.459607844385573</v>
      </c>
      <c r="J1891">
        <v>1520.8900268554687</v>
      </c>
      <c r="K1891">
        <v>1.3152026374580357</v>
      </c>
      <c r="L1891">
        <v>0</v>
      </c>
      <c r="M1891" t="str">
        <f>VLOOKUP(fact_daily_prices[[#This Row],[Ticker]], dim_company[], 2, FALSE)</f>
        <v>Reliance Industries</v>
      </c>
      <c r="N1891" t="str">
        <f>VLOOKUP(fact_daily_prices[[#This Row],[Ticker]], dim_company[], 3, FALSE)</f>
        <v>Energy &amp; Conglomerate</v>
      </c>
    </row>
    <row r="1892" spans="1:14" x14ac:dyDescent="0.3">
      <c r="A1892" s="1">
        <v>46043</v>
      </c>
      <c r="B1892">
        <v>1398.1356201171875</v>
      </c>
      <c r="C1892">
        <v>1406.3974698374061</v>
      </c>
      <c r="D1892">
        <v>1366.681076311502</v>
      </c>
      <c r="E1892">
        <v>1383.1051387726379</v>
      </c>
      <c r="F1892">
        <v>17352720</v>
      </c>
      <c r="G1892" s="2" t="s">
        <v>15</v>
      </c>
      <c r="H1892">
        <v>0.76040563060504329</v>
      </c>
      <c r="I1892">
        <v>91.147467795857523</v>
      </c>
      <c r="J1892">
        <v>1519.1221997070313</v>
      </c>
      <c r="K1892">
        <v>1.3255612644109624</v>
      </c>
      <c r="L1892">
        <v>0</v>
      </c>
      <c r="M1892" t="str">
        <f>VLOOKUP(fact_daily_prices[[#This Row],[Ticker]], dim_company[], 2, FALSE)</f>
        <v>Reliance Industries</v>
      </c>
      <c r="N1892" t="str">
        <f>VLOOKUP(fact_daily_prices[[#This Row],[Ticker]], dim_company[], 3, FALSE)</f>
        <v>Energy &amp; Conglomerate</v>
      </c>
    </row>
    <row r="1893" spans="1:14" x14ac:dyDescent="0.3">
      <c r="A1893" s="1">
        <v>46044</v>
      </c>
      <c r="B1893">
        <v>1396.0452880859375</v>
      </c>
      <c r="C1893">
        <v>1412.9670491536458</v>
      </c>
      <c r="D1893">
        <v>1388.5798052619484</v>
      </c>
      <c r="E1893">
        <v>1403.6102863792109</v>
      </c>
      <c r="F1893">
        <v>15721693</v>
      </c>
      <c r="G1893" s="2" t="s">
        <v>15</v>
      </c>
      <c r="H1893">
        <v>-0.14950853130218933</v>
      </c>
      <c r="I1893">
        <v>91.011194555436802</v>
      </c>
      <c r="J1893">
        <v>1516.9522338867187</v>
      </c>
      <c r="K1893">
        <v>1.3179515166366917</v>
      </c>
      <c r="L1893">
        <v>0</v>
      </c>
      <c r="M1893" t="str">
        <f>VLOOKUP(fact_daily_prices[[#This Row],[Ticker]], dim_company[], 2, FALSE)</f>
        <v>Reliance Industries</v>
      </c>
      <c r="N1893" t="str">
        <f>VLOOKUP(fact_daily_prices[[#This Row],[Ticker]], dim_company[], 3, FALSE)</f>
        <v>Energy &amp; Conglomerate</v>
      </c>
    </row>
    <row r="1894" spans="1:14" x14ac:dyDescent="0.3">
      <c r="A1894" s="1">
        <v>46045</v>
      </c>
      <c r="B1894">
        <v>1379.720703125</v>
      </c>
      <c r="C1894">
        <v>1400.5245389866304</v>
      </c>
      <c r="D1894">
        <v>1374.6441992470054</v>
      </c>
      <c r="E1894">
        <v>1395.3485196421079</v>
      </c>
      <c r="F1894">
        <v>9837802</v>
      </c>
      <c r="G1894" s="2" t="s">
        <v>15</v>
      </c>
      <c r="H1894">
        <v>-1.1693449417618407</v>
      </c>
      <c r="I1894">
        <v>89.94695975546577</v>
      </c>
      <c r="J1894">
        <v>1514.4677197265626</v>
      </c>
      <c r="K1894">
        <v>1.3178108395682226</v>
      </c>
      <c r="L1894">
        <v>0</v>
      </c>
      <c r="M1894" t="str">
        <f>VLOOKUP(fact_daily_prices[[#This Row],[Ticker]], dim_company[], 2, FALSE)</f>
        <v>Reliance Industries</v>
      </c>
      <c r="N1894" t="str">
        <f>VLOOKUP(fact_daily_prices[[#This Row],[Ticker]], dim_company[], 3, FALSE)</f>
        <v>Energy &amp; Conglomerate</v>
      </c>
    </row>
    <row r="1895" spans="1:14" x14ac:dyDescent="0.3">
      <c r="A1895" s="1">
        <v>46049</v>
      </c>
      <c r="B1895">
        <v>1374.146484375</v>
      </c>
      <c r="C1895">
        <v>1385.1953742178571</v>
      </c>
      <c r="D1895">
        <v>1361.7040134914885</v>
      </c>
      <c r="E1895">
        <v>1373.6487855396597</v>
      </c>
      <c r="F1895">
        <v>26302396</v>
      </c>
      <c r="G1895" s="2" t="s">
        <v>15</v>
      </c>
      <c r="H1895">
        <v>-0.40401066225755899</v>
      </c>
      <c r="I1895">
        <v>89.583564447677162</v>
      </c>
      <c r="J1895">
        <v>1511.7124584960939</v>
      </c>
      <c r="K1895">
        <v>1.3014255015375997</v>
      </c>
      <c r="L1895">
        <v>1</v>
      </c>
      <c r="M1895" t="str">
        <f>VLOOKUP(fact_daily_prices[[#This Row],[Ticker]], dim_company[], 2, FALSE)</f>
        <v>Reliance Industries</v>
      </c>
      <c r="N1895" t="str">
        <f>VLOOKUP(fact_daily_prices[[#This Row],[Ticker]], dim_company[], 3, FALSE)</f>
        <v>Energy &amp; Conglomerate</v>
      </c>
    </row>
    <row r="1896" spans="1:14" x14ac:dyDescent="0.3">
      <c r="A1896" s="1">
        <v>46050</v>
      </c>
      <c r="B1896">
        <v>1390.2718505859375</v>
      </c>
      <c r="C1896">
        <v>1403.4111724845943</v>
      </c>
      <c r="D1896">
        <v>1378.526231208921</v>
      </c>
      <c r="E1896">
        <v>1378.6257466723232</v>
      </c>
      <c r="F1896">
        <v>11121657</v>
      </c>
      <c r="G1896" s="2" t="s">
        <v>15</v>
      </c>
      <c r="H1896">
        <v>1.1734823320726173</v>
      </c>
      <c r="I1896">
        <v>90.634811748911531</v>
      </c>
      <c r="J1896">
        <v>1509.2916479492187</v>
      </c>
      <c r="K1896">
        <v>1.3310516862546322</v>
      </c>
      <c r="L1896">
        <v>0</v>
      </c>
      <c r="M1896" t="str">
        <f>VLOOKUP(fact_daily_prices[[#This Row],[Ticker]], dim_company[], 2, FALSE)</f>
        <v>Reliance Industries</v>
      </c>
      <c r="N1896" t="str">
        <f>VLOOKUP(fact_daily_prices[[#This Row],[Ticker]], dim_company[], 3, FALSE)</f>
        <v>Energy &amp; Conglomerate</v>
      </c>
    </row>
    <row r="1897" spans="1:14" x14ac:dyDescent="0.3">
      <c r="A1897" s="1">
        <v>46051</v>
      </c>
      <c r="B1897">
        <v>1384.59814453125</v>
      </c>
      <c r="C1897">
        <v>1396.4434009824272</v>
      </c>
      <c r="D1897">
        <v>1377.6303609139109</v>
      </c>
      <c r="E1897">
        <v>1396.4434009824272</v>
      </c>
      <c r="F1897">
        <v>20846683</v>
      </c>
      <c r="G1897" s="2" t="s">
        <v>15</v>
      </c>
      <c r="H1897">
        <v>-0.40810047706111297</v>
      </c>
      <c r="I1897">
        <v>90.264930649780794</v>
      </c>
      <c r="J1897">
        <v>1506.7354663085937</v>
      </c>
      <c r="K1897">
        <v>1.3271802658256151</v>
      </c>
      <c r="L1897">
        <v>0</v>
      </c>
      <c r="M1897" t="str">
        <f>VLOOKUP(fact_daily_prices[[#This Row],[Ticker]], dim_company[], 2, FALSE)</f>
        <v>Reliance Industries</v>
      </c>
      <c r="N1897" t="str">
        <f>VLOOKUP(fact_daily_prices[[#This Row],[Ticker]], dim_company[], 3, FALSE)</f>
        <v>Energy &amp; Conglomerate</v>
      </c>
    </row>
    <row r="1898" spans="1:14" x14ac:dyDescent="0.3">
      <c r="A1898" s="1">
        <v>46052</v>
      </c>
      <c r="B1898">
        <v>1388.9779052734375</v>
      </c>
      <c r="C1898">
        <v>1391.5659148620384</v>
      </c>
      <c r="D1898">
        <v>1372.1556606847782</v>
      </c>
      <c r="E1898">
        <v>1376.236766748553</v>
      </c>
      <c r="F1898">
        <v>11239835</v>
      </c>
      <c r="G1898" s="2" t="s">
        <v>15</v>
      </c>
      <c r="H1898">
        <v>0.31631999215702145</v>
      </c>
      <c r="I1898">
        <v>90.550456671332725</v>
      </c>
      <c r="J1898">
        <v>1504.2768334960938</v>
      </c>
      <c r="K1898">
        <v>1.3297905253126194</v>
      </c>
      <c r="L1898">
        <v>0</v>
      </c>
      <c r="M1898" t="str">
        <f>VLOOKUP(fact_daily_prices[[#This Row],[Ticker]], dim_company[], 2, FALSE)</f>
        <v>Reliance Industries</v>
      </c>
      <c r="N1898" t="str">
        <f>VLOOKUP(fact_daily_prices[[#This Row],[Ticker]], dim_company[], 3, FALSE)</f>
        <v>Energy &amp; Conglomerate</v>
      </c>
    </row>
    <row r="1899" spans="1:14" x14ac:dyDescent="0.3">
      <c r="A1899" s="1">
        <v>46055</v>
      </c>
      <c r="B1899">
        <v>1384.0009765625</v>
      </c>
      <c r="C1899">
        <v>1386.4894707948447</v>
      </c>
      <c r="D1899">
        <v>1329.3536189185099</v>
      </c>
      <c r="E1899">
        <v>1333.8329085367304</v>
      </c>
      <c r="F1899">
        <v>15711165</v>
      </c>
      <c r="G1899" s="2" t="s">
        <v>15</v>
      </c>
      <c r="H1899">
        <v>-0.35831590207748842</v>
      </c>
      <c r="I1899">
        <v>90.225999985675557</v>
      </c>
      <c r="J1899">
        <v>1501.11744140625</v>
      </c>
      <c r="K1899">
        <v>1.3283425053219378</v>
      </c>
      <c r="L1899">
        <v>0</v>
      </c>
      <c r="M1899" t="str">
        <f>VLOOKUP(fact_daily_prices[[#This Row],[Ticker]], dim_company[], 2, FALSE)</f>
        <v>Reliance Industries</v>
      </c>
      <c r="N1899" t="str">
        <f>VLOOKUP(fact_daily_prices[[#This Row],[Ticker]], dim_company[], 3, FALSE)</f>
        <v>Energy &amp; Conglomerate</v>
      </c>
    </row>
    <row r="1900" spans="1:14" x14ac:dyDescent="0.3">
      <c r="A1900" s="1">
        <v>46056</v>
      </c>
      <c r="B1900">
        <v>1430.4859619140625</v>
      </c>
      <c r="C1900">
        <v>1482.6448239290096</v>
      </c>
      <c r="D1900">
        <v>1423.6176937150069</v>
      </c>
      <c r="E1900">
        <v>1467.1166446366906</v>
      </c>
      <c r="F1900">
        <v>25456171</v>
      </c>
      <c r="G1900" s="2" t="s">
        <v>15</v>
      </c>
      <c r="H1900">
        <v>3.3587393461975035</v>
      </c>
      <c r="I1900">
        <v>93.256456147694593</v>
      </c>
      <c r="J1900">
        <v>1498.93751953125</v>
      </c>
      <c r="K1900">
        <v>1.4609315660150972</v>
      </c>
      <c r="L1900">
        <v>1</v>
      </c>
      <c r="M1900" t="str">
        <f>VLOOKUP(fact_daily_prices[[#This Row],[Ticker]], dim_company[], 2, FALSE)</f>
        <v>Reliance Industries</v>
      </c>
      <c r="N1900" t="str">
        <f>VLOOKUP(fact_daily_prices[[#This Row],[Ticker]], dim_company[], 3, FALSE)</f>
        <v>Energy &amp; Conglomerate</v>
      </c>
    </row>
    <row r="1901" spans="1:14" x14ac:dyDescent="0.3">
      <c r="A1901" s="1">
        <v>46057</v>
      </c>
      <c r="B1901">
        <v>1450.095458984375</v>
      </c>
      <c r="C1901">
        <v>1457.2622740237098</v>
      </c>
      <c r="D1901">
        <v>1433.6713964697635</v>
      </c>
      <c r="E1901">
        <v>1437.3543194605445</v>
      </c>
      <c r="F1901">
        <v>8333387</v>
      </c>
      <c r="G1901" s="2" t="s">
        <v>15</v>
      </c>
      <c r="H1901">
        <v>1.3708276482541581</v>
      </c>
      <c r="I1901">
        <v>94.534841432349211</v>
      </c>
      <c r="J1901">
        <v>1497.362802734375</v>
      </c>
      <c r="K1901">
        <v>1.4822448863708604</v>
      </c>
      <c r="L1901">
        <v>0</v>
      </c>
      <c r="M1901" t="str">
        <f>VLOOKUP(fact_daily_prices[[#This Row],[Ticker]], dim_company[], 2, FALSE)</f>
        <v>Reliance Industries</v>
      </c>
      <c r="N1901" t="str">
        <f>VLOOKUP(fact_daily_prices[[#This Row],[Ticker]], dim_company[], 3, FALSE)</f>
        <v>Energy &amp; Conglomerate</v>
      </c>
    </row>
    <row r="1902" spans="1:14" x14ac:dyDescent="0.3">
      <c r="A1902" s="1">
        <v>46058</v>
      </c>
      <c r="B1902">
        <v>1436.757080078125</v>
      </c>
      <c r="C1902">
        <v>1454.7737543419996</v>
      </c>
      <c r="D1902">
        <v>1432.8750047042822</v>
      </c>
      <c r="E1902">
        <v>1450.2944646433757</v>
      </c>
      <c r="F1902">
        <v>11763658</v>
      </c>
      <c r="G1902" s="2" t="s">
        <v>15</v>
      </c>
      <c r="H1902">
        <v>-0.9198276446980902</v>
      </c>
      <c r="I1902">
        <v>93.665283826982957</v>
      </c>
      <c r="J1902">
        <v>1495.4456689453125</v>
      </c>
      <c r="K1902">
        <v>1.4872804349579203</v>
      </c>
      <c r="L1902">
        <v>0</v>
      </c>
      <c r="M1902" t="str">
        <f>VLOOKUP(fact_daily_prices[[#This Row],[Ticker]], dim_company[], 2, FALSE)</f>
        <v>Reliance Industries</v>
      </c>
      <c r="N1902" t="str">
        <f>VLOOKUP(fact_daily_prices[[#This Row],[Ticker]], dim_company[], 3, FALSE)</f>
        <v>Energy &amp; Conglomerate</v>
      </c>
    </row>
    <row r="1903" spans="1:14" x14ac:dyDescent="0.3">
      <c r="A1903" s="1">
        <v>46059</v>
      </c>
      <c r="B1903">
        <v>1444.123046875</v>
      </c>
      <c r="C1903">
        <v>1446.113842295832</v>
      </c>
      <c r="D1903">
        <v>1426.9026178813986</v>
      </c>
      <c r="E1903">
        <v>1434.865799564727</v>
      </c>
      <c r="F1903">
        <v>8277304</v>
      </c>
      <c r="G1903" s="2" t="s">
        <v>15</v>
      </c>
      <c r="H1903">
        <v>0.51268004167235315</v>
      </c>
      <c r="I1903">
        <v>94.145487043139667</v>
      </c>
      <c r="J1903">
        <v>1493.0746337890625</v>
      </c>
      <c r="K1903">
        <v>1.4905287788393482</v>
      </c>
      <c r="L1903">
        <v>0</v>
      </c>
      <c r="M1903" t="str">
        <f>VLOOKUP(fact_daily_prices[[#This Row],[Ticker]], dim_company[], 2, FALSE)</f>
        <v>Reliance Industries</v>
      </c>
      <c r="N1903" t="str">
        <f>VLOOKUP(fact_daily_prices[[#This Row],[Ticker]], dim_company[], 3, FALSE)</f>
        <v>Energy &amp; Conglomerate</v>
      </c>
    </row>
    <row r="1904" spans="1:14" x14ac:dyDescent="0.3">
      <c r="A1904" s="1">
        <v>46062</v>
      </c>
      <c r="B1904">
        <v>1454.873291015625</v>
      </c>
      <c r="C1904">
        <v>1459.1535498378751</v>
      </c>
      <c r="D1904">
        <v>1446.3128948796364</v>
      </c>
      <c r="E1904">
        <v>1451.2898835062008</v>
      </c>
      <c r="F1904">
        <v>5775864</v>
      </c>
      <c r="G1904" s="2" t="s">
        <v>15</v>
      </c>
      <c r="H1904">
        <v>0.74441330770864678</v>
      </c>
      <c r="I1904">
        <v>94.846318577295904</v>
      </c>
      <c r="J1904">
        <v>1491.0480053710937</v>
      </c>
      <c r="K1904">
        <v>1.5002525655651353</v>
      </c>
      <c r="L1904">
        <v>0</v>
      </c>
      <c r="M1904" t="str">
        <f>VLOOKUP(fact_daily_prices[[#This Row],[Ticker]], dim_company[], 2, FALSE)</f>
        <v>Reliance Industries</v>
      </c>
      <c r="N1904" t="str">
        <f>VLOOKUP(fact_daily_prices[[#This Row],[Ticker]], dim_company[], 3, FALSE)</f>
        <v>Energy &amp; Conglomerate</v>
      </c>
    </row>
    <row r="1905" spans="1:14" x14ac:dyDescent="0.3">
      <c r="A1905" s="1">
        <v>46063</v>
      </c>
      <c r="B1905">
        <v>1451.7874755859375</v>
      </c>
      <c r="C1905">
        <v>1464.2299462371711</v>
      </c>
      <c r="D1905">
        <v>1445.5164217743147</v>
      </c>
      <c r="E1905">
        <v>1464.2299462371711</v>
      </c>
      <c r="F1905">
        <v>10259630</v>
      </c>
      <c r="G1905" s="2" t="s">
        <v>15</v>
      </c>
      <c r="H1905">
        <v>-0.21210200563468451</v>
      </c>
      <c r="I1905">
        <v>94.645147633322807</v>
      </c>
      <c r="J1905">
        <v>1488.8780371093751</v>
      </c>
      <c r="K1905">
        <v>1.4949493827078728</v>
      </c>
      <c r="L1905">
        <v>0</v>
      </c>
      <c r="M1905" t="str">
        <f>VLOOKUP(fact_daily_prices[[#This Row],[Ticker]], dim_company[], 2, FALSE)</f>
        <v>Reliance Industries</v>
      </c>
      <c r="N1905" t="str">
        <f>VLOOKUP(fact_daily_prices[[#This Row],[Ticker]], dim_company[], 3, FALSE)</f>
        <v>Energy &amp; Conglomerate</v>
      </c>
    </row>
    <row r="1906" spans="1:14" x14ac:dyDescent="0.3">
      <c r="A1906" s="1">
        <v>46064</v>
      </c>
      <c r="B1906">
        <v>1461.9405517578125</v>
      </c>
      <c r="C1906">
        <v>1463.234617369774</v>
      </c>
      <c r="D1906">
        <v>1446.9100708062599</v>
      </c>
      <c r="E1906">
        <v>1452.8824569996059</v>
      </c>
      <c r="F1906">
        <v>7106877</v>
      </c>
      <c r="G1906" s="2" t="s">
        <v>15</v>
      </c>
      <c r="H1906">
        <v>0.69935003177907795</v>
      </c>
      <c r="I1906">
        <v>95.307048503373807</v>
      </c>
      <c r="J1906">
        <v>1486.9390014648438</v>
      </c>
      <c r="K1906">
        <v>1.5030182858395151</v>
      </c>
      <c r="L1906">
        <v>0</v>
      </c>
      <c r="M1906" t="str">
        <f>VLOOKUP(fact_daily_prices[[#This Row],[Ticker]], dim_company[], 2, FALSE)</f>
        <v>Reliance Industries</v>
      </c>
      <c r="N1906" t="str">
        <f>VLOOKUP(fact_daily_prices[[#This Row],[Ticker]], dim_company[], 3, FALSE)</f>
        <v>Energy &amp; Conglomerate</v>
      </c>
    </row>
    <row r="1907" spans="1:14" x14ac:dyDescent="0.3">
      <c r="A1907" s="1">
        <v>46065</v>
      </c>
      <c r="B1907">
        <v>1442.231689453125</v>
      </c>
      <c r="C1907">
        <v>1466.2207486838624</v>
      </c>
      <c r="D1907">
        <v>1438.8473131178023</v>
      </c>
      <c r="E1907">
        <v>1463.2345557130195</v>
      </c>
      <c r="F1907">
        <v>11135399</v>
      </c>
      <c r="G1907" s="2" t="s">
        <v>15</v>
      </c>
      <c r="H1907">
        <v>-1.3481302150754271</v>
      </c>
      <c r="I1907">
        <v>94.022185385403233</v>
      </c>
      <c r="J1907">
        <v>1484.9999658203126</v>
      </c>
      <c r="K1907">
        <v>1.4625588186944489</v>
      </c>
      <c r="L1907">
        <v>0</v>
      </c>
      <c r="M1907" t="str">
        <f>VLOOKUP(fact_daily_prices[[#This Row],[Ticker]], dim_company[], 2, FALSE)</f>
        <v>Reliance Industries</v>
      </c>
      <c r="N1907" t="str">
        <f>VLOOKUP(fact_daily_prices[[#This Row],[Ticker]], dim_company[], 3, FALSE)</f>
        <v>Energy &amp; Conglomerate</v>
      </c>
    </row>
    <row r="1908" spans="1:14" x14ac:dyDescent="0.3">
      <c r="A1908" s="1">
        <v>46066</v>
      </c>
      <c r="B1908">
        <v>1413.0665283203125</v>
      </c>
      <c r="C1908">
        <v>1444.0233720001163</v>
      </c>
      <c r="D1908">
        <v>1409.7817888672505</v>
      </c>
      <c r="E1908">
        <v>1438.8473526451965</v>
      </c>
      <c r="F1908">
        <v>10755693</v>
      </c>
      <c r="G1908" s="2" t="s">
        <v>15</v>
      </c>
      <c r="H1908">
        <v>-2.022224400288386</v>
      </c>
      <c r="I1908">
        <v>92.120845810855229</v>
      </c>
      <c r="J1908">
        <v>1482.6269360351562</v>
      </c>
      <c r="K1908">
        <v>1.4926928975090665</v>
      </c>
      <c r="L1908">
        <v>0</v>
      </c>
      <c r="M1908" t="str">
        <f>VLOOKUP(fact_daily_prices[[#This Row],[Ticker]], dim_company[], 2, FALSE)</f>
        <v>Reliance Industries</v>
      </c>
      <c r="N1908" t="str">
        <f>VLOOKUP(fact_daily_prices[[#This Row],[Ticker]], dim_company[], 3, FALSE)</f>
        <v>Energy &amp; Conglomerate</v>
      </c>
    </row>
    <row r="1909" spans="1:14" x14ac:dyDescent="0.3">
      <c r="A1909" s="1">
        <v>46069</v>
      </c>
      <c r="B1909">
        <v>1430.4859619140625</v>
      </c>
      <c r="C1909">
        <v>1432.9744560797708</v>
      </c>
      <c r="D1909">
        <v>1402.8139796964888</v>
      </c>
      <c r="E1909">
        <v>1413.5642015872461</v>
      </c>
      <c r="F1909">
        <v>5896514</v>
      </c>
      <c r="G1909" s="2" t="s">
        <v>15</v>
      </c>
      <c r="H1909">
        <v>1.2327398069824858</v>
      </c>
      <c r="I1909">
        <v>93.256456147694593</v>
      </c>
      <c r="J1909">
        <v>1480.6660009765626</v>
      </c>
      <c r="K1909">
        <v>1.4985878867048887</v>
      </c>
      <c r="L1909">
        <v>0</v>
      </c>
      <c r="M1909" t="str">
        <f>VLOOKUP(fact_daily_prices[[#This Row],[Ticker]], dim_company[], 2, FALSE)</f>
        <v>Reliance Industries</v>
      </c>
      <c r="N1909" t="str">
        <f>VLOOKUP(fact_daily_prices[[#This Row],[Ticker]], dim_company[], 3, FALSE)</f>
        <v>Energy &amp; Conglomerate</v>
      </c>
    </row>
    <row r="1910" spans="1:14" x14ac:dyDescent="0.3">
      <c r="A1910" s="1">
        <v>46070</v>
      </c>
      <c r="B1910">
        <v>1416.450927734375</v>
      </c>
      <c r="C1910">
        <v>1425.2104761017015</v>
      </c>
      <c r="D1910">
        <v>1412.0711535507121</v>
      </c>
      <c r="E1910">
        <v>1424.5136248062845</v>
      </c>
      <c r="F1910">
        <v>10731630</v>
      </c>
      <c r="G1910" s="2" t="s">
        <v>15</v>
      </c>
      <c r="H1910">
        <v>-0.98113749826023167</v>
      </c>
      <c r="I1910">
        <v>92.341482086880958</v>
      </c>
      <c r="J1910">
        <v>1478.3248266601563</v>
      </c>
      <c r="K1910">
        <v>1.4998303732426674</v>
      </c>
      <c r="L1910">
        <v>0</v>
      </c>
      <c r="M1910" t="str">
        <f>VLOOKUP(fact_daily_prices[[#This Row],[Ticker]], dim_company[], 2, FALSE)</f>
        <v>Reliance Industries</v>
      </c>
      <c r="N1910" t="str">
        <f>VLOOKUP(fact_daily_prices[[#This Row],[Ticker]], dim_company[], 3, FALSE)</f>
        <v>Energy &amp; Conglomerate</v>
      </c>
    </row>
    <row r="1911" spans="1:14" x14ac:dyDescent="0.3">
      <c r="A1911" s="1">
        <v>46071</v>
      </c>
      <c r="B1911">
        <v>1434.666748046875</v>
      </c>
      <c r="C1911">
        <v>1435.4629932986809</v>
      </c>
      <c r="D1911">
        <v>1412.6683617554224</v>
      </c>
      <c r="E1911">
        <v>1420.4325123887006</v>
      </c>
      <c r="F1911">
        <v>5521096</v>
      </c>
      <c r="G1911" s="2" t="s">
        <v>15</v>
      </c>
      <c r="H1911">
        <v>1.2860184532927255</v>
      </c>
      <c r="I1911">
        <v>93.529010586562237</v>
      </c>
      <c r="J1911">
        <v>1476.3001879882813</v>
      </c>
      <c r="K1911">
        <v>1.3086344691922147</v>
      </c>
      <c r="L1911">
        <v>0</v>
      </c>
      <c r="M1911" t="str">
        <f>VLOOKUP(fact_daily_prices[[#This Row],[Ticker]], dim_company[], 2, FALSE)</f>
        <v>Reliance Industries</v>
      </c>
      <c r="N1911" t="str">
        <f>VLOOKUP(fact_daily_prices[[#This Row],[Ticker]], dim_company[], 3, FALSE)</f>
        <v>Energy &amp; Conglomerate</v>
      </c>
    </row>
    <row r="1912" spans="1:14" x14ac:dyDescent="0.3">
      <c r="A1912" s="1">
        <v>46072</v>
      </c>
      <c r="B1912">
        <v>1403.0130615234375</v>
      </c>
      <c r="C1912">
        <v>1436.3588845536149</v>
      </c>
      <c r="D1912">
        <v>1393.5567833507007</v>
      </c>
      <c r="E1912">
        <v>1436.3588845536149</v>
      </c>
      <c r="F1912">
        <v>11884664</v>
      </c>
      <c r="G1912" s="2" t="s">
        <v>15</v>
      </c>
      <c r="H1912">
        <v>-2.2063441957186347</v>
      </c>
      <c r="I1912">
        <v>91.465438690172547</v>
      </c>
      <c r="J1912">
        <v>1473.9132250976563</v>
      </c>
      <c r="K1912">
        <v>1.3619064202634967</v>
      </c>
      <c r="L1912">
        <v>0</v>
      </c>
      <c r="M1912" t="str">
        <f>VLOOKUP(fact_daily_prices[[#This Row],[Ticker]], dim_company[], 2, FALSE)</f>
        <v>Reliance Industries</v>
      </c>
      <c r="N1912" t="str">
        <f>VLOOKUP(fact_daily_prices[[#This Row],[Ticker]], dim_company[], 3, FALSE)</f>
        <v>Energy &amp; Conglomerate</v>
      </c>
    </row>
    <row r="1913" spans="1:14" x14ac:dyDescent="0.3">
      <c r="A1913" s="1">
        <v>46073</v>
      </c>
      <c r="B1913">
        <v>1412.8675537109375</v>
      </c>
      <c r="C1913">
        <v>1420.8307355027323</v>
      </c>
      <c r="D1913">
        <v>1399.6287153786741</v>
      </c>
      <c r="E1913">
        <v>1403.0130919418889</v>
      </c>
      <c r="F1913">
        <v>8177670</v>
      </c>
      <c r="G1913" s="2" t="s">
        <v>15</v>
      </c>
      <c r="H1913">
        <v>0.70238064475320883</v>
      </c>
      <c r="I1913">
        <v>92.107874228170942</v>
      </c>
      <c r="J1913">
        <v>1471.5740405273436</v>
      </c>
      <c r="K1913">
        <v>1.3160020769576626</v>
      </c>
      <c r="L1913">
        <v>0</v>
      </c>
      <c r="M1913" t="str">
        <f>VLOOKUP(fact_daily_prices[[#This Row],[Ticker]], dim_company[], 2, FALSE)</f>
        <v>Reliance Industries</v>
      </c>
      <c r="N1913" t="str">
        <f>VLOOKUP(fact_daily_prices[[#This Row],[Ticker]], dim_company[], 3, FALSE)</f>
        <v>Energy &amp; Conglomerate</v>
      </c>
    </row>
    <row r="1914" spans="1:14" x14ac:dyDescent="0.3">
      <c r="A1914" s="1">
        <v>46076</v>
      </c>
      <c r="B1914">
        <v>1421.4278564453125</v>
      </c>
      <c r="C1914">
        <v>1428.2961245911818</v>
      </c>
      <c r="D1914">
        <v>1411.772547760535</v>
      </c>
      <c r="E1914">
        <v>1418.4416634695872</v>
      </c>
      <c r="F1914">
        <v>7758856</v>
      </c>
      <c r="G1914" s="2" t="s">
        <v>15</v>
      </c>
      <c r="H1914">
        <v>0.60588147217983668</v>
      </c>
      <c r="I1914">
        <v>92.665938772538126</v>
      </c>
      <c r="J1914">
        <v>1469.2448095703126</v>
      </c>
      <c r="K1914">
        <v>1.320253213258791</v>
      </c>
      <c r="L1914">
        <v>0</v>
      </c>
      <c r="M1914" t="str">
        <f>VLOOKUP(fact_daily_prices[[#This Row],[Ticker]], dim_company[], 2, FALSE)</f>
        <v>Reliance Industries</v>
      </c>
      <c r="N1914" t="str">
        <f>VLOOKUP(fact_daily_prices[[#This Row],[Ticker]], dim_company[], 3, FALSE)</f>
        <v>Energy &amp; Conglomerate</v>
      </c>
    </row>
    <row r="1915" spans="1:14" x14ac:dyDescent="0.3">
      <c r="A1915" s="1">
        <v>46077</v>
      </c>
      <c r="B1915">
        <v>1421.4278564453125</v>
      </c>
      <c r="C1915">
        <v>1426.7035326906043</v>
      </c>
      <c r="D1915">
        <v>1408.4877066792656</v>
      </c>
      <c r="E1915">
        <v>1418.7403513100855</v>
      </c>
      <c r="F1915">
        <v>12529409</v>
      </c>
      <c r="G1915" s="2" t="s">
        <v>15</v>
      </c>
      <c r="H1915">
        <v>0</v>
      </c>
      <c r="I1915">
        <v>92.665938772538126</v>
      </c>
      <c r="J1915">
        <v>1466.6866357421875</v>
      </c>
      <c r="K1915">
        <v>1.3149729804721484</v>
      </c>
      <c r="L1915">
        <v>0</v>
      </c>
      <c r="M1915" t="str">
        <f>VLOOKUP(fact_daily_prices[[#This Row],[Ticker]], dim_company[], 2, FALSE)</f>
        <v>Reliance Industries</v>
      </c>
      <c r="N1915" t="str">
        <f>VLOOKUP(fact_daily_prices[[#This Row],[Ticker]], dim_company[], 3, FALSE)</f>
        <v>Energy &amp; Conglomerate</v>
      </c>
    </row>
    <row r="1916" spans="1:14" x14ac:dyDescent="0.3">
      <c r="A1916" s="1">
        <v>46078</v>
      </c>
      <c r="B1916">
        <v>1392.063720703125</v>
      </c>
      <c r="C1916">
        <v>1433.8704252219177</v>
      </c>
      <c r="D1916">
        <v>1387.0867320699354</v>
      </c>
      <c r="E1916">
        <v>1428.3957377254089</v>
      </c>
      <c r="F1916">
        <v>10728792</v>
      </c>
      <c r="G1916" s="2" t="s">
        <v>15</v>
      </c>
      <c r="H1916">
        <v>-2.0658196340418544</v>
      </c>
      <c r="I1916">
        <v>90.751627615305836</v>
      </c>
      <c r="J1916">
        <v>1463.5471533203124</v>
      </c>
      <c r="K1916">
        <v>1.3157967678686273</v>
      </c>
      <c r="L1916">
        <v>0</v>
      </c>
      <c r="M1916" t="str">
        <f>VLOOKUP(fact_daily_prices[[#This Row],[Ticker]], dim_company[], 2, FALSE)</f>
        <v>Reliance Industries</v>
      </c>
      <c r="N1916" t="str">
        <f>VLOOKUP(fact_daily_prices[[#This Row],[Ticker]], dim_company[], 3, FALSE)</f>
        <v>Energy &amp; Conglomerate</v>
      </c>
    </row>
    <row r="1917" spans="1:14" x14ac:dyDescent="0.3">
      <c r="A1917" s="1">
        <v>46079</v>
      </c>
      <c r="B1917">
        <v>1400.3255615234375</v>
      </c>
      <c r="C1917">
        <v>1406.397463315574</v>
      </c>
      <c r="D1917">
        <v>1385.4941111892442</v>
      </c>
      <c r="E1917">
        <v>1392.0637118415314</v>
      </c>
      <c r="F1917">
        <v>16683858</v>
      </c>
      <c r="G1917" s="2" t="s">
        <v>15</v>
      </c>
      <c r="H1917">
        <v>0.59349587935093595</v>
      </c>
      <c r="I1917">
        <v>91.290234785646589</v>
      </c>
      <c r="J1917">
        <v>1460.8496264648438</v>
      </c>
      <c r="K1917">
        <v>1.3187203998953587</v>
      </c>
      <c r="L1917">
        <v>0</v>
      </c>
      <c r="M1917" t="str">
        <f>VLOOKUP(fact_daily_prices[[#This Row],[Ticker]], dim_company[], 2, FALSE)</f>
        <v>Reliance Industries</v>
      </c>
      <c r="N1917" t="str">
        <f>VLOOKUP(fact_daily_prices[[#This Row],[Ticker]], dim_company[], 3, FALSE)</f>
        <v>Energy &amp; Conglomerate</v>
      </c>
    </row>
    <row r="1918" spans="1:14" x14ac:dyDescent="0.3">
      <c r="A1918" s="1">
        <v>46080</v>
      </c>
      <c r="B1918">
        <v>1387.48486328125</v>
      </c>
      <c r="C1918">
        <v>1403.9089251530934</v>
      </c>
      <c r="D1918">
        <v>1381.711508080472</v>
      </c>
      <c r="E1918">
        <v>1391.5659695052796</v>
      </c>
      <c r="F1918">
        <v>12031440</v>
      </c>
      <c r="G1918" s="2" t="s">
        <v>15</v>
      </c>
      <c r="H1918">
        <v>-0.91697949355561414</v>
      </c>
      <c r="I1918">
        <v>90.45312205304343</v>
      </c>
      <c r="J1918">
        <v>1457.8534790039062</v>
      </c>
      <c r="K1918">
        <v>1.3266263311923576</v>
      </c>
      <c r="L1918">
        <v>0</v>
      </c>
      <c r="M1918" t="str">
        <f>VLOOKUP(fact_daily_prices[[#This Row],[Ticker]], dim_company[], 2, FALSE)</f>
        <v>Reliance Industries</v>
      </c>
      <c r="N1918" t="str">
        <f>VLOOKUP(fact_daily_prices[[#This Row],[Ticker]], dim_company[], 3, FALSE)</f>
        <v>Energy &amp; Conglomerate</v>
      </c>
    </row>
    <row r="1919" spans="1:14" x14ac:dyDescent="0.3">
      <c r="A1919" s="1">
        <v>46083</v>
      </c>
      <c r="B1919">
        <v>1351.75</v>
      </c>
      <c r="C1919">
        <v>1372.2551671563265</v>
      </c>
      <c r="D1919">
        <v>1335.3259388807069</v>
      </c>
      <c r="E1919">
        <v>1369.1694587628867</v>
      </c>
      <c r="F1919">
        <v>23728722</v>
      </c>
      <c r="G1919" s="2" t="s">
        <v>15</v>
      </c>
      <c r="H1919">
        <v>-2.5755137390645833</v>
      </c>
      <c r="I1919">
        <v>88.123489467154442</v>
      </c>
      <c r="J1919">
        <v>1454.1426342773439</v>
      </c>
      <c r="K1919">
        <v>1.3987399149895294</v>
      </c>
      <c r="L1919">
        <v>0</v>
      </c>
      <c r="M1919" t="str">
        <f>VLOOKUP(fact_daily_prices[[#This Row],[Ticker]], dim_company[], 2, FALSE)</f>
        <v>Reliance Industries</v>
      </c>
      <c r="N1919" t="str">
        <f>VLOOKUP(fact_daily_prices[[#This Row],[Ticker]], dim_company[], 3, FALSE)</f>
        <v>Energy &amp; Conglomerate</v>
      </c>
    </row>
    <row r="1920" spans="1:14" x14ac:dyDescent="0.3">
      <c r="A1920" s="1">
        <v>46085</v>
      </c>
      <c r="B1920">
        <v>1338.8099365234375</v>
      </c>
      <c r="C1920">
        <v>1346.5740873609554</v>
      </c>
      <c r="D1920">
        <v>1300.9848230751916</v>
      </c>
      <c r="E1920">
        <v>1323.8789706886037</v>
      </c>
      <c r="F1920">
        <v>32495007</v>
      </c>
      <c r="G1920" s="2" t="s">
        <v>15</v>
      </c>
      <c r="H1920">
        <v>-0.95728229898742745</v>
      </c>
      <c r="I1920">
        <v>87.279898901235313</v>
      </c>
      <c r="J1920">
        <v>1449.7608959960937</v>
      </c>
      <c r="K1920">
        <v>1.3027932119733636</v>
      </c>
      <c r="L1920">
        <v>1</v>
      </c>
      <c r="M1920" t="str">
        <f>VLOOKUP(fact_daily_prices[[#This Row],[Ticker]], dim_company[], 2, FALSE)</f>
        <v>Reliance Industries</v>
      </c>
      <c r="N1920" t="str">
        <f>VLOOKUP(fact_daily_prices[[#This Row],[Ticker]], dim_company[], 3, FALSE)</f>
        <v>Energy &amp; Conglomerate</v>
      </c>
    </row>
    <row r="1921" spans="1:14" x14ac:dyDescent="0.3">
      <c r="A1921" s="1">
        <v>46086</v>
      </c>
      <c r="B1921">
        <v>1383.005615234375</v>
      </c>
      <c r="C1921">
        <v>1392.5614090361375</v>
      </c>
      <c r="D1921">
        <v>1346.8726294272451</v>
      </c>
      <c r="E1921">
        <v>1346.8726294272451</v>
      </c>
      <c r="F1921">
        <v>25957532</v>
      </c>
      <c r="G1921" s="2" t="s">
        <v>15</v>
      </c>
      <c r="H1921">
        <v>3.301116723536035</v>
      </c>
      <c r="I1921">
        <v>90.161110240149355</v>
      </c>
      <c r="J1921">
        <v>1446.0580175781249</v>
      </c>
      <c r="K1921">
        <v>1.4256239838568303</v>
      </c>
      <c r="L1921">
        <v>0</v>
      </c>
      <c r="M1921" t="str">
        <f>VLOOKUP(fact_daily_prices[[#This Row],[Ticker]], dim_company[], 2, FALSE)</f>
        <v>Reliance Industries</v>
      </c>
      <c r="N1921" t="str">
        <f>VLOOKUP(fact_daily_prices[[#This Row],[Ticker]], dim_company[], 3, FALSE)</f>
        <v>Energy &amp; Conglomerate</v>
      </c>
    </row>
    <row r="1922" spans="1:14" x14ac:dyDescent="0.3">
      <c r="A1922" s="1">
        <v>46087</v>
      </c>
      <c r="B1922">
        <v>1398.334716796875</v>
      </c>
      <c r="C1922">
        <v>1417.7449716586152</v>
      </c>
      <c r="D1922">
        <v>1383.9014503612218</v>
      </c>
      <c r="E1922">
        <v>1390.0728674061677</v>
      </c>
      <c r="F1922">
        <v>19311971</v>
      </c>
      <c r="G1922" s="2" t="s">
        <v>15</v>
      </c>
      <c r="H1922">
        <v>1.1083904066363504</v>
      </c>
      <c r="I1922">
        <v>91.160447336568012</v>
      </c>
      <c r="J1922">
        <v>1442.7552905273437</v>
      </c>
      <c r="K1922">
        <v>1.4334289511161635</v>
      </c>
      <c r="L1922">
        <v>0</v>
      </c>
      <c r="M1922" t="str">
        <f>VLOOKUP(fact_daily_prices[[#This Row],[Ticker]], dim_company[], 2, FALSE)</f>
        <v>Reliance Industries</v>
      </c>
      <c r="N1922" t="str">
        <f>VLOOKUP(fact_daily_prices[[#This Row],[Ticker]], dim_company[], 3, FALSE)</f>
        <v>Energy &amp; Conglomerate</v>
      </c>
    </row>
    <row r="1923" spans="1:14" x14ac:dyDescent="0.3">
      <c r="A1923" s="1">
        <v>46090</v>
      </c>
      <c r="B1923">
        <v>1417.4462890625</v>
      </c>
      <c r="C1923">
        <v>1422.8214608086796</v>
      </c>
      <c r="D1923">
        <v>1363.6948146177142</v>
      </c>
      <c r="E1923">
        <v>1368.6718029922313</v>
      </c>
      <c r="F1923">
        <v>24870822</v>
      </c>
      <c r="G1923" s="2" t="s">
        <v>15</v>
      </c>
      <c r="H1923">
        <v>1.3667380231682458</v>
      </c>
      <c r="I1923">
        <v>92.406371832407146</v>
      </c>
      <c r="J1923">
        <v>1440.0836425781249</v>
      </c>
      <c r="K1923">
        <v>1.4541779079102293</v>
      </c>
      <c r="L1923">
        <v>0</v>
      </c>
      <c r="M1923" t="str">
        <f>VLOOKUP(fact_daily_prices[[#This Row],[Ticker]], dim_company[], 2, FALSE)</f>
        <v>Reliance Industries</v>
      </c>
      <c r="N1923" t="str">
        <f>VLOOKUP(fact_daily_prices[[#This Row],[Ticker]], dim_company[], 3, FALSE)</f>
        <v>Energy &amp; Conglomerate</v>
      </c>
    </row>
    <row r="1924" spans="1:14" x14ac:dyDescent="0.3">
      <c r="A1924" s="1">
        <v>46091</v>
      </c>
      <c r="B1924">
        <v>1402.3162841796875</v>
      </c>
      <c r="C1924">
        <v>1424.9117626543534</v>
      </c>
      <c r="D1924">
        <v>1394.1539503917586</v>
      </c>
      <c r="E1924">
        <v>1424.015880450879</v>
      </c>
      <c r="F1924">
        <v>18071259</v>
      </c>
      <c r="G1924" s="2" t="s">
        <v>15</v>
      </c>
      <c r="H1924">
        <v>-1.0674129241834973</v>
      </c>
      <c r="I1924">
        <v>91.420014276698979</v>
      </c>
      <c r="J1924">
        <v>1437.0894873046875</v>
      </c>
      <c r="K1924">
        <v>1.45132052059182</v>
      </c>
      <c r="L1924">
        <v>0</v>
      </c>
      <c r="M1924" t="str">
        <f>VLOOKUP(fact_daily_prices[[#This Row],[Ticker]], dim_company[], 2, FALSE)</f>
        <v>Reliance Industries</v>
      </c>
      <c r="N1924" t="str">
        <f>VLOOKUP(fact_daily_prices[[#This Row],[Ticker]], dim_company[], 3, FALSE)</f>
        <v>Energy &amp; Conglomerate</v>
      </c>
    </row>
    <row r="1925" spans="1:14" x14ac:dyDescent="0.3">
      <c r="A1925" s="1">
        <v>46092</v>
      </c>
      <c r="B1925">
        <v>1383.8017578125</v>
      </c>
      <c r="C1925">
        <v>1427.4002232775151</v>
      </c>
      <c r="D1925">
        <v>1377.2321576556008</v>
      </c>
      <c r="E1925">
        <v>1418.34212900751</v>
      </c>
      <c r="F1925">
        <v>21848087</v>
      </c>
      <c r="G1925" s="2" t="s">
        <v>15</v>
      </c>
      <c r="H1925">
        <v>-1.320281777802923</v>
      </c>
      <c r="I1925">
        <v>90.213012486938894</v>
      </c>
      <c r="J1925">
        <v>1433.9957885742188</v>
      </c>
      <c r="K1925">
        <v>1.4710235220244718</v>
      </c>
      <c r="L1925">
        <v>0</v>
      </c>
      <c r="M1925" t="str">
        <f>VLOOKUP(fact_daily_prices[[#This Row],[Ticker]], dim_company[], 2, FALSE)</f>
        <v>Reliance Industries</v>
      </c>
      <c r="N1925" t="str">
        <f>VLOOKUP(fact_daily_prices[[#This Row],[Ticker]], dim_company[], 3, FALSE)</f>
        <v>Energy &amp; Conglomerate</v>
      </c>
    </row>
    <row r="1926" spans="1:14" x14ac:dyDescent="0.3">
      <c r="A1926" s="1">
        <v>46093</v>
      </c>
      <c r="B1926">
        <v>1385.7926025390625</v>
      </c>
      <c r="C1926">
        <v>1404.4066120742225</v>
      </c>
      <c r="D1926">
        <v>1374.7437125844203</v>
      </c>
      <c r="E1926">
        <v>1383.6027762448114</v>
      </c>
      <c r="F1926">
        <v>20939959</v>
      </c>
      <c r="G1926" s="2" t="s">
        <v>15</v>
      </c>
      <c r="H1926">
        <v>0.14386776973818183</v>
      </c>
      <c r="I1926">
        <v>90.342799936017471</v>
      </c>
      <c r="J1926">
        <v>1431.057373046875</v>
      </c>
      <c r="K1926">
        <v>1.4554444332044654</v>
      </c>
      <c r="L1926">
        <v>0</v>
      </c>
      <c r="M1926" t="str">
        <f>VLOOKUP(fact_daily_prices[[#This Row],[Ticker]], dim_company[], 2, FALSE)</f>
        <v>Reliance Industries</v>
      </c>
      <c r="N1926" t="str">
        <f>VLOOKUP(fact_daily_prices[[#This Row],[Ticker]], dim_company[], 3, FALSE)</f>
        <v>Energy &amp; Conglomerate</v>
      </c>
    </row>
    <row r="1927" spans="1:14" x14ac:dyDescent="0.3">
      <c r="A1927" s="1">
        <v>46094</v>
      </c>
      <c r="B1927">
        <v>1374.3455810546875</v>
      </c>
      <c r="C1927">
        <v>1394.3531723993444</v>
      </c>
      <c r="D1927">
        <v>1372.0562392077015</v>
      </c>
      <c r="E1927">
        <v>1378.8248707870416</v>
      </c>
      <c r="F1927">
        <v>17265090</v>
      </c>
      <c r="G1927" s="2" t="s">
        <v>15</v>
      </c>
      <c r="H1927">
        <v>-0.8260270305528894</v>
      </c>
      <c r="I1927">
        <v>89.596543988387651</v>
      </c>
      <c r="J1927">
        <v>1427.2808325195313</v>
      </c>
      <c r="K1927">
        <v>1.4614674833682693</v>
      </c>
      <c r="L1927">
        <v>0</v>
      </c>
      <c r="M1927" t="str">
        <f>VLOOKUP(fact_daily_prices[[#This Row],[Ticker]], dim_company[], 2, FALSE)</f>
        <v>Reliance Industries</v>
      </c>
      <c r="N1927" t="str">
        <f>VLOOKUP(fact_daily_prices[[#This Row],[Ticker]], dim_company[], 3, FALSE)</f>
        <v>Energy &amp; Conglomerate</v>
      </c>
    </row>
    <row r="1928" spans="1:14" x14ac:dyDescent="0.3">
      <c r="A1928" s="1">
        <v>46097</v>
      </c>
      <c r="B1928">
        <v>1388.6793212890625</v>
      </c>
      <c r="C1928">
        <v>1390.8692691567512</v>
      </c>
      <c r="D1928">
        <v>1357.2247779463889</v>
      </c>
      <c r="E1928">
        <v>1373.6488401657623</v>
      </c>
      <c r="F1928">
        <v>22837802</v>
      </c>
      <c r="G1928" s="2" t="s">
        <v>15</v>
      </c>
      <c r="H1928">
        <v>1.0429502180503425</v>
      </c>
      <c r="I1928">
        <v>90.530991339280092</v>
      </c>
      <c r="J1928">
        <v>1423.6874487304688</v>
      </c>
      <c r="K1928">
        <v>1.4731137694896139</v>
      </c>
      <c r="L1928">
        <v>0</v>
      </c>
      <c r="M1928" t="str">
        <f>VLOOKUP(fact_daily_prices[[#This Row],[Ticker]], dim_company[], 2, FALSE)</f>
        <v>Reliance Industries</v>
      </c>
      <c r="N1928" t="str">
        <f>VLOOKUP(fact_daily_prices[[#This Row],[Ticker]], dim_company[], 3, FALSE)</f>
        <v>Energy &amp; Conglomerate</v>
      </c>
    </row>
    <row r="1929" spans="1:14" x14ac:dyDescent="0.3">
      <c r="A1929" s="1">
        <v>46098</v>
      </c>
      <c r="B1929">
        <v>1391.167724609375</v>
      </c>
      <c r="C1929">
        <v>1399.4295736678141</v>
      </c>
      <c r="D1929">
        <v>1381.8109624429319</v>
      </c>
      <c r="E1929">
        <v>1392.5613056143347</v>
      </c>
      <c r="F1929">
        <v>19007744</v>
      </c>
      <c r="G1929" s="2" t="s">
        <v>15</v>
      </c>
      <c r="H1929">
        <v>0.17919207711702967</v>
      </c>
      <c r="I1929">
        <v>90.693215703095603</v>
      </c>
      <c r="J1929">
        <v>1419.8113671875001</v>
      </c>
      <c r="K1929">
        <v>1.4717510078614169</v>
      </c>
      <c r="L1929">
        <v>0</v>
      </c>
      <c r="M1929" t="str">
        <f>VLOOKUP(fact_daily_prices[[#This Row],[Ticker]], dim_company[], 2, FALSE)</f>
        <v>Reliance Industries</v>
      </c>
      <c r="N1929" t="str">
        <f>VLOOKUP(fact_daily_prices[[#This Row],[Ticker]], dim_company[], 3, FALSE)</f>
        <v>Energy &amp; Conglomerate</v>
      </c>
    </row>
    <row r="1930" spans="1:14" x14ac:dyDescent="0.3">
      <c r="A1930" s="1">
        <v>46099</v>
      </c>
      <c r="B1930">
        <v>1401.6195068359375</v>
      </c>
      <c r="C1930">
        <v>1406.3974645008152</v>
      </c>
      <c r="D1930">
        <v>1390.7696473738065</v>
      </c>
      <c r="E1930">
        <v>1390.7696473738065</v>
      </c>
      <c r="F1930">
        <v>9559327</v>
      </c>
      <c r="G1930" s="2" t="s">
        <v>15</v>
      </c>
      <c r="H1930">
        <v>0.75129562321447629</v>
      </c>
      <c r="I1930">
        <v>91.37458986322541</v>
      </c>
      <c r="J1930">
        <v>1416.4270166015624</v>
      </c>
      <c r="K1930">
        <v>1.3392792164124172</v>
      </c>
      <c r="L1930">
        <v>0</v>
      </c>
      <c r="M1930" t="str">
        <f>VLOOKUP(fact_daily_prices[[#This Row],[Ticker]], dim_company[], 2, FALSE)</f>
        <v>Reliance Industries</v>
      </c>
      <c r="N1930" t="str">
        <f>VLOOKUP(fact_daily_prices[[#This Row],[Ticker]], dim_company[], 3, FALSE)</f>
        <v>Energy &amp; Conglomerate</v>
      </c>
    </row>
    <row r="1931" spans="1:14" x14ac:dyDescent="0.3">
      <c r="A1931" s="1">
        <v>46100</v>
      </c>
      <c r="B1931">
        <v>1378.4267578125</v>
      </c>
      <c r="C1931">
        <v>1409.1844489610974</v>
      </c>
      <c r="D1931">
        <v>1369.7667250791762</v>
      </c>
      <c r="E1931">
        <v>1381.6119817895922</v>
      </c>
      <c r="F1931">
        <v>16498373</v>
      </c>
      <c r="G1931" s="2" t="s">
        <v>15</v>
      </c>
      <c r="H1931">
        <v>-1.6547107763784985</v>
      </c>
      <c r="I1931">
        <v>89.862604677886949</v>
      </c>
      <c r="J1931">
        <v>1413.9823217773437</v>
      </c>
      <c r="K1931">
        <v>1.3417897207524003</v>
      </c>
      <c r="L1931">
        <v>0</v>
      </c>
      <c r="M1931" t="str">
        <f>VLOOKUP(fact_daily_prices[[#This Row],[Ticker]], dim_company[], 2, FALSE)</f>
        <v>Reliance Industries</v>
      </c>
      <c r="N1931" t="str">
        <f>VLOOKUP(fact_daily_prices[[#This Row],[Ticker]], dim_company[], 3, FALSE)</f>
        <v>Energy &amp; Conglomerate</v>
      </c>
    </row>
    <row r="1932" spans="1:14" x14ac:dyDescent="0.3">
      <c r="A1932" s="1">
        <v>46101</v>
      </c>
      <c r="B1932">
        <v>1407.8905029296875</v>
      </c>
      <c r="C1932">
        <v>1423.4186824363833</v>
      </c>
      <c r="D1932">
        <v>1389.6746767818197</v>
      </c>
      <c r="E1932">
        <v>1391.5659566755692</v>
      </c>
      <c r="F1932">
        <v>22994918</v>
      </c>
      <c r="G1932" s="2" t="s">
        <v>15</v>
      </c>
      <c r="H1932">
        <v>2.1374907988542802</v>
      </c>
      <c r="I1932">
        <v>91.783409584487572</v>
      </c>
      <c r="J1932">
        <v>1412.19458984375</v>
      </c>
      <c r="K1932">
        <v>1.3970635692900422</v>
      </c>
      <c r="L1932">
        <v>0</v>
      </c>
      <c r="M1932" t="str">
        <f>VLOOKUP(fact_daily_prices[[#This Row],[Ticker]], dim_company[], 2, FALSE)</f>
        <v>Reliance Industries</v>
      </c>
      <c r="N1932" t="str">
        <f>VLOOKUP(fact_daily_prices[[#This Row],[Ticker]], dim_company[], 3, FALSE)</f>
        <v>Energy &amp; Conglomerate</v>
      </c>
    </row>
    <row r="1933" spans="1:14" x14ac:dyDescent="0.3">
      <c r="A1933" s="1">
        <v>46104</v>
      </c>
      <c r="B1933">
        <v>1401.3209228515625</v>
      </c>
      <c r="C1933">
        <v>1409.0849519631761</v>
      </c>
      <c r="D1933">
        <v>1384.598192981382</v>
      </c>
      <c r="E1933">
        <v>1393.5567722314413</v>
      </c>
      <c r="F1933">
        <v>18979554</v>
      </c>
      <c r="G1933" s="2" t="s">
        <v>15</v>
      </c>
      <c r="H1933">
        <v>-0.46662578264817789</v>
      </c>
      <c r="I1933">
        <v>91.355124531172777</v>
      </c>
      <c r="J1933">
        <v>1410.9443725585938</v>
      </c>
      <c r="K1933">
        <v>1.3947036984512482</v>
      </c>
      <c r="L1933">
        <v>0</v>
      </c>
      <c r="M1933" t="str">
        <f>VLOOKUP(fact_daily_prices[[#This Row],[Ticker]], dim_company[], 2, FALSE)</f>
        <v>Reliance Industries</v>
      </c>
      <c r="N1933" t="str">
        <f>VLOOKUP(fact_daily_prices[[#This Row],[Ticker]], dim_company[], 3, FALSE)</f>
        <v>Energy &amp; Conglomerate</v>
      </c>
    </row>
    <row r="1934" spans="1:14" x14ac:dyDescent="0.3">
      <c r="A1934" s="1">
        <v>46105</v>
      </c>
      <c r="B1934">
        <v>1405.302490234375</v>
      </c>
      <c r="C1934">
        <v>1415.8536813182018</v>
      </c>
      <c r="D1934">
        <v>1400.1263494042955</v>
      </c>
      <c r="E1934">
        <v>1413.4647025895886</v>
      </c>
      <c r="F1934">
        <v>18620893</v>
      </c>
      <c r="G1934" s="2" t="s">
        <v>15</v>
      </c>
      <c r="H1934">
        <v>0.28412958929566745</v>
      </c>
      <c r="I1934">
        <v>91.614691471303757</v>
      </c>
      <c r="J1934">
        <v>1409.6802172851562</v>
      </c>
      <c r="K1934">
        <v>1.3877126266586164</v>
      </c>
      <c r="L1934">
        <v>0</v>
      </c>
      <c r="M1934" t="str">
        <f>VLOOKUP(fact_daily_prices[[#This Row],[Ticker]], dim_company[], 2, FALSE)</f>
        <v>Reliance Industries</v>
      </c>
      <c r="N1934" t="str">
        <f>VLOOKUP(fact_daily_prices[[#This Row],[Ticker]], dim_company[], 3, FALSE)</f>
        <v>Energy &amp; Conglomerate</v>
      </c>
    </row>
    <row r="1935" spans="1:14" x14ac:dyDescent="0.3">
      <c r="A1935" s="1">
        <v>46106</v>
      </c>
      <c r="B1935">
        <v>1406.596435546875</v>
      </c>
      <c r="C1935">
        <v>1423.9163794589117</v>
      </c>
      <c r="D1935">
        <v>1401.9181150601291</v>
      </c>
      <c r="E1935">
        <v>1413.4647038319849</v>
      </c>
      <c r="F1935">
        <v>19041331</v>
      </c>
      <c r="G1935" s="2" t="s">
        <v>15</v>
      </c>
      <c r="H1935">
        <v>9.2075928242629779E-2</v>
      </c>
      <c r="I1935">
        <v>91.699046548882578</v>
      </c>
      <c r="J1935">
        <v>1408.2846704101562</v>
      </c>
      <c r="K1935">
        <v>1.3880232610192453</v>
      </c>
      <c r="L1935">
        <v>0</v>
      </c>
      <c r="M1935" t="str">
        <f>VLOOKUP(fact_daily_prices[[#This Row],[Ticker]], dim_company[], 2, FALSE)</f>
        <v>Reliance Industries</v>
      </c>
      <c r="N1935" t="str">
        <f>VLOOKUP(fact_daily_prices[[#This Row],[Ticker]], dim_company[], 3, FALSE)</f>
        <v>Energy &amp; Conglomerate</v>
      </c>
    </row>
    <row r="1936" spans="1:14" x14ac:dyDescent="0.3">
      <c r="A1936" s="1">
        <v>46108</v>
      </c>
      <c r="B1936">
        <v>1341.8956298828125</v>
      </c>
      <c r="C1936">
        <v>1398.235116023098</v>
      </c>
      <c r="D1936">
        <v>1338.809921280448</v>
      </c>
      <c r="E1936">
        <v>1394.5521930958421</v>
      </c>
      <c r="F1936">
        <v>23266517</v>
      </c>
      <c r="G1936" s="2" t="s">
        <v>15</v>
      </c>
      <c r="H1936">
        <v>-4.5998129974577413</v>
      </c>
      <c r="I1936">
        <v>87.48106188718225</v>
      </c>
      <c r="J1936">
        <v>1406.2003076171875</v>
      </c>
      <c r="K1936">
        <v>1.6037335170085476</v>
      </c>
      <c r="L1936">
        <v>0</v>
      </c>
      <c r="M1936" t="str">
        <f>VLOOKUP(fact_daily_prices[[#This Row],[Ticker]], dim_company[], 2, FALSE)</f>
        <v>Reliance Industries</v>
      </c>
      <c r="N1936" t="str">
        <f>VLOOKUP(fact_daily_prices[[#This Row],[Ticker]], dim_company[], 3, FALSE)</f>
        <v>Energy &amp; Conglomerate</v>
      </c>
    </row>
    <row r="1937" spans="1:14" x14ac:dyDescent="0.3">
      <c r="A1937" s="1">
        <v>46111</v>
      </c>
      <c r="B1937">
        <v>1337.7149658203125</v>
      </c>
      <c r="C1937">
        <v>1358.7178325566667</v>
      </c>
      <c r="D1937">
        <v>1327.9600199575291</v>
      </c>
      <c r="E1937">
        <v>1328.8559021708061</v>
      </c>
      <c r="F1937">
        <v>24393861</v>
      </c>
      <c r="G1937" s="2" t="s">
        <v>15</v>
      </c>
      <c r="H1937">
        <v>-0.31154912270375812</v>
      </c>
      <c r="I1937">
        <v>87.208515406340794</v>
      </c>
      <c r="J1937">
        <v>1403.9128833007812</v>
      </c>
      <c r="K1937">
        <v>1.5908790154093451</v>
      </c>
      <c r="L1937">
        <v>0</v>
      </c>
      <c r="M1937" t="str">
        <f>VLOOKUP(fact_daily_prices[[#This Row],[Ticker]], dim_company[], 2, FALSE)</f>
        <v>Reliance Industries</v>
      </c>
      <c r="N1937" t="str">
        <f>VLOOKUP(fact_daily_prices[[#This Row],[Ticker]], dim_company[], 3, FALSE)</f>
        <v>Energy &amp; Conglomerate</v>
      </c>
    </row>
    <row r="1938" spans="1:14" x14ac:dyDescent="0.3">
      <c r="A1938" s="1">
        <v>46113</v>
      </c>
      <c r="B1938">
        <v>1362.8984375</v>
      </c>
      <c r="C1938">
        <v>1378.0285549484649</v>
      </c>
      <c r="D1938">
        <v>1356.6275051009461</v>
      </c>
      <c r="E1938">
        <v>1377.8294025098971</v>
      </c>
      <c r="F1938">
        <v>14404619</v>
      </c>
      <c r="G1938" s="2" t="s">
        <v>15</v>
      </c>
      <c r="H1938">
        <v>1.8825738160329619</v>
      </c>
      <c r="I1938">
        <v>88.850280082731643</v>
      </c>
      <c r="J1938">
        <v>1402.1291284179688</v>
      </c>
      <c r="K1938">
        <v>1.5995920160494328</v>
      </c>
      <c r="L1938">
        <v>0</v>
      </c>
      <c r="M1938" t="str">
        <f>VLOOKUP(fact_daily_prices[[#This Row],[Ticker]], dim_company[], 2, FALSE)</f>
        <v>Reliance Industries</v>
      </c>
      <c r="N1938" t="str">
        <f>VLOOKUP(fact_daily_prices[[#This Row],[Ticker]], dim_company[], 3, FALSE)</f>
        <v>Energy &amp; Conglomerate</v>
      </c>
    </row>
    <row r="1939" spans="1:14" x14ac:dyDescent="0.3">
      <c r="A1939" s="1">
        <v>46114</v>
      </c>
      <c r="B1939">
        <v>1344.2845458984375</v>
      </c>
      <c r="C1939">
        <v>1351.9490593116357</v>
      </c>
      <c r="D1939">
        <v>1321.8880984473344</v>
      </c>
      <c r="E1939">
        <v>1350.7546307176451</v>
      </c>
      <c r="F1939">
        <v>21280051</v>
      </c>
      <c r="G1939" s="2" t="s">
        <v>15</v>
      </c>
      <c r="H1939">
        <v>-1.3657577915861752</v>
      </c>
      <c r="I1939">
        <v>87.636800459655589</v>
      </c>
      <c r="J1939">
        <v>1399.9910131835939</v>
      </c>
      <c r="K1939">
        <v>1.5948363645947998</v>
      </c>
      <c r="L1939">
        <v>0</v>
      </c>
      <c r="M1939" t="str">
        <f>VLOOKUP(fact_daily_prices[[#This Row],[Ticker]], dim_company[], 2, FALSE)</f>
        <v>Reliance Industries</v>
      </c>
      <c r="N1939" t="str">
        <f>VLOOKUP(fact_daily_prices[[#This Row],[Ticker]], dim_company[], 3, FALSE)</f>
        <v>Energy &amp; Conglomerate</v>
      </c>
    </row>
    <row r="1940" spans="1:14" x14ac:dyDescent="0.3">
      <c r="A1940" s="1">
        <v>46118</v>
      </c>
      <c r="B1940">
        <v>1298.6953125</v>
      </c>
      <c r="C1940">
        <v>1352.7454554606609</v>
      </c>
      <c r="D1940">
        <v>1284.0630151171836</v>
      </c>
      <c r="E1940">
        <v>1352.7454554606609</v>
      </c>
      <c r="F1940">
        <v>29274881</v>
      </c>
      <c r="G1940" s="2" t="s">
        <v>15</v>
      </c>
      <c r="H1940">
        <v>-3.3913380569266627</v>
      </c>
      <c r="I1940">
        <v>84.664740293794409</v>
      </c>
      <c r="J1940">
        <v>1397.823037109375</v>
      </c>
      <c r="K1940">
        <v>1.6934814200985726</v>
      </c>
      <c r="L1940">
        <v>0</v>
      </c>
      <c r="M1940" t="str">
        <f>VLOOKUP(fact_daily_prices[[#This Row],[Ticker]], dim_company[], 2, FALSE)</f>
        <v>Reliance Industries</v>
      </c>
      <c r="N1940" t="str">
        <f>VLOOKUP(fact_daily_prices[[#This Row],[Ticker]], dim_company[], 3, FALSE)</f>
        <v>Energy &amp; Conglomerate</v>
      </c>
    </row>
    <row r="1941" spans="1:14" x14ac:dyDescent="0.3">
      <c r="A1941" s="1">
        <v>46119</v>
      </c>
      <c r="B1941">
        <v>1298.5958251953125</v>
      </c>
      <c r="C1941">
        <v>1302.2788696189978</v>
      </c>
      <c r="D1941">
        <v>1285.0584406719649</v>
      </c>
      <c r="E1941">
        <v>1289.0400315028619</v>
      </c>
      <c r="F1941">
        <v>28388922</v>
      </c>
      <c r="G1941" s="2" t="s">
        <v>15</v>
      </c>
      <c r="H1941">
        <v>-7.6605577713162454E-3</v>
      </c>
      <c r="I1941">
        <v>84.658254502452266</v>
      </c>
      <c r="J1941">
        <v>1396.0432666015624</v>
      </c>
      <c r="K1941">
        <v>1.6686520466031691</v>
      </c>
      <c r="L1941">
        <v>0</v>
      </c>
      <c r="M1941" t="str">
        <f>VLOOKUP(fact_daily_prices[[#This Row],[Ticker]], dim_company[], 2, FALSE)</f>
        <v>Reliance Industries</v>
      </c>
      <c r="N1941" t="str">
        <f>VLOOKUP(fact_daily_prices[[#This Row],[Ticker]], dim_company[], 3, FALSE)</f>
        <v>Energy &amp; Conglomerate</v>
      </c>
    </row>
    <row r="1942" spans="1:14" x14ac:dyDescent="0.3">
      <c r="A1942" s="1">
        <v>46120</v>
      </c>
      <c r="B1942">
        <v>1341.5970458984375</v>
      </c>
      <c r="C1942">
        <v>1344.3840865060406</v>
      </c>
      <c r="D1942">
        <v>1320.0963587364663</v>
      </c>
      <c r="E1942">
        <v>1342.7914745147666</v>
      </c>
      <c r="F1942">
        <v>21817543</v>
      </c>
      <c r="G1942" s="2" t="s">
        <v>15</v>
      </c>
      <c r="H1942">
        <v>3.3113629251547483</v>
      </c>
      <c r="I1942">
        <v>87.461596555129631</v>
      </c>
      <c r="J1942">
        <v>1394.9124951171875</v>
      </c>
      <c r="K1942">
        <v>1.7551868986798851</v>
      </c>
      <c r="L1942">
        <v>0</v>
      </c>
      <c r="M1942" t="str">
        <f>VLOOKUP(fact_daily_prices[[#This Row],[Ticker]], dim_company[], 2, FALSE)</f>
        <v>Reliance Industries</v>
      </c>
      <c r="N1942" t="str">
        <f>VLOOKUP(fact_daily_prices[[#This Row],[Ticker]], dim_company[], 3, FALSE)</f>
        <v>Energy &amp; Conglomerate</v>
      </c>
    </row>
    <row r="1943" spans="1:14" x14ac:dyDescent="0.3">
      <c r="A1943" s="1">
        <v>46121</v>
      </c>
      <c r="B1943">
        <v>1323.87890625</v>
      </c>
      <c r="C1943">
        <v>1343.7868597274437</v>
      </c>
      <c r="D1943">
        <v>1320.195983460075</v>
      </c>
      <c r="E1943">
        <v>1339.8052690319548</v>
      </c>
      <c r="F1943">
        <v>20725390</v>
      </c>
      <c r="G1943" s="2" t="s">
        <v>15</v>
      </c>
      <c r="H1943">
        <v>-1.3206752133664734</v>
      </c>
      <c r="I1943">
        <v>86.306512928211447</v>
      </c>
      <c r="J1943">
        <v>1393.4691674804687</v>
      </c>
      <c r="K1943">
        <v>1.7607940428268678</v>
      </c>
      <c r="L1943">
        <v>0</v>
      </c>
      <c r="M1943" t="str">
        <f>VLOOKUP(fact_daily_prices[[#This Row],[Ticker]], dim_company[], 2, FALSE)</f>
        <v>Reliance Industries</v>
      </c>
      <c r="N1943" t="str">
        <f>VLOOKUP(fact_daily_prices[[#This Row],[Ticker]], dim_company[], 3, FALSE)</f>
        <v>Energy &amp; Conglomerate</v>
      </c>
    </row>
    <row r="1944" spans="1:14" x14ac:dyDescent="0.3">
      <c r="A1944" s="1">
        <v>46122</v>
      </c>
      <c r="B1944">
        <v>1343.9859619140625</v>
      </c>
      <c r="C1944">
        <v>1346.0763943468285</v>
      </c>
      <c r="D1944">
        <v>1325.3720730291864</v>
      </c>
      <c r="E1944">
        <v>1330.8467605257397</v>
      </c>
      <c r="F1944">
        <v>19364461</v>
      </c>
      <c r="G1944" s="2" t="s">
        <v>15</v>
      </c>
      <c r="H1944">
        <v>1.5187987035020889</v>
      </c>
      <c r="I1944">
        <v>87.617335127602971</v>
      </c>
      <c r="J1944">
        <v>1392.7544726562501</v>
      </c>
      <c r="K1944">
        <v>1.7829786309005724</v>
      </c>
      <c r="L1944">
        <v>0</v>
      </c>
      <c r="M1944" t="str">
        <f>VLOOKUP(fact_daily_prices[[#This Row],[Ticker]], dim_company[], 2, FALSE)</f>
        <v>Reliance Industries</v>
      </c>
      <c r="N1944" t="str">
        <f>VLOOKUP(fact_daily_prices[[#This Row],[Ticker]], dim_company[], 3, FALSE)</f>
        <v>Energy &amp; Conglomerate</v>
      </c>
    </row>
    <row r="1945" spans="1:14" x14ac:dyDescent="0.3">
      <c r="A1945" s="1">
        <v>46125</v>
      </c>
      <c r="B1945">
        <v>1309.0474853515625</v>
      </c>
      <c r="C1945">
        <v>1321.4899565481755</v>
      </c>
      <c r="D1945">
        <v>1303.9709814050459</v>
      </c>
      <c r="E1945">
        <v>1315.1193869938079</v>
      </c>
      <c r="F1945">
        <v>28753269</v>
      </c>
      <c r="G1945" s="2" t="s">
        <v>15</v>
      </c>
      <c r="H1945">
        <v>-2.5996161829504372</v>
      </c>
      <c r="I1945">
        <v>85.339620704555884</v>
      </c>
      <c r="J1945">
        <v>1391.4524926757813</v>
      </c>
      <c r="K1945">
        <v>1.8367357861373992</v>
      </c>
      <c r="L1945">
        <v>0</v>
      </c>
      <c r="M1945" t="str">
        <f>VLOOKUP(fact_daily_prices[[#This Row],[Ticker]], dim_company[], 2, FALSE)</f>
        <v>Reliance Industries</v>
      </c>
      <c r="N1945" t="str">
        <f>VLOOKUP(fact_daily_prices[[#This Row],[Ticker]], dim_company[], 3, FALSE)</f>
        <v>Energy &amp; Conglomerate</v>
      </c>
    </row>
    <row r="1946" spans="1:14" x14ac:dyDescent="0.3">
      <c r="A1946" s="1">
        <v>46127</v>
      </c>
      <c r="B1946">
        <v>1337.9140625</v>
      </c>
      <c r="C1946">
        <v>1340.8007402141902</v>
      </c>
      <c r="D1946">
        <v>1328.0596006867011</v>
      </c>
      <c r="E1946">
        <v>1330.8467629297493</v>
      </c>
      <c r="F1946">
        <v>15313779</v>
      </c>
      <c r="G1946" s="2" t="s">
        <v>15</v>
      </c>
      <c r="H1946">
        <v>2.2051589015263939</v>
      </c>
      <c r="I1946">
        <v>87.221494947051269</v>
      </c>
      <c r="J1946">
        <v>1390.4053369140624</v>
      </c>
      <c r="K1946">
        <v>1.8571708510835254</v>
      </c>
      <c r="L1946">
        <v>0</v>
      </c>
      <c r="M1946" t="str">
        <f>VLOOKUP(fact_daily_prices[[#This Row],[Ticker]], dim_company[], 2, FALSE)</f>
        <v>Reliance Industries</v>
      </c>
      <c r="N1946" t="str">
        <f>VLOOKUP(fact_daily_prices[[#This Row],[Ticker]], dim_company[], 3, FALSE)</f>
        <v>Energy &amp; Conglomerate</v>
      </c>
    </row>
    <row r="1947" spans="1:14" x14ac:dyDescent="0.3">
      <c r="A1947" s="1">
        <v>46128</v>
      </c>
      <c r="B1947">
        <v>1337.1177978515625</v>
      </c>
      <c r="C1947">
        <v>1347.5694738488123</v>
      </c>
      <c r="D1947">
        <v>1323.8789596516422</v>
      </c>
      <c r="E1947">
        <v>1345.7777093601655</v>
      </c>
      <c r="F1947">
        <v>30211012</v>
      </c>
      <c r="G1947" s="2" t="s">
        <v>15</v>
      </c>
      <c r="H1947">
        <v>-5.9515380752450664E-2</v>
      </c>
      <c r="I1947">
        <v>87.169584742235557</v>
      </c>
      <c r="J1947">
        <v>1389.4557299804687</v>
      </c>
      <c r="K1947">
        <v>1.8523961438174079</v>
      </c>
      <c r="L1947">
        <v>0</v>
      </c>
      <c r="M1947" t="str">
        <f>VLOOKUP(fact_daily_prices[[#This Row],[Ticker]], dim_company[], 2, FALSE)</f>
        <v>Reliance Industries</v>
      </c>
      <c r="N1947" t="str">
        <f>VLOOKUP(fact_daily_prices[[#This Row],[Ticker]], dim_company[], 3, FALSE)</f>
        <v>Energy &amp; Conglomerate</v>
      </c>
    </row>
    <row r="1948" spans="1:14" x14ac:dyDescent="0.3">
      <c r="A1948" s="1">
        <v>46129</v>
      </c>
      <c r="B1948">
        <v>1358.7178955078125</v>
      </c>
      <c r="C1948">
        <v>1362.1022720767137</v>
      </c>
      <c r="D1948">
        <v>1333.8329523666439</v>
      </c>
      <c r="E1948">
        <v>1333.8329523666439</v>
      </c>
      <c r="F1948">
        <v>13869105</v>
      </c>
      <c r="G1948" s="2" t="s">
        <v>15</v>
      </c>
      <c r="H1948">
        <v>1.6154221932395352</v>
      </c>
      <c r="I1948">
        <v>88.577741559916376</v>
      </c>
      <c r="J1948">
        <v>1388.8505297851561</v>
      </c>
      <c r="K1948">
        <v>1.8732193205472485</v>
      </c>
      <c r="L1948">
        <v>0</v>
      </c>
      <c r="M1948" t="str">
        <f>VLOOKUP(fact_daily_prices[[#This Row],[Ticker]], dim_company[], 2, FALSE)</f>
        <v>Reliance Industries</v>
      </c>
      <c r="N1948" t="str">
        <f>VLOOKUP(fact_daily_prices[[#This Row],[Ticker]], dim_company[], 3, FALSE)</f>
        <v>Energy &amp; Conglomerate</v>
      </c>
    </row>
    <row r="1949" spans="1:14" x14ac:dyDescent="0.3">
      <c r="A1949" s="1">
        <v>46132</v>
      </c>
      <c r="B1949">
        <v>1357.0257568359375</v>
      </c>
      <c r="C1949">
        <v>1366.6810660920328</v>
      </c>
      <c r="D1949">
        <v>1346.5740808024586</v>
      </c>
      <c r="E1949">
        <v>1356.9261198573818</v>
      </c>
      <c r="F1949">
        <v>13614733</v>
      </c>
      <c r="G1949" s="2" t="s">
        <v>15</v>
      </c>
      <c r="H1949">
        <v>-0.12453936740434157</v>
      </c>
      <c r="I1949">
        <v>88.467427400916606</v>
      </c>
      <c r="J1949">
        <v>1388.311025390625</v>
      </c>
      <c r="K1949">
        <v>1.811840932385373</v>
      </c>
      <c r="L1949">
        <v>0</v>
      </c>
      <c r="M1949" t="str">
        <f>VLOOKUP(fact_daily_prices[[#This Row],[Ticker]], dim_company[], 2, FALSE)</f>
        <v>Reliance Industries</v>
      </c>
      <c r="N1949" t="str">
        <f>VLOOKUP(fact_daily_prices[[#This Row],[Ticker]], dim_company[], 3, FALSE)</f>
        <v>Energy &amp; Conglomerate</v>
      </c>
    </row>
    <row r="1950" spans="1:14" x14ac:dyDescent="0.3">
      <c r="A1950" s="1">
        <v>46133</v>
      </c>
      <c r="B1950">
        <v>1347.07177734375</v>
      </c>
      <c r="C1950">
        <v>1363.4958396538184</v>
      </c>
      <c r="D1950">
        <v>1343.8864317482064</v>
      </c>
      <c r="E1950">
        <v>1352.7454957201878</v>
      </c>
      <c r="F1950">
        <v>27293629</v>
      </c>
      <c r="G1950" s="2" t="s">
        <v>15</v>
      </c>
      <c r="H1950">
        <v>-0.73351441135475204</v>
      </c>
      <c r="I1950">
        <v>87.818506071576081</v>
      </c>
      <c r="J1950">
        <v>1386.6427416992187</v>
      </c>
      <c r="K1950">
        <v>1.8080976780563891</v>
      </c>
      <c r="L1950">
        <v>0</v>
      </c>
      <c r="M1950" t="str">
        <f>VLOOKUP(fact_daily_prices[[#This Row],[Ticker]], dim_company[], 2, FALSE)</f>
        <v>Reliance Industries</v>
      </c>
      <c r="N1950" t="str">
        <f>VLOOKUP(fact_daily_prices[[#This Row],[Ticker]], dim_company[], 3, FALSE)</f>
        <v>Energy &amp; Conglomerate</v>
      </c>
    </row>
    <row r="1951" spans="1:14" x14ac:dyDescent="0.3">
      <c r="A1951" s="1">
        <v>46134</v>
      </c>
      <c r="B1951">
        <v>1355.8311767578125</v>
      </c>
      <c r="C1951">
        <v>1359.7132520720183</v>
      </c>
      <c r="D1951">
        <v>1342.8910067161314</v>
      </c>
      <c r="E1951">
        <v>1344.0855568558529</v>
      </c>
      <c r="F1951">
        <v>9525953</v>
      </c>
      <c r="G1951" s="2" t="s">
        <v>15</v>
      </c>
      <c r="H1951">
        <v>0.65025483878333734</v>
      </c>
      <c r="I1951">
        <v>88.38955015665374</v>
      </c>
      <c r="J1951">
        <v>1384.7574560546875</v>
      </c>
      <c r="K1951">
        <v>1.7048755878573272</v>
      </c>
      <c r="L1951">
        <v>0</v>
      </c>
      <c r="M1951" t="str">
        <f>VLOOKUP(fact_daily_prices[[#This Row],[Ticker]], dim_company[], 2, FALSE)</f>
        <v>Reliance Industries</v>
      </c>
      <c r="N1951" t="str">
        <f>VLOOKUP(fact_daily_prices[[#This Row],[Ticker]], dim_company[], 3, FALSE)</f>
        <v>Energy &amp; Conglomerate</v>
      </c>
    </row>
    <row r="1952" spans="1:14" x14ac:dyDescent="0.3">
      <c r="A1952" s="1">
        <v>46135</v>
      </c>
      <c r="B1952">
        <v>1337.21728515625</v>
      </c>
      <c r="C1952">
        <v>1349.2615729405541</v>
      </c>
      <c r="D1952">
        <v>1334.529638479888</v>
      </c>
      <c r="E1952">
        <v>1339.8052948565</v>
      </c>
      <c r="F1952">
        <v>16385079</v>
      </c>
      <c r="G1952" s="2" t="s">
        <v>15</v>
      </c>
      <c r="H1952">
        <v>-1.3728767947403075</v>
      </c>
      <c r="I1952">
        <v>87.1760705335777</v>
      </c>
      <c r="J1952">
        <v>1382.7666601562501</v>
      </c>
      <c r="K1952">
        <v>1.7068272538055242</v>
      </c>
      <c r="L1952">
        <v>0</v>
      </c>
      <c r="M1952" t="str">
        <f>VLOOKUP(fact_daily_prices[[#This Row],[Ticker]], dim_company[], 2, FALSE)</f>
        <v>Reliance Industries</v>
      </c>
      <c r="N1952" t="str">
        <f>VLOOKUP(fact_daily_prices[[#This Row],[Ticker]], dim_company[], 3, FALSE)</f>
        <v>Energy &amp; Conglomerate</v>
      </c>
    </row>
    <row r="1953" spans="1:14" x14ac:dyDescent="0.3">
      <c r="A1953" s="1">
        <v>46136</v>
      </c>
      <c r="B1953">
        <v>1321.6890869140625</v>
      </c>
      <c r="C1953">
        <v>1339.7057606040942</v>
      </c>
      <c r="D1953">
        <v>1318.9019248091768</v>
      </c>
      <c r="E1953">
        <v>1333.8328899956955</v>
      </c>
      <c r="F1953">
        <v>11744802</v>
      </c>
      <c r="G1953" s="2" t="s">
        <v>15</v>
      </c>
      <c r="H1953">
        <v>-1.1612322406057696</v>
      </c>
      <c r="I1953">
        <v>86.163753896448569</v>
      </c>
      <c r="J1953">
        <v>1380.3179809570313</v>
      </c>
      <c r="K1953">
        <v>1.6924886500345924</v>
      </c>
      <c r="L1953">
        <v>0</v>
      </c>
      <c r="M1953" t="str">
        <f>VLOOKUP(fact_daily_prices[[#This Row],[Ticker]], dim_company[], 2, FALSE)</f>
        <v>Reliance Industries</v>
      </c>
      <c r="N1953" t="str">
        <f>VLOOKUP(fact_daily_prices[[#This Row],[Ticker]], dim_company[], 3, FALSE)</f>
        <v>Energy &amp; Conglomerate</v>
      </c>
    </row>
    <row r="1954" spans="1:14" x14ac:dyDescent="0.3">
      <c r="A1954" s="1">
        <v>46139</v>
      </c>
      <c r="B1954">
        <v>1359.51416015625</v>
      </c>
      <c r="C1954">
        <v>1365.2873936261717</v>
      </c>
      <c r="D1954">
        <v>1304.9663202853897</v>
      </c>
      <c r="E1954">
        <v>1306.9571155871215</v>
      </c>
      <c r="F1954">
        <v>24673098</v>
      </c>
      <c r="G1954" s="2" t="s">
        <v>15</v>
      </c>
      <c r="H1954">
        <v>2.861873765675349</v>
      </c>
      <c r="I1954">
        <v>88.629651764732102</v>
      </c>
      <c r="J1954">
        <v>1378.4107983398437</v>
      </c>
      <c r="K1954">
        <v>1.7746099991709432</v>
      </c>
      <c r="L1954">
        <v>0</v>
      </c>
      <c r="M1954" t="str">
        <f>VLOOKUP(fact_daily_prices[[#This Row],[Ticker]], dim_company[], 2, FALSE)</f>
        <v>Reliance Industries</v>
      </c>
      <c r="N1954" t="str">
        <f>VLOOKUP(fact_daily_prices[[#This Row],[Ticker]], dim_company[], 3, FALSE)</f>
        <v>Energy &amp; Conglomerate</v>
      </c>
    </row>
    <row r="1955" spans="1:14" x14ac:dyDescent="0.3">
      <c r="A1955" s="1">
        <v>46140</v>
      </c>
      <c r="B1955">
        <v>1382.5078125</v>
      </c>
      <c r="C1955">
        <v>1388.7787447541257</v>
      </c>
      <c r="D1955">
        <v>1350.7546033444401</v>
      </c>
      <c r="E1955">
        <v>1351.7500009887617</v>
      </c>
      <c r="F1955">
        <v>41027699</v>
      </c>
      <c r="G1955" s="2" t="s">
        <v>15</v>
      </c>
      <c r="H1955">
        <v>1.6913139279922884</v>
      </c>
      <c r="I1955">
        <v>90.128657409360073</v>
      </c>
      <c r="J1955">
        <v>1377.0252050781251</v>
      </c>
      <c r="K1955">
        <v>1.7876294415872538</v>
      </c>
      <c r="L1955">
        <v>0</v>
      </c>
      <c r="M1955" t="str">
        <f>VLOOKUP(fact_daily_prices[[#This Row],[Ticker]], dim_company[], 2, FALSE)</f>
        <v>Reliance Industries</v>
      </c>
      <c r="N1955" t="str">
        <f>VLOOKUP(fact_daily_prices[[#This Row],[Ticker]], dim_company[], 3, FALSE)</f>
        <v>Energy &amp; Conglomerate</v>
      </c>
    </row>
    <row r="1956" spans="1:14" x14ac:dyDescent="0.3">
      <c r="A1956" s="1">
        <v>46141</v>
      </c>
      <c r="B1956">
        <v>1418.83984375</v>
      </c>
      <c r="C1956">
        <v>1427.2012083655534</v>
      </c>
      <c r="D1956">
        <v>1384.896807968084</v>
      </c>
      <c r="E1956">
        <v>1385.5935377241706</v>
      </c>
      <c r="F1956">
        <v>30542143</v>
      </c>
      <c r="G1956" s="2" t="s">
        <v>15</v>
      </c>
      <c r="H1956">
        <v>2.6279801764230504</v>
      </c>
      <c r="I1956">
        <v>92.497220659354312</v>
      </c>
      <c r="J1956">
        <v>1376.1631909179687</v>
      </c>
      <c r="K1956">
        <v>1.8503604721358855</v>
      </c>
      <c r="L1956">
        <v>0</v>
      </c>
      <c r="M1956" t="str">
        <f>VLOOKUP(fact_daily_prices[[#This Row],[Ticker]], dim_company[], 2, FALSE)</f>
        <v>Reliance Industries</v>
      </c>
      <c r="N1956" t="str">
        <f>VLOOKUP(fact_daily_prices[[#This Row],[Ticker]], dim_company[], 3, FALSE)</f>
        <v>Energy &amp; Conglomerate</v>
      </c>
    </row>
    <row r="1957" spans="1:14" x14ac:dyDescent="0.3">
      <c r="A1957" s="1">
        <v>46142</v>
      </c>
      <c r="B1957">
        <v>1424.215087890625</v>
      </c>
      <c r="C1957">
        <v>1430.3865050711049</v>
      </c>
      <c r="D1957">
        <v>1386.6885214286783</v>
      </c>
      <c r="E1957">
        <v>1402.5153692729209</v>
      </c>
      <c r="F1957">
        <v>30957881</v>
      </c>
      <c r="G1957" s="2" t="s">
        <v>15</v>
      </c>
      <c r="H1957">
        <v>0.37884784278527928</v>
      </c>
      <c r="I1957">
        <v>92.847644384458619</v>
      </c>
      <c r="J1957">
        <v>1375.8028588867187</v>
      </c>
      <c r="K1957">
        <v>1.8427355473278202</v>
      </c>
      <c r="L1957">
        <v>0</v>
      </c>
      <c r="M1957" t="str">
        <f>VLOOKUP(fact_daily_prices[[#This Row],[Ticker]], dim_company[], 2, FALSE)</f>
        <v>Reliance Industries</v>
      </c>
      <c r="N1957" t="str">
        <f>VLOOKUP(fact_daily_prices[[#This Row],[Ticker]], dim_company[], 3, FALSE)</f>
        <v>Energy &amp; Conglomerate</v>
      </c>
    </row>
    <row r="1958" spans="1:14" x14ac:dyDescent="0.3">
      <c r="A1958" s="1">
        <v>46143</v>
      </c>
      <c r="B1958">
        <v>1424.215087890625</v>
      </c>
      <c r="C1958">
        <v>1424.215087890625</v>
      </c>
      <c r="D1958">
        <v>1424.215087890625</v>
      </c>
      <c r="E1958">
        <v>1424.215087890625</v>
      </c>
      <c r="F1958">
        <v>0</v>
      </c>
      <c r="G1958" s="2" t="s">
        <v>15</v>
      </c>
      <c r="H1958">
        <v>0</v>
      </c>
      <c r="I1958">
        <v>92.847644384458619</v>
      </c>
      <c r="J1958">
        <v>1376.025830078125</v>
      </c>
      <c r="K1958">
        <v>1.8348441003961544</v>
      </c>
      <c r="L1958">
        <v>0</v>
      </c>
      <c r="M1958" t="str">
        <f>VLOOKUP(fact_daily_prices[[#This Row],[Ticker]], dim_company[], 2, FALSE)</f>
        <v>Reliance Industries</v>
      </c>
      <c r="N1958" t="str">
        <f>VLOOKUP(fact_daily_prices[[#This Row],[Ticker]], dim_company[], 3, FALSE)</f>
        <v>Energy &amp; Conglomerate</v>
      </c>
    </row>
    <row r="1959" spans="1:14" x14ac:dyDescent="0.3">
      <c r="A1959" s="1">
        <v>46146</v>
      </c>
      <c r="B1959">
        <v>1456.3663330078125</v>
      </c>
      <c r="C1959">
        <v>1460.6465916696056</v>
      </c>
      <c r="D1959">
        <v>1426.8030702776821</v>
      </c>
      <c r="E1959">
        <v>1426.8030702776821</v>
      </c>
      <c r="F1959">
        <v>24035700</v>
      </c>
      <c r="G1959" s="2" t="s">
        <v>15</v>
      </c>
      <c r="H1959">
        <v>2.2574711776720546</v>
      </c>
      <c r="I1959">
        <v>94.943653195585213</v>
      </c>
      <c r="J1959">
        <v>1376.5434375</v>
      </c>
      <c r="K1959">
        <v>1.8766700798829787</v>
      </c>
      <c r="L1959">
        <v>0</v>
      </c>
      <c r="M1959" t="str">
        <f>VLOOKUP(fact_daily_prices[[#This Row],[Ticker]], dim_company[], 2, FALSE)</f>
        <v>Reliance Industries</v>
      </c>
      <c r="N1959" t="str">
        <f>VLOOKUP(fact_daily_prices[[#This Row],[Ticker]], dim_company[], 3, FALSE)</f>
        <v>Energy &amp; Conglomerate</v>
      </c>
    </row>
    <row r="1960" spans="1:14" x14ac:dyDescent="0.3">
      <c r="A1960" s="1">
        <v>46147</v>
      </c>
      <c r="B1960">
        <v>1456.864013671875</v>
      </c>
      <c r="C1960">
        <v>1466.6189594959255</v>
      </c>
      <c r="D1960">
        <v>1443.3266295857377</v>
      </c>
      <c r="E1960">
        <v>1453.280606341501</v>
      </c>
      <c r="F1960">
        <v>23543341</v>
      </c>
      <c r="G1960" s="2" t="s">
        <v>15</v>
      </c>
      <c r="H1960">
        <v>3.4172766342011052E-2</v>
      </c>
      <c r="I1960">
        <v>94.976098068348307</v>
      </c>
      <c r="J1960">
        <v>1377.3516992187499</v>
      </c>
      <c r="K1960">
        <v>1.8735736460559289</v>
      </c>
      <c r="L1960">
        <v>0</v>
      </c>
      <c r="M1960" t="str">
        <f>VLOOKUP(fact_daily_prices[[#This Row],[Ticker]], dim_company[], 2, FALSE)</f>
        <v>Reliance Industries</v>
      </c>
      <c r="N1960" t="str">
        <f>VLOOKUP(fact_daily_prices[[#This Row],[Ticker]], dim_company[], 3, FALSE)</f>
        <v>Energy &amp; Conglomerate</v>
      </c>
    </row>
    <row r="1961" spans="1:14" x14ac:dyDescent="0.3">
      <c r="A1961" s="1">
        <v>46148</v>
      </c>
      <c r="B1961">
        <v>1431.2823486328125</v>
      </c>
      <c r="C1961">
        <v>1466.519450812893</v>
      </c>
      <c r="D1961">
        <v>1420.9301884572374</v>
      </c>
      <c r="E1961">
        <v>1456.2668061036345</v>
      </c>
      <c r="F1961">
        <v>14221786</v>
      </c>
      <c r="G1961" s="2" t="s">
        <v>15</v>
      </c>
      <c r="H1961">
        <v>-1.7559404857963812</v>
      </c>
      <c r="I1961">
        <v>93.308374310536507</v>
      </c>
      <c r="J1961">
        <v>1377.2840112304686</v>
      </c>
      <c r="K1961">
        <v>1.8770165375232328</v>
      </c>
      <c r="L1961">
        <v>0</v>
      </c>
      <c r="M1961" t="str">
        <f>VLOOKUP(fact_daily_prices[[#This Row],[Ticker]], dim_company[], 2, FALSE)</f>
        <v>Reliance Industries</v>
      </c>
      <c r="N1961" t="str">
        <f>VLOOKUP(fact_daily_prices[[#This Row],[Ticker]], dim_company[], 3, FALSE)</f>
        <v>Energy &amp; Conglomerate</v>
      </c>
    </row>
    <row r="1962" spans="1:14" x14ac:dyDescent="0.3">
      <c r="A1962" s="1">
        <v>46149</v>
      </c>
      <c r="B1962">
        <v>1429.590087890625</v>
      </c>
      <c r="C1962">
        <v>1442.8289255313271</v>
      </c>
      <c r="D1962">
        <v>1423.7173388327619</v>
      </c>
      <c r="E1962">
        <v>1432.1782190445704</v>
      </c>
      <c r="F1962">
        <v>19816903</v>
      </c>
      <c r="G1962" s="2" t="s">
        <v>15</v>
      </c>
      <c r="H1962">
        <v>-0.11823388612344221</v>
      </c>
      <c r="I1962">
        <v>93.198052193510549</v>
      </c>
      <c r="J1962">
        <v>1377.8155517578125</v>
      </c>
      <c r="K1962">
        <v>1.8391472691644788</v>
      </c>
      <c r="L1962">
        <v>0</v>
      </c>
      <c r="M1962" t="str">
        <f>VLOOKUP(fact_daily_prices[[#This Row],[Ticker]], dim_company[], 2, FALSE)</f>
        <v>Reliance Industries</v>
      </c>
      <c r="N1962" t="str">
        <f>VLOOKUP(fact_daily_prices[[#This Row],[Ticker]], dim_company[], 3, FALSE)</f>
        <v>Energy &amp; Conglomerate</v>
      </c>
    </row>
    <row r="1963" spans="1:14" x14ac:dyDescent="0.3">
      <c r="A1963" s="1">
        <v>46150</v>
      </c>
      <c r="B1963">
        <v>1428.5947265625</v>
      </c>
      <c r="C1963">
        <v>1436.1598462687914</v>
      </c>
      <c r="D1963">
        <v>1410.9762359236815</v>
      </c>
      <c r="E1963">
        <v>1419.4371163507371</v>
      </c>
      <c r="F1963">
        <v>8663105</v>
      </c>
      <c r="G1963" s="2" t="s">
        <v>15</v>
      </c>
      <c r="H1963">
        <v>-6.9625645599824537E-2</v>
      </c>
      <c r="I1963">
        <v>93.133162447984347</v>
      </c>
      <c r="J1963">
        <v>1378.1300952148438</v>
      </c>
      <c r="K1963">
        <v>1.8365986364930562</v>
      </c>
      <c r="L1963">
        <v>0</v>
      </c>
      <c r="M1963" t="str">
        <f>VLOOKUP(fact_daily_prices[[#This Row],[Ticker]], dim_company[], 2, FALSE)</f>
        <v>Reliance Industries</v>
      </c>
      <c r="N1963" t="str">
        <f>VLOOKUP(fact_daily_prices[[#This Row],[Ticker]], dim_company[], 3, FALSE)</f>
        <v>Energy &amp; Conglomerate</v>
      </c>
    </row>
    <row r="1964" spans="1:14" x14ac:dyDescent="0.3">
      <c r="A1964" s="1">
        <v>46153</v>
      </c>
      <c r="B1964">
        <v>1381.81103515625</v>
      </c>
      <c r="C1964">
        <v>1421.427912122738</v>
      </c>
      <c r="D1964">
        <v>1375.6396180347506</v>
      </c>
      <c r="E1964">
        <v>1413.4647305422184</v>
      </c>
      <c r="F1964">
        <v>15261787</v>
      </c>
      <c r="G1964" s="2" t="s">
        <v>15</v>
      </c>
      <c r="H1964">
        <v>-3.2748049909732901</v>
      </c>
      <c r="I1964">
        <v>90.083232995886505</v>
      </c>
      <c r="J1964">
        <v>1377.3377587890625</v>
      </c>
      <c r="K1964">
        <v>1.935291363832043</v>
      </c>
      <c r="L1964">
        <v>0</v>
      </c>
      <c r="M1964" t="str">
        <f>VLOOKUP(fact_daily_prices[[#This Row],[Ticker]], dim_company[], 2, FALSE)</f>
        <v>Reliance Industries</v>
      </c>
      <c r="N1964" t="str">
        <f>VLOOKUP(fact_daily_prices[[#This Row],[Ticker]], dim_company[], 3, FALSE)</f>
        <v>Energy &amp; Conglomerate</v>
      </c>
    </row>
    <row r="1965" spans="1:14" x14ac:dyDescent="0.3">
      <c r="A1965" s="1">
        <v>46154</v>
      </c>
      <c r="B1965">
        <v>1357.722412109375</v>
      </c>
      <c r="C1965">
        <v>1387.0866431630602</v>
      </c>
      <c r="D1965">
        <v>1354.0394893602804</v>
      </c>
      <c r="E1965">
        <v>1385.5935466688049</v>
      </c>
      <c r="F1965">
        <v>24357500</v>
      </c>
      <c r="G1965" s="2" t="s">
        <v>15</v>
      </c>
      <c r="H1965">
        <v>-1.7432646312707356</v>
      </c>
      <c r="I1965">
        <v>88.512843856364</v>
      </c>
      <c r="J1965">
        <v>1376.0636499023437</v>
      </c>
      <c r="K1965">
        <v>1.9598911611937238</v>
      </c>
      <c r="L1965">
        <v>0</v>
      </c>
      <c r="M1965" t="str">
        <f>VLOOKUP(fact_daily_prices[[#This Row],[Ticker]], dim_company[], 2, FALSE)</f>
        <v>Reliance Industries</v>
      </c>
      <c r="N1965" t="str">
        <f>VLOOKUP(fact_daily_prices[[#This Row],[Ticker]], dim_company[], 3, FALSE)</f>
        <v>Energy &amp; Conglomerate</v>
      </c>
    </row>
    <row r="1966" spans="1:14" x14ac:dyDescent="0.3">
      <c r="A1966" s="1">
        <v>46155</v>
      </c>
      <c r="B1966">
        <v>1352.54638671875</v>
      </c>
      <c r="C1966">
        <v>1366.0837705701026</v>
      </c>
      <c r="D1966">
        <v>1346.1758174038478</v>
      </c>
      <c r="E1966">
        <v>1355.1343963286624</v>
      </c>
      <c r="F1966">
        <v>13797989</v>
      </c>
      <c r="G1966" s="2" t="s">
        <v>15</v>
      </c>
      <c r="H1966">
        <v>-0.381228544543466</v>
      </c>
      <c r="I1966">
        <v>88.175407629996343</v>
      </c>
      <c r="J1966">
        <v>1375.2733032226563</v>
      </c>
      <c r="K1966">
        <v>1.7677618524293206</v>
      </c>
      <c r="L1966">
        <v>0</v>
      </c>
      <c r="M1966" t="str">
        <f>VLOOKUP(fact_daily_prices[[#This Row],[Ticker]], dim_company[], 2, FALSE)</f>
        <v>Reliance Industries</v>
      </c>
      <c r="N1966" t="str">
        <f>VLOOKUP(fact_daily_prices[[#This Row],[Ticker]], dim_company[], 3, FALSE)</f>
        <v>Energy &amp; Conglomerate</v>
      </c>
    </row>
    <row r="1967" spans="1:14" x14ac:dyDescent="0.3">
      <c r="A1967" s="1">
        <v>46156</v>
      </c>
      <c r="B1967">
        <v>1355.5325927734375</v>
      </c>
      <c r="C1967">
        <v>1371.6579863902991</v>
      </c>
      <c r="D1967">
        <v>1352.1482164008171</v>
      </c>
      <c r="E1967">
        <v>1358.9168476375537</v>
      </c>
      <c r="F1967">
        <v>17303059</v>
      </c>
      <c r="G1967" s="2" t="s">
        <v>15</v>
      </c>
      <c r="H1967">
        <v>0.22078400297471656</v>
      </c>
      <c r="I1967">
        <v>88.370084824601122</v>
      </c>
      <c r="J1967">
        <v>1374.3774438476562</v>
      </c>
      <c r="K1967">
        <v>1.76676765735184</v>
      </c>
      <c r="L1967">
        <v>0</v>
      </c>
      <c r="M1967" t="str">
        <f>VLOOKUP(fact_daily_prices[[#This Row],[Ticker]], dim_company[], 2, FALSE)</f>
        <v>Reliance Industries</v>
      </c>
      <c r="N1967" t="str">
        <f>VLOOKUP(fact_daily_prices[[#This Row],[Ticker]], dim_company[], 3, FALSE)</f>
        <v>Energy &amp; Conglomerate</v>
      </c>
    </row>
    <row r="1968" spans="1:14" x14ac:dyDescent="0.3">
      <c r="A1968" s="1">
        <v>46157</v>
      </c>
      <c r="B1968">
        <v>1330.24951171875</v>
      </c>
      <c r="C1968">
        <v>1358.5188307246151</v>
      </c>
      <c r="D1968">
        <v>1323.082575367519</v>
      </c>
      <c r="E1968">
        <v>1350.5556491178086</v>
      </c>
      <c r="F1968">
        <v>19976192</v>
      </c>
      <c r="G1968" s="2" t="s">
        <v>15</v>
      </c>
      <c r="H1968">
        <v>-1.8651769193507861</v>
      </c>
      <c r="I1968">
        <v>86.721826398841955</v>
      </c>
      <c r="J1968">
        <v>1373.2327368164063</v>
      </c>
      <c r="K1968">
        <v>1.7658930043795849</v>
      </c>
      <c r="L1968">
        <v>0</v>
      </c>
      <c r="M1968" t="str">
        <f>VLOOKUP(fact_daily_prices[[#This Row],[Ticker]], dim_company[], 2, FALSE)</f>
        <v>Reliance Industries</v>
      </c>
      <c r="N1968" t="str">
        <f>VLOOKUP(fact_daily_prices[[#This Row],[Ticker]], dim_company[], 3, FALSE)</f>
        <v>Energy &amp; Conglomerate</v>
      </c>
    </row>
    <row r="1969" spans="1:14" x14ac:dyDescent="0.3">
      <c r="A1969" s="1">
        <v>46160</v>
      </c>
      <c r="B1969">
        <v>1329.7518310546875</v>
      </c>
      <c r="C1969">
        <v>1335.8237328112184</v>
      </c>
      <c r="D1969">
        <v>1312.6309174607941</v>
      </c>
      <c r="E1969">
        <v>1327.8605510955031</v>
      </c>
      <c r="F1969">
        <v>13022473</v>
      </c>
      <c r="G1969" s="2" t="s">
        <v>15</v>
      </c>
      <c r="H1969">
        <v>-3.7412580097062609E-2</v>
      </c>
      <c r="I1969">
        <v>86.689381526078847</v>
      </c>
      <c r="J1969">
        <v>1372.7927734375</v>
      </c>
      <c r="K1969">
        <v>1.7487418904404957</v>
      </c>
      <c r="L1969">
        <v>0</v>
      </c>
      <c r="M1969" t="str">
        <f>VLOOKUP(fact_daily_prices[[#This Row],[Ticker]], dim_company[], 2, FALSE)</f>
        <v>Reliance Industries</v>
      </c>
      <c r="N1969" t="str">
        <f>VLOOKUP(fact_daily_prices[[#This Row],[Ticker]], dim_company[], 3, FALSE)</f>
        <v>Energy &amp; Conglomerate</v>
      </c>
    </row>
    <row r="1970" spans="1:14" x14ac:dyDescent="0.3">
      <c r="A1970" s="1">
        <v>46161</v>
      </c>
      <c r="B1970">
        <v>1316.6124267578125</v>
      </c>
      <c r="C1970">
        <v>1337.8144453658963</v>
      </c>
      <c r="D1970">
        <v>1312.3322897558653</v>
      </c>
      <c r="E1970">
        <v>1332.5387892026445</v>
      </c>
      <c r="F1970">
        <v>21665501</v>
      </c>
      <c r="G1970" s="2" t="s">
        <v>15</v>
      </c>
      <c r="H1970">
        <v>-0.98810950961079058</v>
      </c>
      <c r="I1970">
        <v>85.832795503396881</v>
      </c>
      <c r="J1970">
        <v>1372.3488232421876</v>
      </c>
      <c r="K1970">
        <v>1.6407585529548314</v>
      </c>
      <c r="L1970">
        <v>0</v>
      </c>
      <c r="M1970" t="str">
        <f>VLOOKUP(fact_daily_prices[[#This Row],[Ticker]], dim_company[], 2, FALSE)</f>
        <v>Reliance Industries</v>
      </c>
      <c r="N1970" t="str">
        <f>VLOOKUP(fact_daily_prices[[#This Row],[Ticker]], dim_company[], 3, FALSE)</f>
        <v>Energy &amp; Conglomerate</v>
      </c>
    </row>
    <row r="1971" spans="1:14" x14ac:dyDescent="0.3">
      <c r="A1971" s="1">
        <v>46162</v>
      </c>
      <c r="B1971">
        <v>1353.442138671875</v>
      </c>
      <c r="C1971">
        <v>1356.6274840630256</v>
      </c>
      <c r="D1971">
        <v>1306.5589335695411</v>
      </c>
      <c r="E1971">
        <v>1312.6308349443716</v>
      </c>
      <c r="F1971">
        <v>13248515</v>
      </c>
      <c r="G1971" s="2" t="s">
        <v>15</v>
      </c>
      <c r="H1971">
        <v>2.7973085446836077</v>
      </c>
      <c r="I1971">
        <v>88.233803626154213</v>
      </c>
      <c r="J1971">
        <v>1371.7575537109376</v>
      </c>
      <c r="K1971">
        <v>1.7150858625473895</v>
      </c>
      <c r="L1971">
        <v>0</v>
      </c>
      <c r="M1971" t="str">
        <f>VLOOKUP(fact_daily_prices[[#This Row],[Ticker]], dim_company[], 2, FALSE)</f>
        <v>Reliance Industries</v>
      </c>
      <c r="N1971" t="str">
        <f>VLOOKUP(fact_daily_prices[[#This Row],[Ticker]], dim_company[], 3, FALSE)</f>
        <v>Energy &amp; Conglomerate</v>
      </c>
    </row>
    <row r="1972" spans="1:14" x14ac:dyDescent="0.3">
      <c r="A1972" s="1">
        <v>46163</v>
      </c>
      <c r="B1972">
        <v>1343.388671875</v>
      </c>
      <c r="C1972">
        <v>1364.5906908611551</v>
      </c>
      <c r="D1972">
        <v>1339.0088978228712</v>
      </c>
      <c r="E1972">
        <v>1360.9076465750106</v>
      </c>
      <c r="F1972">
        <v>17150630</v>
      </c>
      <c r="G1972" s="2" t="s">
        <v>15</v>
      </c>
      <c r="H1972">
        <v>-0.74280728445033084</v>
      </c>
      <c r="I1972">
        <v>87.578396505471545</v>
      </c>
      <c r="J1972">
        <v>1370.6586328124999</v>
      </c>
      <c r="K1972">
        <v>1.6143392178578788</v>
      </c>
      <c r="L1972">
        <v>0</v>
      </c>
      <c r="M1972" t="str">
        <f>VLOOKUP(fact_daily_prices[[#This Row],[Ticker]], dim_company[], 2, FALSE)</f>
        <v>Reliance Industries</v>
      </c>
      <c r="N1972" t="str">
        <f>VLOOKUP(fact_daily_prices[[#This Row],[Ticker]], dim_company[], 3, FALSE)</f>
        <v>Energy &amp; Conglomerate</v>
      </c>
    </row>
    <row r="1973" spans="1:14" x14ac:dyDescent="0.3">
      <c r="A1973" s="1">
        <v>46164</v>
      </c>
      <c r="B1973">
        <v>1348.26611328125</v>
      </c>
      <c r="C1973">
        <v>1361.1067672332481</v>
      </c>
      <c r="D1973">
        <v>1342.8909416840763</v>
      </c>
      <c r="E1973">
        <v>1343.7868238683554</v>
      </c>
      <c r="F1973">
        <v>7105813</v>
      </c>
      <c r="G1973" s="2" t="s">
        <v>15</v>
      </c>
      <c r="H1973">
        <v>0.36307001155833074</v>
      </c>
      <c r="I1973">
        <v>87.89636739978657</v>
      </c>
      <c r="J1973">
        <v>1369.2750292968749</v>
      </c>
      <c r="K1973">
        <v>1.5953860251636365</v>
      </c>
      <c r="L1973">
        <v>0</v>
      </c>
      <c r="M1973" t="str">
        <f>VLOOKUP(fact_daily_prices[[#This Row],[Ticker]], dim_company[], 2, FALSE)</f>
        <v>Reliance Industries</v>
      </c>
      <c r="N1973" t="str">
        <f>VLOOKUP(fact_daily_prices[[#This Row],[Ticker]], dim_company[], 3, FALSE)</f>
        <v>Energy &amp; Conglomerate</v>
      </c>
    </row>
    <row r="1974" spans="1:14" x14ac:dyDescent="0.3">
      <c r="A1974" s="1">
        <v>46167</v>
      </c>
      <c r="B1974">
        <v>1360.7086181640625</v>
      </c>
      <c r="C1974">
        <v>1364.7897243191817</v>
      </c>
      <c r="D1974">
        <v>1350.7546414401118</v>
      </c>
      <c r="E1974">
        <v>1360.5095872329855</v>
      </c>
      <c r="F1974">
        <v>6750071</v>
      </c>
      <c r="G1974" s="2" t="s">
        <v>15</v>
      </c>
      <c r="H1974">
        <v>0.92285230343225333</v>
      </c>
      <c r="I1974">
        <v>88.707521050968779</v>
      </c>
      <c r="J1974">
        <v>1368.4428759765624</v>
      </c>
      <c r="K1974">
        <v>1.5804047739954328</v>
      </c>
      <c r="L1974">
        <v>0</v>
      </c>
      <c r="M1974" t="str">
        <f>VLOOKUP(fact_daily_prices[[#This Row],[Ticker]], dim_company[], 2, FALSE)</f>
        <v>Reliance Industries</v>
      </c>
      <c r="N1974" t="str">
        <f>VLOOKUP(fact_daily_prices[[#This Row],[Ticker]], dim_company[], 3, FALSE)</f>
        <v>Energy &amp; Conglomerate</v>
      </c>
    </row>
    <row r="1975" spans="1:14" x14ac:dyDescent="0.3">
      <c r="A1975" s="1">
        <v>46168</v>
      </c>
      <c r="B1975">
        <v>1350.0579833984375</v>
      </c>
      <c r="C1975">
        <v>1362.2017870434288</v>
      </c>
      <c r="D1975">
        <v>1346.1759079681497</v>
      </c>
      <c r="E1975">
        <v>1353.8404218493883</v>
      </c>
      <c r="F1975">
        <v>13769747</v>
      </c>
      <c r="G1975" s="2" t="s">
        <v>15</v>
      </c>
      <c r="H1975">
        <v>-0.78272707495564697</v>
      </c>
      <c r="I1975">
        <v>88.01318326618086</v>
      </c>
      <c r="J1975">
        <v>1367.7680004882814</v>
      </c>
      <c r="K1975">
        <v>1.5084095995595099</v>
      </c>
      <c r="L1975">
        <v>0</v>
      </c>
      <c r="M1975" t="str">
        <f>VLOOKUP(fact_daily_prices[[#This Row],[Ticker]], dim_company[], 2, FALSE)</f>
        <v>Reliance Industries</v>
      </c>
      <c r="N1975" t="str">
        <f>VLOOKUP(fact_daily_prices[[#This Row],[Ticker]], dim_company[], 3, FALSE)</f>
        <v>Energy &amp; Conglomerate</v>
      </c>
    </row>
    <row r="1976" spans="1:14" x14ac:dyDescent="0.3">
      <c r="A1976" s="1">
        <v>46169</v>
      </c>
      <c r="B1976">
        <v>1344.2845458984375</v>
      </c>
      <c r="C1976">
        <v>1354.7362213756189</v>
      </c>
      <c r="D1976">
        <v>1342.3932660341991</v>
      </c>
      <c r="E1976">
        <v>1346.7730400596713</v>
      </c>
      <c r="F1976">
        <v>13215138</v>
      </c>
      <c r="G1976" s="2" t="s">
        <v>15</v>
      </c>
      <c r="H1976">
        <v>-0.42764366945683419</v>
      </c>
      <c r="I1976">
        <v>87.636800459655589</v>
      </c>
      <c r="J1976">
        <v>1366.9378393554687</v>
      </c>
      <c r="K1976">
        <v>1.4582969956517005</v>
      </c>
      <c r="L1976">
        <v>0</v>
      </c>
      <c r="M1976" t="str">
        <f>VLOOKUP(fact_daily_prices[[#This Row],[Ticker]], dim_company[], 2, FALSE)</f>
        <v>Reliance Industries</v>
      </c>
      <c r="N1976" t="str">
        <f>VLOOKUP(fact_daily_prices[[#This Row],[Ticker]], dim_company[], 3, FALSE)</f>
        <v>Energy &amp; Conglomerate</v>
      </c>
    </row>
    <row r="1977" spans="1:14" x14ac:dyDescent="0.3">
      <c r="A1977" s="1">
        <v>46170</v>
      </c>
      <c r="B1977">
        <v>1344.2845458984375</v>
      </c>
      <c r="C1977">
        <v>1344.2845458984375</v>
      </c>
      <c r="D1977">
        <v>1344.2845458984375</v>
      </c>
      <c r="E1977">
        <v>1344.2845458984375</v>
      </c>
      <c r="F1977">
        <v>0</v>
      </c>
      <c r="G1977" s="2" t="s">
        <v>15</v>
      </c>
      <c r="H1977">
        <v>0</v>
      </c>
      <c r="I1977">
        <v>87.636800459655589</v>
      </c>
      <c r="J1977">
        <v>1366.3366186523438</v>
      </c>
      <c r="K1977">
        <v>1.4582170034244941</v>
      </c>
      <c r="L1977">
        <v>0</v>
      </c>
      <c r="M1977" t="str">
        <f>VLOOKUP(fact_daily_prices[[#This Row],[Ticker]], dim_company[], 2, FALSE)</f>
        <v>Reliance Industries</v>
      </c>
      <c r="N1977" t="str">
        <f>VLOOKUP(fact_daily_prices[[#This Row],[Ticker]], dim_company[], 3, FALSE)</f>
        <v>Energy &amp; Conglomerate</v>
      </c>
    </row>
    <row r="1978" spans="1:14" x14ac:dyDescent="0.3">
      <c r="A1978" s="1">
        <v>46171</v>
      </c>
      <c r="B1978">
        <v>1315.119384765625</v>
      </c>
      <c r="C1978">
        <v>1362.6994431442622</v>
      </c>
      <c r="D1978">
        <v>1310.9387630540491</v>
      </c>
      <c r="E1978">
        <v>1357.7224546740497</v>
      </c>
      <c r="F1978">
        <v>42634247</v>
      </c>
      <c r="G1978" s="2" t="s">
        <v>15</v>
      </c>
      <c r="H1978">
        <v>-2.1695675384946322</v>
      </c>
      <c r="I1978">
        <v>85.735460885107585</v>
      </c>
      <c r="J1978">
        <v>1364.8654199218749</v>
      </c>
      <c r="K1978">
        <v>1.4797241379639148</v>
      </c>
      <c r="L1978">
        <v>1</v>
      </c>
      <c r="M1978" t="str">
        <f>VLOOKUP(fact_daily_prices[[#This Row],[Ticker]], dim_company[], 2, FALSE)</f>
        <v>Reliance Industries</v>
      </c>
      <c r="N1978" t="str">
        <f>VLOOKUP(fact_daily_prices[[#This Row],[Ticker]], dim_company[], 3, FALSE)</f>
        <v>Energy &amp; Conglomerate</v>
      </c>
    </row>
    <row r="1979" spans="1:14" x14ac:dyDescent="0.3">
      <c r="A1979" s="1">
        <v>46174</v>
      </c>
      <c r="B1979">
        <v>1313.9249267578125</v>
      </c>
      <c r="C1979">
        <v>1329.353590670499</v>
      </c>
      <c r="D1979">
        <v>1312.4318302501331</v>
      </c>
      <c r="E1979">
        <v>1326.3673976551404</v>
      </c>
      <c r="F1979">
        <v>10700603</v>
      </c>
      <c r="G1979" s="2" t="s">
        <v>15</v>
      </c>
      <c r="H1979">
        <v>-9.0825062853538974E-2</v>
      </c>
      <c r="I1979">
        <v>85.657591598870923</v>
      </c>
      <c r="J1979">
        <v>1363.3205639648438</v>
      </c>
      <c r="K1979">
        <v>1.4797161622375323</v>
      </c>
      <c r="L1979">
        <v>0</v>
      </c>
      <c r="M1979" t="str">
        <f>VLOOKUP(fact_daily_prices[[#This Row],[Ticker]], dim_company[], 2, FALSE)</f>
        <v>Reliance Industries</v>
      </c>
      <c r="N1979" t="str">
        <f>VLOOKUP(fact_daily_prices[[#This Row],[Ticker]], dim_company[], 3, FALSE)</f>
        <v>Energy &amp; Conglomerate</v>
      </c>
    </row>
    <row r="1980" spans="1:14" x14ac:dyDescent="0.3">
      <c r="A1980" s="1">
        <v>46175</v>
      </c>
      <c r="B1980">
        <v>1308.5498046875</v>
      </c>
      <c r="C1980">
        <v>1321.6891273588139</v>
      </c>
      <c r="D1980">
        <v>1294.3156903458798</v>
      </c>
      <c r="E1980">
        <v>1301.6815361898257</v>
      </c>
      <c r="F1980">
        <v>23302785</v>
      </c>
      <c r="G1980" s="2" t="s">
        <v>15</v>
      </c>
      <c r="H1980">
        <v>-0.40908897919882392</v>
      </c>
      <c r="I1980">
        <v>85.30717583179279</v>
      </c>
      <c r="J1980">
        <v>1361.4591699218749</v>
      </c>
      <c r="K1980">
        <v>1.4760847320929744</v>
      </c>
      <c r="L1980">
        <v>0</v>
      </c>
      <c r="M1980" t="str">
        <f>VLOOKUP(fact_daily_prices[[#This Row],[Ticker]], dim_company[], 2, FALSE)</f>
        <v>Reliance Industries</v>
      </c>
      <c r="N1980" t="str">
        <f>VLOOKUP(fact_daily_prices[[#This Row],[Ticker]], dim_company[], 3, FALSE)</f>
        <v>Energy &amp; Conglomerate</v>
      </c>
    </row>
    <row r="1981" spans="1:14" x14ac:dyDescent="0.3">
      <c r="A1981" s="1">
        <v>46176</v>
      </c>
      <c r="B1981">
        <v>1307.15625</v>
      </c>
      <c r="C1981">
        <v>1317.906594083847</v>
      </c>
      <c r="D1981">
        <v>1295.0124463014238</v>
      </c>
      <c r="E1981">
        <v>1308.9480145168118</v>
      </c>
      <c r="F1981">
        <v>20012293</v>
      </c>
      <c r="G1981" s="2" t="s">
        <v>15</v>
      </c>
      <c r="H1981">
        <v>-0.1064961136754583</v>
      </c>
      <c r="I1981">
        <v>85.216327004845638</v>
      </c>
      <c r="J1981">
        <v>1360.0337597656251</v>
      </c>
      <c r="K1981">
        <v>1.4695176768981002</v>
      </c>
      <c r="L1981">
        <v>0</v>
      </c>
      <c r="M1981" t="str">
        <f>VLOOKUP(fact_daily_prices[[#This Row],[Ticker]], dim_company[], 2, FALSE)</f>
        <v>Reliance Industries</v>
      </c>
      <c r="N1981" t="str">
        <f>VLOOKUP(fact_daily_prices[[#This Row],[Ticker]], dim_company[], 3, FALSE)</f>
        <v>Energy &amp; Conglomerate</v>
      </c>
    </row>
    <row r="1982" spans="1:14" x14ac:dyDescent="0.3">
      <c r="A1982" s="1">
        <v>46177</v>
      </c>
      <c r="B1982">
        <v>1297.699951171875</v>
      </c>
      <c r="C1982">
        <v>1305.1654340270677</v>
      </c>
      <c r="D1982">
        <v>1287.1487597049047</v>
      </c>
      <c r="E1982">
        <v>1295.0124259474096</v>
      </c>
      <c r="F1982">
        <v>23474327</v>
      </c>
      <c r="G1982" s="2" t="s">
        <v>15</v>
      </c>
      <c r="H1982">
        <v>-0.72342528508929638</v>
      </c>
      <c r="I1982">
        <v>84.599850548268222</v>
      </c>
      <c r="J1982">
        <v>1357.8299487304687</v>
      </c>
      <c r="K1982">
        <v>1.4550050246036574</v>
      </c>
      <c r="L1982">
        <v>0</v>
      </c>
      <c r="M1982" t="str">
        <f>VLOOKUP(fact_daily_prices[[#This Row],[Ticker]], dim_company[], 2, FALSE)</f>
        <v>Reliance Industries</v>
      </c>
      <c r="N1982" t="str">
        <f>VLOOKUP(fact_daily_prices[[#This Row],[Ticker]], dim_company[], 3, FALSE)</f>
        <v>Energy &amp; Conglomerate</v>
      </c>
    </row>
    <row r="1983" spans="1:14" x14ac:dyDescent="0.3">
      <c r="A1983" s="1">
        <v>46178</v>
      </c>
      <c r="B1983">
        <v>1291</v>
      </c>
      <c r="C1983">
        <v>1306</v>
      </c>
      <c r="D1983">
        <v>1288</v>
      </c>
      <c r="E1983">
        <v>1304.5</v>
      </c>
      <c r="F1983">
        <v>17785223</v>
      </c>
      <c r="G1983" s="2" t="s">
        <v>15</v>
      </c>
      <c r="H1983">
        <v>-0.51629432256853347</v>
      </c>
      <c r="I1983">
        <v>84.16306632298604</v>
      </c>
      <c r="J1983">
        <v>1355.6235302734376</v>
      </c>
      <c r="K1983">
        <v>1.4433453216772358</v>
      </c>
      <c r="L1983">
        <v>0</v>
      </c>
      <c r="M1983" t="str">
        <f>VLOOKUP(fact_daily_prices[[#This Row],[Ticker]], dim_company[], 2, FALSE)</f>
        <v>Reliance Industries</v>
      </c>
      <c r="N1983" t="str">
        <f>VLOOKUP(fact_daily_prices[[#This Row],[Ticker]], dim_company[], 3, FALSE)</f>
        <v>Energy &amp; Conglomerate</v>
      </c>
    </row>
    <row r="1984" spans="1:14" x14ac:dyDescent="0.3">
      <c r="A1984" s="1">
        <v>46181</v>
      </c>
      <c r="B1984">
        <v>1263.300048828125</v>
      </c>
      <c r="C1984">
        <v>1282.5999755859375</v>
      </c>
      <c r="D1984">
        <v>1259.199951171875</v>
      </c>
      <c r="E1984">
        <v>1277</v>
      </c>
      <c r="F1984">
        <v>16494759</v>
      </c>
      <c r="G1984" s="2" t="s">
        <v>15</v>
      </c>
      <c r="H1984">
        <v>-2.1456197654434517</v>
      </c>
      <c r="I1984">
        <v>82.357246936756766</v>
      </c>
      <c r="J1984">
        <v>1352.7834814453124</v>
      </c>
      <c r="K1984">
        <v>1.3810078803816099</v>
      </c>
      <c r="L1984">
        <v>0</v>
      </c>
      <c r="M1984" t="str">
        <f>VLOOKUP(fact_daily_prices[[#This Row],[Ticker]], dim_company[], 2, FALSE)</f>
        <v>Reliance Industries</v>
      </c>
      <c r="N1984" t="str">
        <f>VLOOKUP(fact_daily_prices[[#This Row],[Ticker]], dim_company[], 3, FALSE)</f>
        <v>Energy &amp; Conglomerate</v>
      </c>
    </row>
    <row r="1985" spans="1:14" x14ac:dyDescent="0.3">
      <c r="A1985" s="1">
        <v>46182</v>
      </c>
      <c r="B1985">
        <v>1269.199951171875</v>
      </c>
      <c r="C1985">
        <v>1274.199951171875</v>
      </c>
      <c r="D1985">
        <v>1257.5</v>
      </c>
      <c r="E1985">
        <v>1269</v>
      </c>
      <c r="F1985">
        <v>23620214</v>
      </c>
      <c r="G1985" s="2" t="s">
        <v>15</v>
      </c>
      <c r="H1985">
        <v>0.46702304406802675</v>
      </c>
      <c r="I1985">
        <v>82.741874258411428</v>
      </c>
      <c r="J1985">
        <v>1350.0355517578125</v>
      </c>
      <c r="K1985">
        <v>1.3395846200565651</v>
      </c>
      <c r="L1985">
        <v>0</v>
      </c>
      <c r="M1985" t="str">
        <f>VLOOKUP(fact_daily_prices[[#This Row],[Ticker]], dim_company[], 2, FALSE)</f>
        <v>Reliance Industries</v>
      </c>
      <c r="N1985" t="str">
        <f>VLOOKUP(fact_daily_prices[[#This Row],[Ticker]], dim_company[], 3, FALSE)</f>
        <v>Energy &amp; Conglomerate</v>
      </c>
    </row>
    <row r="1986" spans="1:14" x14ac:dyDescent="0.3">
      <c r="A1986" s="1">
        <v>46183</v>
      </c>
      <c r="B1986">
        <v>1258.800048828125</v>
      </c>
      <c r="C1986">
        <v>1300.5</v>
      </c>
      <c r="D1986">
        <v>1254.4000244140625</v>
      </c>
      <c r="E1986">
        <v>1275</v>
      </c>
      <c r="F1986">
        <v>21012796</v>
      </c>
      <c r="G1986" s="2" t="s">
        <v>15</v>
      </c>
      <c r="H1986">
        <v>-0.81940614117953503</v>
      </c>
      <c r="I1986">
        <v>82.06388225941096</v>
      </c>
      <c r="J1986">
        <v>1348.3736401367187</v>
      </c>
      <c r="K1986">
        <v>1.2248355525687518</v>
      </c>
      <c r="L1986">
        <v>0</v>
      </c>
      <c r="M1986" t="str">
        <f>VLOOKUP(fact_daily_prices[[#This Row],[Ticker]], dim_company[], 2, FALSE)</f>
        <v>Reliance Industries</v>
      </c>
      <c r="N1986" t="str">
        <f>VLOOKUP(fact_daily_prices[[#This Row],[Ticker]], dim_company[], 3, FALSE)</f>
        <v>Energy &amp; Conglomerate</v>
      </c>
    </row>
    <row r="1987" spans="1:14" x14ac:dyDescent="0.3">
      <c r="A1987" s="1">
        <v>46184</v>
      </c>
      <c r="B1987">
        <v>1263</v>
      </c>
      <c r="C1987">
        <v>1276</v>
      </c>
      <c r="D1987">
        <v>1253.199951171875</v>
      </c>
      <c r="E1987">
        <v>1258</v>
      </c>
      <c r="F1987">
        <v>13117486</v>
      </c>
      <c r="G1987" s="2" t="s">
        <v>15</v>
      </c>
      <c r="H1987">
        <v>0.3336472043979466</v>
      </c>
      <c r="I1987">
        <v>82.337686108389903</v>
      </c>
      <c r="J1987">
        <v>1346.8793408203126</v>
      </c>
      <c r="K1987">
        <v>1.2238834898604114</v>
      </c>
      <c r="L1987">
        <v>0</v>
      </c>
      <c r="M1987" t="str">
        <f>VLOOKUP(fact_daily_prices[[#This Row],[Ticker]], dim_company[], 2, FALSE)</f>
        <v>Reliance Industries</v>
      </c>
      <c r="N1987" t="str">
        <f>VLOOKUP(fact_daily_prices[[#This Row],[Ticker]], dim_company[], 3, FALSE)</f>
        <v>Energy &amp; Conglomerate</v>
      </c>
    </row>
    <row r="1988" spans="1:14" x14ac:dyDescent="0.3">
      <c r="A1988" s="1">
        <v>46185</v>
      </c>
      <c r="B1988">
        <v>1293</v>
      </c>
      <c r="C1988">
        <v>1297</v>
      </c>
      <c r="D1988">
        <v>1262.5</v>
      </c>
      <c r="E1988">
        <v>1277</v>
      </c>
      <c r="F1988">
        <v>11988785</v>
      </c>
      <c r="G1988" s="2" t="s">
        <v>15</v>
      </c>
      <c r="H1988">
        <v>2.3752969121140222</v>
      </c>
      <c r="I1988">
        <v>84.293450624028623</v>
      </c>
      <c r="J1988">
        <v>1345.4813720703125</v>
      </c>
      <c r="K1988">
        <v>1.322964719659617</v>
      </c>
      <c r="L1988">
        <v>0</v>
      </c>
      <c r="M1988" t="str">
        <f>VLOOKUP(fact_daily_prices[[#This Row],[Ticker]], dim_company[], 2, FALSE)</f>
        <v>Reliance Industries</v>
      </c>
      <c r="N1988" t="str">
        <f>VLOOKUP(fact_daily_prices[[#This Row],[Ticker]], dim_company[], 3, FALSE)</f>
        <v>Energy &amp; Conglomerate</v>
      </c>
    </row>
    <row r="1989" spans="1:14" x14ac:dyDescent="0.3">
      <c r="A1989" s="1">
        <v>46188</v>
      </c>
      <c r="B1989">
        <v>1307</v>
      </c>
      <c r="C1989">
        <v>1325</v>
      </c>
      <c r="D1989">
        <v>1303.300048828125</v>
      </c>
      <c r="E1989">
        <v>1315.300048828125</v>
      </c>
      <c r="F1989">
        <v>18633321</v>
      </c>
      <c r="G1989" s="2" t="s">
        <v>15</v>
      </c>
      <c r="H1989">
        <v>1.0827532869296164</v>
      </c>
      <c r="I1989">
        <v>85.206140731326684</v>
      </c>
      <c r="J1989">
        <v>1344.7356811523437</v>
      </c>
      <c r="K1989">
        <v>1.2601472915778908</v>
      </c>
      <c r="L1989">
        <v>0</v>
      </c>
      <c r="M1989" t="str">
        <f>VLOOKUP(fact_daily_prices[[#This Row],[Ticker]], dim_company[], 2, FALSE)</f>
        <v>Reliance Industries</v>
      </c>
      <c r="N1989" t="str">
        <f>VLOOKUP(fact_daily_prices[[#This Row],[Ticker]], dim_company[], 3, FALSE)</f>
        <v>Energy &amp; Conglomerate</v>
      </c>
    </row>
    <row r="1990" spans="1:14" x14ac:dyDescent="0.3">
      <c r="A1990" s="1">
        <v>46189</v>
      </c>
      <c r="B1990">
        <v>1328.800048828125</v>
      </c>
      <c r="C1990">
        <v>1333.4000244140625</v>
      </c>
      <c r="D1990">
        <v>1306.4000244140625</v>
      </c>
      <c r="E1990">
        <v>1313.4000244140625</v>
      </c>
      <c r="F1990">
        <v>18513223</v>
      </c>
      <c r="G1990" s="2" t="s">
        <v>15</v>
      </c>
      <c r="H1990">
        <v>1.6679455874617499</v>
      </c>
      <c r="I1990">
        <v>86.627332795901296</v>
      </c>
      <c r="J1990">
        <v>1345.3377758789063</v>
      </c>
      <c r="K1990">
        <v>1.3116772225249764</v>
      </c>
      <c r="L1990">
        <v>0</v>
      </c>
      <c r="M1990" t="str">
        <f>VLOOKUP(fact_daily_prices[[#This Row],[Ticker]], dim_company[], 2, FALSE)</f>
        <v>Reliance Industries</v>
      </c>
      <c r="N1990" t="str">
        <f>VLOOKUP(fact_daily_prices[[#This Row],[Ticker]], dim_company[], 3, FALSE)</f>
        <v>Energy &amp; Conglomerate</v>
      </c>
    </row>
    <row r="1991" spans="1:14" x14ac:dyDescent="0.3">
      <c r="A1991" s="1">
        <v>46190</v>
      </c>
      <c r="B1991">
        <v>1332.699951171875</v>
      </c>
      <c r="C1991">
        <v>1334</v>
      </c>
      <c r="D1991">
        <v>1317</v>
      </c>
      <c r="E1991">
        <v>1333</v>
      </c>
      <c r="F1991">
        <v>10029170</v>
      </c>
      <c r="G1991" s="2" t="s">
        <v>15</v>
      </c>
      <c r="H1991">
        <v>0.2934905328449755</v>
      </c>
      <c r="I1991">
        <v>86.881575816513376</v>
      </c>
      <c r="J1991">
        <v>1346.0198583984375</v>
      </c>
      <c r="K1991">
        <v>1.2862438560952352</v>
      </c>
      <c r="L1991">
        <v>0</v>
      </c>
      <c r="M1991" t="str">
        <f>VLOOKUP(fact_daily_prices[[#This Row],[Ticker]], dim_company[], 2, FALSE)</f>
        <v>Reliance Industries</v>
      </c>
      <c r="N1991" t="str">
        <f>VLOOKUP(fact_daily_prices[[#This Row],[Ticker]], dim_company[], 3, FALSE)</f>
        <v>Energy &amp; Conglomerate</v>
      </c>
    </row>
    <row r="1992" spans="1:14" x14ac:dyDescent="0.3">
      <c r="A1992" s="1">
        <v>46191</v>
      </c>
      <c r="B1992">
        <v>1328.0999755859375</v>
      </c>
      <c r="C1992">
        <v>1333.9000244140625</v>
      </c>
      <c r="D1992">
        <v>1322</v>
      </c>
      <c r="E1992">
        <v>1330</v>
      </c>
      <c r="F1992">
        <v>15494549</v>
      </c>
      <c r="G1992" s="2" t="s">
        <v>15</v>
      </c>
      <c r="H1992">
        <v>-0.34516213359898629</v>
      </c>
      <c r="I1992">
        <v>86.581693515720687</v>
      </c>
      <c r="J1992">
        <v>1345.7499169921875</v>
      </c>
      <c r="K1992">
        <v>1.2862336941914452</v>
      </c>
      <c r="L1992">
        <v>0</v>
      </c>
      <c r="M1992" t="str">
        <f>VLOOKUP(fact_daily_prices[[#This Row],[Ticker]], dim_company[], 2, FALSE)</f>
        <v>Reliance Industries</v>
      </c>
      <c r="N1992" t="str">
        <f>VLOOKUP(fact_daily_prices[[#This Row],[Ticker]], dim_company[], 3, FALSE)</f>
        <v>Energy &amp; Conglomerate</v>
      </c>
    </row>
    <row r="1993" spans="1:14" x14ac:dyDescent="0.3">
      <c r="A1993" s="1">
        <v>46192</v>
      </c>
      <c r="B1993">
        <v>1309.5</v>
      </c>
      <c r="C1993">
        <v>1338.199951171875</v>
      </c>
      <c r="D1993">
        <v>1305.300048828125</v>
      </c>
      <c r="E1993">
        <v>1328</v>
      </c>
      <c r="F1993">
        <v>24887034</v>
      </c>
      <c r="G1993" s="2" t="s">
        <v>15</v>
      </c>
      <c r="H1993">
        <v>-1.4004951380058195</v>
      </c>
      <c r="I1993">
        <v>85.369121107629923</v>
      </c>
      <c r="J1993">
        <v>1345.4623388671876</v>
      </c>
      <c r="K1993">
        <v>1.3030968697108589</v>
      </c>
      <c r="L1993">
        <v>0</v>
      </c>
      <c r="M1993" t="str">
        <f>VLOOKUP(fact_daily_prices[[#This Row],[Ticker]], dim_company[], 2, FALSE)</f>
        <v>Reliance Industries</v>
      </c>
      <c r="N1993" t="str">
        <f>VLOOKUP(fact_daily_prices[[#This Row],[Ticker]], dim_company[], 3, FALSE)</f>
        <v>Energy &amp; Conglomerate</v>
      </c>
    </row>
    <row r="1994" spans="1:14" x14ac:dyDescent="0.3">
      <c r="A1994" s="1">
        <v>46195</v>
      </c>
      <c r="B1994">
        <v>1326.5</v>
      </c>
      <c r="C1994">
        <v>1344.9000244140625</v>
      </c>
      <c r="D1994">
        <v>1314.0999755859375</v>
      </c>
      <c r="E1994">
        <v>1316.699951171875</v>
      </c>
      <c r="F1994">
        <v>12931213</v>
      </c>
      <c r="G1994" s="2" t="s">
        <v>15</v>
      </c>
      <c r="H1994">
        <v>1.2982054219167649</v>
      </c>
      <c r="I1994">
        <v>86.47738766649185</v>
      </c>
      <c r="J1994">
        <v>1345.1126196289063</v>
      </c>
      <c r="K1994">
        <v>1.204623462323603</v>
      </c>
      <c r="L1994">
        <v>0</v>
      </c>
      <c r="M1994" t="str">
        <f>VLOOKUP(fact_daily_prices[[#This Row],[Ticker]], dim_company[], 2, FALSE)</f>
        <v>Reliance Industries</v>
      </c>
      <c r="N1994" t="str">
        <f>VLOOKUP(fact_daily_prices[[#This Row],[Ticker]], dim_company[], 3, FALSE)</f>
        <v>Energy &amp; Conglomerate</v>
      </c>
    </row>
    <row r="1995" spans="1:14" x14ac:dyDescent="0.3">
      <c r="A1995" s="1">
        <v>46196</v>
      </c>
      <c r="B1995">
        <v>1309.5</v>
      </c>
      <c r="C1995">
        <v>1333</v>
      </c>
      <c r="D1995">
        <v>1304</v>
      </c>
      <c r="E1995">
        <v>1328.9000244140625</v>
      </c>
      <c r="F1995">
        <v>15400184</v>
      </c>
      <c r="G1995" s="2" t="s">
        <v>15</v>
      </c>
      <c r="H1995">
        <v>-1.2815680361854542</v>
      </c>
      <c r="I1995">
        <v>85.369121107629923</v>
      </c>
      <c r="J1995">
        <v>1345.1216699218751</v>
      </c>
      <c r="K1995">
        <v>1.1860968047921114</v>
      </c>
      <c r="L1995">
        <v>0</v>
      </c>
      <c r="M1995" t="str">
        <f>VLOOKUP(fact_daily_prices[[#This Row],[Ticker]], dim_company[], 2, FALSE)</f>
        <v>Reliance Industries</v>
      </c>
      <c r="N1995" t="str">
        <f>VLOOKUP(fact_daily_prices[[#This Row],[Ticker]], dim_company[], 3, FALSE)</f>
        <v>Energy &amp; Conglomerate</v>
      </c>
    </row>
    <row r="1996" spans="1:14" x14ac:dyDescent="0.3">
      <c r="A1996" s="1">
        <v>46197</v>
      </c>
      <c r="B1996">
        <v>1313.5999755859375</v>
      </c>
      <c r="C1996">
        <v>1322</v>
      </c>
      <c r="D1996">
        <v>1297.5</v>
      </c>
      <c r="E1996">
        <v>1305.699951171875</v>
      </c>
      <c r="F1996">
        <v>11030917</v>
      </c>
      <c r="G1996" s="2" t="s">
        <v>15</v>
      </c>
      <c r="H1996">
        <v>0.31309473737590743</v>
      </c>
      <c r="I1996">
        <v>85.636407333161969</v>
      </c>
      <c r="J1996">
        <v>1344.6353881835937</v>
      </c>
      <c r="K1996">
        <v>1.1874696521977057</v>
      </c>
      <c r="L1996">
        <v>0</v>
      </c>
      <c r="M1996" t="str">
        <f>VLOOKUP(fact_daily_prices[[#This Row],[Ticker]], dim_company[], 2, FALSE)</f>
        <v>Reliance Industries</v>
      </c>
      <c r="N1996" t="str">
        <f>VLOOKUP(fact_daily_prices[[#This Row],[Ticker]], dim_company[], 3, FALSE)</f>
        <v>Energy &amp; Conglomerate</v>
      </c>
    </row>
    <row r="1997" spans="1:14" x14ac:dyDescent="0.3">
      <c r="A1997" s="1">
        <v>46198</v>
      </c>
      <c r="B1997">
        <v>1318.0999755859375</v>
      </c>
      <c r="C1997">
        <v>1328</v>
      </c>
      <c r="D1997">
        <v>1314.5999755859375</v>
      </c>
      <c r="E1997">
        <v>1318</v>
      </c>
      <c r="F1997">
        <v>12694362</v>
      </c>
      <c r="G1997" s="2" t="s">
        <v>15</v>
      </c>
      <c r="H1997">
        <v>0.34257004290767501</v>
      </c>
      <c r="I1997">
        <v>85.929772010507776</v>
      </c>
      <c r="J1997">
        <v>1344.2550317382813</v>
      </c>
      <c r="K1997">
        <v>1.1887781267082933</v>
      </c>
      <c r="L1997">
        <v>0</v>
      </c>
      <c r="M1997" t="str">
        <f>VLOOKUP(fact_daily_prices[[#This Row],[Ticker]], dim_company[], 2, FALSE)</f>
        <v>Reliance Industries</v>
      </c>
      <c r="N1997" t="str">
        <f>VLOOKUP(fact_daily_prices[[#This Row],[Ticker]], dim_company[], 3, FALSE)</f>
        <v>Energy &amp; Conglomerate</v>
      </c>
    </row>
    <row r="1998" spans="1:14" x14ac:dyDescent="0.3">
      <c r="A1998" s="1">
        <v>46199</v>
      </c>
      <c r="B1998">
        <v>1318.0999755859375</v>
      </c>
      <c r="C1998">
        <v>1318.0999755859375</v>
      </c>
      <c r="D1998">
        <v>1318.0999755859375</v>
      </c>
      <c r="E1998">
        <v>1318.0999755859375</v>
      </c>
      <c r="F1998">
        <v>0</v>
      </c>
      <c r="G1998" s="2" t="s">
        <v>15</v>
      </c>
      <c r="H1998">
        <v>0</v>
      </c>
      <c r="I1998">
        <v>85.929772010507776</v>
      </c>
      <c r="J1998">
        <v>1343.4426733398439</v>
      </c>
      <c r="K1998">
        <v>1.1403324335382909</v>
      </c>
      <c r="L1998">
        <v>0</v>
      </c>
      <c r="M1998" t="str">
        <f>VLOOKUP(fact_daily_prices[[#This Row],[Ticker]], dim_company[], 2, FALSE)</f>
        <v>Reliance Industries</v>
      </c>
      <c r="N1998" t="str">
        <f>VLOOKUP(fact_daily_prices[[#This Row],[Ticker]], dim_company[], 3, FALSE)</f>
        <v>Energy &amp; Conglomerate</v>
      </c>
    </row>
    <row r="1999" spans="1:14" x14ac:dyDescent="0.3">
      <c r="A1999" s="1">
        <v>46202</v>
      </c>
      <c r="B1999">
        <v>1301</v>
      </c>
      <c r="C1999">
        <v>1313.699951171875</v>
      </c>
      <c r="D1999">
        <v>1292.5999755859375</v>
      </c>
      <c r="E1999">
        <v>1308</v>
      </c>
      <c r="F1999">
        <v>13757656</v>
      </c>
      <c r="G1999" s="2" t="s">
        <v>15</v>
      </c>
      <c r="H1999">
        <v>-1.2973200745517111</v>
      </c>
      <c r="I1999">
        <v>84.814987828198952</v>
      </c>
      <c r="J1999">
        <v>1342.3221582031249</v>
      </c>
      <c r="K1999">
        <v>1.1637905785216012</v>
      </c>
      <c r="L1999">
        <v>0</v>
      </c>
      <c r="M1999" t="str">
        <f>VLOOKUP(fact_daily_prices[[#This Row],[Ticker]], dim_company[], 2, FALSE)</f>
        <v>Reliance Industries</v>
      </c>
      <c r="N1999" t="str">
        <f>VLOOKUP(fact_daily_prices[[#This Row],[Ticker]], dim_company[], 3, FALSE)</f>
        <v>Energy &amp; Conglomerate</v>
      </c>
    </row>
    <row r="2000" spans="1:14" x14ac:dyDescent="0.3">
      <c r="A2000" s="1">
        <v>46203</v>
      </c>
      <c r="B2000">
        <v>1293.9000244140625</v>
      </c>
      <c r="C2000">
        <v>1306.9000244140625</v>
      </c>
      <c r="D2000">
        <v>1290</v>
      </c>
      <c r="E2000">
        <v>1306.9000244140625</v>
      </c>
      <c r="F2000">
        <v>15695263</v>
      </c>
      <c r="G2000" s="2" t="s">
        <v>15</v>
      </c>
      <c r="H2000">
        <v>-0.5457321741689114</v>
      </c>
      <c r="I2000">
        <v>84.352125151103024</v>
      </c>
      <c r="J2000">
        <v>1341.2587231445314</v>
      </c>
      <c r="K2000">
        <v>1.1544733803629645</v>
      </c>
      <c r="L2000">
        <v>0</v>
      </c>
      <c r="M2000" t="str">
        <f>VLOOKUP(fact_daily_prices[[#This Row],[Ticker]], dim_company[], 2, FALSE)</f>
        <v>Reliance Industries</v>
      </c>
      <c r="N2000" t="str">
        <f>VLOOKUP(fact_daily_prices[[#This Row],[Ticker]], dim_company[], 3, FALSE)</f>
        <v>Energy &amp; Conglomerate</v>
      </c>
    </row>
    <row r="2001" spans="1:14" x14ac:dyDescent="0.3">
      <c r="A2001" s="1">
        <v>46204</v>
      </c>
      <c r="B2001">
        <v>1308</v>
      </c>
      <c r="C2001">
        <v>1312.199951171875</v>
      </c>
      <c r="D2001">
        <v>1296.5</v>
      </c>
      <c r="E2001">
        <v>1298.9000244140625</v>
      </c>
      <c r="F2001">
        <v>7001401</v>
      </c>
      <c r="G2001" s="2" t="s">
        <v>15</v>
      </c>
      <c r="H2001">
        <v>1.0897268196839782</v>
      </c>
      <c r="I2001">
        <v>85.271332881847982</v>
      </c>
      <c r="J2001">
        <v>1340.3020996093751</v>
      </c>
      <c r="K2001">
        <v>1.0461873325385929</v>
      </c>
      <c r="L2001">
        <v>0</v>
      </c>
      <c r="M2001" t="str">
        <f>VLOOKUP(fact_daily_prices[[#This Row],[Ticker]], dim_company[], 2, FALSE)</f>
        <v>Reliance Industries</v>
      </c>
      <c r="N2001" t="str">
        <f>VLOOKUP(fact_daily_prices[[#This Row],[Ticker]], dim_company[], 3, FALSE)</f>
        <v>Energy &amp; Conglomerate</v>
      </c>
    </row>
    <row r="2002" spans="1:14" x14ac:dyDescent="0.3">
      <c r="A2002" s="1">
        <v>46205</v>
      </c>
      <c r="B2002">
        <v>1303.5</v>
      </c>
      <c r="C2002">
        <v>1313.199951171875</v>
      </c>
      <c r="D2002">
        <v>1299</v>
      </c>
      <c r="E2002">
        <v>1310</v>
      </c>
      <c r="F2002">
        <v>17795024</v>
      </c>
      <c r="G2002" s="2" t="s">
        <v>15</v>
      </c>
      <c r="H2002">
        <v>-0.34403669724770714</v>
      </c>
      <c r="I2002">
        <v>84.977968204502176</v>
      </c>
      <c r="J2002">
        <v>1339.6277539062501</v>
      </c>
      <c r="K2002">
        <v>1.0403671118952922</v>
      </c>
      <c r="L2002">
        <v>0</v>
      </c>
      <c r="M2002" t="str">
        <f>VLOOKUP(fact_daily_prices[[#This Row],[Ticker]], dim_company[], 2, FALSE)</f>
        <v>Reliance Industries</v>
      </c>
      <c r="N2002" t="str">
        <f>VLOOKUP(fact_daily_prices[[#This Row],[Ticker]], dim_company[], 3, FALSE)</f>
        <v>Energy &amp; Conglomerate</v>
      </c>
    </row>
    <row r="2003" spans="1:14" x14ac:dyDescent="0.3">
      <c r="A2003" s="1">
        <v>46206</v>
      </c>
      <c r="B2003">
        <v>1304</v>
      </c>
      <c r="C2003">
        <v>1312</v>
      </c>
      <c r="D2003">
        <v>1302</v>
      </c>
      <c r="E2003">
        <v>1312</v>
      </c>
      <c r="F2003">
        <v>7839550</v>
      </c>
      <c r="G2003" s="2" t="s">
        <v>15</v>
      </c>
      <c r="H2003">
        <v>3.835826620637306E-2</v>
      </c>
      <c r="I2003">
        <v>85.010564279762818</v>
      </c>
      <c r="J2003">
        <v>1339.2739721679689</v>
      </c>
      <c r="K2003">
        <v>1.0371191151164725</v>
      </c>
      <c r="L2003">
        <v>0</v>
      </c>
      <c r="M2003" t="str">
        <f>VLOOKUP(fact_daily_prices[[#This Row],[Ticker]], dim_company[], 2, FALSE)</f>
        <v>Reliance Industries</v>
      </c>
      <c r="N2003" t="str">
        <f>VLOOKUP(fact_daily_prices[[#This Row],[Ticker]], dim_company[], 3, FALSE)</f>
        <v>Energy &amp; Conglomerate</v>
      </c>
    </row>
    <row r="2004" spans="1:14" x14ac:dyDescent="0.3">
      <c r="A2004" s="1">
        <v>45476</v>
      </c>
      <c r="B2004">
        <v>251.52000427246091</v>
      </c>
      <c r="C2004">
        <v>248.3500061035156</v>
      </c>
      <c r="D2004">
        <v>234.25</v>
      </c>
      <c r="E2004">
        <v>234.55999755859369</v>
      </c>
      <c r="F2004">
        <v>166561500</v>
      </c>
      <c r="G2004" s="2" t="s">
        <v>16</v>
      </c>
      <c r="I2004">
        <v>100</v>
      </c>
      <c r="L2004">
        <v>0</v>
      </c>
      <c r="M2004" t="str">
        <f>VLOOKUP(fact_daily_prices[[#This Row],[Ticker]], dim_company[], 2, FALSE)</f>
        <v>Tesla Inc.</v>
      </c>
      <c r="N2004" t="str">
        <f>VLOOKUP(fact_daily_prices[[#This Row],[Ticker]], dim_company[], 3, FALSE)</f>
        <v>Consumer Discretionary</v>
      </c>
    </row>
    <row r="2005" spans="1:14" x14ac:dyDescent="0.3">
      <c r="A2005" s="1">
        <v>45478</v>
      </c>
      <c r="B2005">
        <v>251.52000427246091</v>
      </c>
      <c r="C2005">
        <v>252.3699951171875</v>
      </c>
      <c r="D2005">
        <v>242.46000671386719</v>
      </c>
      <c r="E2005">
        <v>249.80999755859369</v>
      </c>
      <c r="F2005">
        <v>154501200</v>
      </c>
      <c r="G2005" s="2" t="s">
        <v>16</v>
      </c>
      <c r="H2005">
        <v>0</v>
      </c>
      <c r="I2005">
        <v>100</v>
      </c>
      <c r="L2005">
        <v>0</v>
      </c>
      <c r="M2005" t="str">
        <f>VLOOKUP(fact_daily_prices[[#This Row],[Ticker]], dim_company[], 2, FALSE)</f>
        <v>Tesla Inc.</v>
      </c>
      <c r="N2005" t="str">
        <f>VLOOKUP(fact_daily_prices[[#This Row],[Ticker]], dim_company[], 3, FALSE)</f>
        <v>Consumer Discretionary</v>
      </c>
    </row>
    <row r="2006" spans="1:14" x14ac:dyDescent="0.3">
      <c r="A2006" s="1">
        <v>45481</v>
      </c>
      <c r="B2006">
        <v>252.94000244140625</v>
      </c>
      <c r="C2006">
        <v>259.44000244140625</v>
      </c>
      <c r="D2006">
        <v>244.57000732421875</v>
      </c>
      <c r="E2006">
        <v>247.71000671386719</v>
      </c>
      <c r="F2006">
        <v>157219600</v>
      </c>
      <c r="G2006" s="2" t="s">
        <v>16</v>
      </c>
      <c r="H2006">
        <v>0.56456669243973856</v>
      </c>
      <c r="I2006">
        <v>100.56456669243974</v>
      </c>
      <c r="L2006">
        <v>0</v>
      </c>
      <c r="M2006" t="str">
        <f>VLOOKUP(fact_daily_prices[[#This Row],[Ticker]], dim_company[], 2, FALSE)</f>
        <v>Tesla Inc.</v>
      </c>
      <c r="N2006" t="str">
        <f>VLOOKUP(fact_daily_prices[[#This Row],[Ticker]], dim_company[], 3, FALSE)</f>
        <v>Consumer Discretionary</v>
      </c>
    </row>
    <row r="2007" spans="1:14" x14ac:dyDescent="0.3">
      <c r="A2007" s="1">
        <v>45482</v>
      </c>
      <c r="B2007">
        <v>262.32998657226563</v>
      </c>
      <c r="C2007">
        <v>265.6099853515625</v>
      </c>
      <c r="D2007">
        <v>250.30000305175781</v>
      </c>
      <c r="E2007">
        <v>251</v>
      </c>
      <c r="F2007">
        <v>160210900</v>
      </c>
      <c r="G2007" s="2" t="s">
        <v>16</v>
      </c>
      <c r="H2007">
        <v>3.712336538398886</v>
      </c>
      <c r="I2007">
        <v>104.29786184644571</v>
      </c>
      <c r="L2007">
        <v>0</v>
      </c>
      <c r="M2007" t="str">
        <f>VLOOKUP(fact_daily_prices[[#This Row],[Ticker]], dim_company[], 2, FALSE)</f>
        <v>Tesla Inc.</v>
      </c>
      <c r="N2007" t="str">
        <f>VLOOKUP(fact_daily_prices[[#This Row],[Ticker]], dim_company[], 3, FALSE)</f>
        <v>Consumer Discretionary</v>
      </c>
    </row>
    <row r="2008" spans="1:14" x14ac:dyDescent="0.3">
      <c r="A2008" s="1">
        <v>45483</v>
      </c>
      <c r="B2008">
        <v>263.260009765625</v>
      </c>
      <c r="C2008">
        <v>267.58999633789063</v>
      </c>
      <c r="D2008">
        <v>257.8599853515625</v>
      </c>
      <c r="E2008">
        <v>262.79998779296875</v>
      </c>
      <c r="F2008">
        <v>128519400</v>
      </c>
      <c r="G2008" s="2" t="s">
        <v>16</v>
      </c>
      <c r="H2008">
        <v>0.35452416458809921</v>
      </c>
      <c r="I2008">
        <v>104.66762296984007</v>
      </c>
      <c r="L2008">
        <v>0</v>
      </c>
      <c r="M2008" t="str">
        <f>VLOOKUP(fact_daily_prices[[#This Row],[Ticker]], dim_company[], 2, FALSE)</f>
        <v>Tesla Inc.</v>
      </c>
      <c r="N2008" t="str">
        <f>VLOOKUP(fact_daily_prices[[#This Row],[Ticker]], dim_company[], 3, FALSE)</f>
        <v>Consumer Discretionary</v>
      </c>
    </row>
    <row r="2009" spans="1:14" x14ac:dyDescent="0.3">
      <c r="A2009" s="1">
        <v>45484</v>
      </c>
      <c r="B2009">
        <v>241.02999877929688</v>
      </c>
      <c r="C2009">
        <v>271</v>
      </c>
      <c r="D2009">
        <v>239.6499938964844</v>
      </c>
      <c r="E2009">
        <v>263.29998779296875</v>
      </c>
      <c r="F2009">
        <v>221707300</v>
      </c>
      <c r="G2009" s="2" t="s">
        <v>16</v>
      </c>
      <c r="H2009">
        <v>-8.4441275399628868</v>
      </c>
      <c r="I2009">
        <v>95.829355393219274</v>
      </c>
      <c r="L2009">
        <v>0</v>
      </c>
      <c r="M2009" t="str">
        <f>VLOOKUP(fact_daily_prices[[#This Row],[Ticker]], dim_company[], 2, FALSE)</f>
        <v>Tesla Inc.</v>
      </c>
      <c r="N2009" t="str">
        <f>VLOOKUP(fact_daily_prices[[#This Row],[Ticker]], dim_company[], 3, FALSE)</f>
        <v>Consumer Discretionary</v>
      </c>
    </row>
    <row r="2010" spans="1:14" x14ac:dyDescent="0.3">
      <c r="A2010" s="1">
        <v>45485</v>
      </c>
      <c r="B2010">
        <v>248.22999572753903</v>
      </c>
      <c r="C2010">
        <v>251.83999633789065</v>
      </c>
      <c r="D2010">
        <v>233.08999633789065</v>
      </c>
      <c r="E2010">
        <v>235.80000305175781</v>
      </c>
      <c r="F2010">
        <v>155955800</v>
      </c>
      <c r="G2010" s="2" t="s">
        <v>16</v>
      </c>
      <c r="H2010">
        <v>2.9871787680814554</v>
      </c>
      <c r="I2010">
        <v>98.69194955111486</v>
      </c>
      <c r="L2010">
        <v>0</v>
      </c>
      <c r="M2010" t="str">
        <f>VLOOKUP(fact_daily_prices[[#This Row],[Ticker]], dim_company[], 2, FALSE)</f>
        <v>Tesla Inc.</v>
      </c>
      <c r="N2010" t="str">
        <f>VLOOKUP(fact_daily_prices[[#This Row],[Ticker]], dim_company[], 3, FALSE)</f>
        <v>Consumer Discretionary</v>
      </c>
    </row>
    <row r="2011" spans="1:14" x14ac:dyDescent="0.3">
      <c r="A2011" s="1">
        <v>45488</v>
      </c>
      <c r="B2011">
        <v>252.63999938964844</v>
      </c>
      <c r="C2011">
        <v>265.60000610351563</v>
      </c>
      <c r="D2011">
        <v>251.72999572753903</v>
      </c>
      <c r="E2011">
        <v>255.97000122070313</v>
      </c>
      <c r="F2011">
        <v>146912900</v>
      </c>
      <c r="G2011" s="2" t="s">
        <v>16</v>
      </c>
      <c r="H2011">
        <v>1.7765796793349109</v>
      </c>
      <c r="I2011">
        <v>100.44529067197942</v>
      </c>
      <c r="L2011">
        <v>0</v>
      </c>
      <c r="M2011" t="str">
        <f>VLOOKUP(fact_daily_prices[[#This Row],[Ticker]], dim_company[], 2, FALSE)</f>
        <v>Tesla Inc.</v>
      </c>
      <c r="N2011" t="str">
        <f>VLOOKUP(fact_daily_prices[[#This Row],[Ticker]], dim_company[], 3, FALSE)</f>
        <v>Consumer Discretionary</v>
      </c>
    </row>
    <row r="2012" spans="1:14" x14ac:dyDescent="0.3">
      <c r="A2012" s="1">
        <v>45489</v>
      </c>
      <c r="B2012">
        <v>256.55999755859369</v>
      </c>
      <c r="C2012">
        <v>258.6199951171875</v>
      </c>
      <c r="D2012">
        <v>245.80000305175781</v>
      </c>
      <c r="E2012">
        <v>255.30999755859369</v>
      </c>
      <c r="F2012">
        <v>126332500</v>
      </c>
      <c r="G2012" s="2" t="s">
        <v>16</v>
      </c>
      <c r="H2012">
        <v>1.5516142251486453</v>
      </c>
      <c r="I2012">
        <v>102.00381409053779</v>
      </c>
      <c r="L2012">
        <v>0</v>
      </c>
      <c r="M2012" t="str">
        <f>VLOOKUP(fact_daily_prices[[#This Row],[Ticker]], dim_company[], 2, FALSE)</f>
        <v>Tesla Inc.</v>
      </c>
      <c r="N2012" t="str">
        <f>VLOOKUP(fact_daily_prices[[#This Row],[Ticker]], dim_company[], 3, FALSE)</f>
        <v>Consumer Discretionary</v>
      </c>
    </row>
    <row r="2013" spans="1:14" x14ac:dyDescent="0.3">
      <c r="A2013" s="1">
        <v>45490</v>
      </c>
      <c r="B2013">
        <v>248.5</v>
      </c>
      <c r="C2013">
        <v>258.47000122070313</v>
      </c>
      <c r="D2013">
        <v>246.17999267578125</v>
      </c>
      <c r="E2013">
        <v>252.72999572753903</v>
      </c>
      <c r="F2013">
        <v>115584800</v>
      </c>
      <c r="G2013" s="2" t="s">
        <v>16</v>
      </c>
      <c r="H2013">
        <v>-3.1415644041518753</v>
      </c>
      <c r="I2013">
        <v>98.799298576192186</v>
      </c>
      <c r="L2013">
        <v>0</v>
      </c>
      <c r="M2013" t="str">
        <f>VLOOKUP(fact_daily_prices[[#This Row],[Ticker]], dim_company[], 2, FALSE)</f>
        <v>Tesla Inc.</v>
      </c>
      <c r="N2013" t="str">
        <f>VLOOKUP(fact_daily_prices[[#This Row],[Ticker]], dim_company[], 3, FALSE)</f>
        <v>Consumer Discretionary</v>
      </c>
    </row>
    <row r="2014" spans="1:14" x14ac:dyDescent="0.3">
      <c r="A2014" s="1">
        <v>45491</v>
      </c>
      <c r="B2014">
        <v>249.22999572753903</v>
      </c>
      <c r="C2014">
        <v>257.1400146484375</v>
      </c>
      <c r="D2014">
        <v>247.19999694824219</v>
      </c>
      <c r="E2014">
        <v>251.08999633789065</v>
      </c>
      <c r="F2014">
        <v>110869000</v>
      </c>
      <c r="G2014" s="2" t="s">
        <v>16</v>
      </c>
      <c r="H2014">
        <v>0.29376085615253622</v>
      </c>
      <c r="I2014">
        <v>99.08953224156231</v>
      </c>
      <c r="L2014">
        <v>0</v>
      </c>
      <c r="M2014" t="str">
        <f>VLOOKUP(fact_daily_prices[[#This Row],[Ticker]], dim_company[], 2, FALSE)</f>
        <v>Tesla Inc.</v>
      </c>
      <c r="N2014" t="str">
        <f>VLOOKUP(fact_daily_prices[[#This Row],[Ticker]], dim_company[], 3, FALSE)</f>
        <v>Consumer Discretionary</v>
      </c>
    </row>
    <row r="2015" spans="1:14" x14ac:dyDescent="0.3">
      <c r="A2015" s="1">
        <v>45492</v>
      </c>
      <c r="B2015">
        <v>239.19999694824219</v>
      </c>
      <c r="C2015">
        <v>249.44000244140625</v>
      </c>
      <c r="D2015">
        <v>236.83000183105469</v>
      </c>
      <c r="E2015">
        <v>247.78999328613281</v>
      </c>
      <c r="F2015">
        <v>87403900</v>
      </c>
      <c r="G2015" s="2" t="s">
        <v>16</v>
      </c>
      <c r="H2015">
        <v>-4.0243947162209803</v>
      </c>
      <c r="I2015">
        <v>95.101778341704787</v>
      </c>
      <c r="L2015">
        <v>0</v>
      </c>
      <c r="M2015" t="str">
        <f>VLOOKUP(fact_daily_prices[[#This Row],[Ticker]], dim_company[], 2, FALSE)</f>
        <v>Tesla Inc.</v>
      </c>
      <c r="N2015" t="str">
        <f>VLOOKUP(fact_daily_prices[[#This Row],[Ticker]], dim_company[], 3, FALSE)</f>
        <v>Consumer Discretionary</v>
      </c>
    </row>
    <row r="2016" spans="1:14" x14ac:dyDescent="0.3">
      <c r="A2016" s="1">
        <v>45495</v>
      </c>
      <c r="B2016">
        <v>251.50999450683599</v>
      </c>
      <c r="C2016">
        <v>253.21000671386719</v>
      </c>
      <c r="D2016">
        <v>243.75</v>
      </c>
      <c r="E2016">
        <v>244.21000671386719</v>
      </c>
      <c r="F2016">
        <v>101225400</v>
      </c>
      <c r="G2016" s="2" t="s">
        <v>16</v>
      </c>
      <c r="H2016">
        <v>5.1463201152370575</v>
      </c>
      <c r="I2016">
        <v>99.996020290452108</v>
      </c>
      <c r="L2016">
        <v>0</v>
      </c>
      <c r="M2016" t="str">
        <f>VLOOKUP(fact_daily_prices[[#This Row],[Ticker]], dim_company[], 2, FALSE)</f>
        <v>Tesla Inc.</v>
      </c>
      <c r="N2016" t="str">
        <f>VLOOKUP(fact_daily_prices[[#This Row],[Ticker]], dim_company[], 3, FALSE)</f>
        <v>Consumer Discretionary</v>
      </c>
    </row>
    <row r="2017" spans="1:14" x14ac:dyDescent="0.3">
      <c r="A2017" s="1">
        <v>45496</v>
      </c>
      <c r="B2017">
        <v>246.3800048828125</v>
      </c>
      <c r="C2017">
        <v>255.75999450683599</v>
      </c>
      <c r="D2017">
        <v>245.6300048828125</v>
      </c>
      <c r="E2017">
        <v>253.6000061035156</v>
      </c>
      <c r="F2017">
        <v>111928200</v>
      </c>
      <c r="G2017" s="2" t="s">
        <v>16</v>
      </c>
      <c r="H2017">
        <v>-2.0396762498772425</v>
      </c>
      <c r="I2017">
        <v>97.956425213765314</v>
      </c>
      <c r="L2017">
        <v>0</v>
      </c>
      <c r="M2017" t="str">
        <f>VLOOKUP(fact_daily_prices[[#This Row],[Ticker]], dim_company[], 2, FALSE)</f>
        <v>Tesla Inc.</v>
      </c>
      <c r="N2017" t="str">
        <f>VLOOKUP(fact_daily_prices[[#This Row],[Ticker]], dim_company[], 3, FALSE)</f>
        <v>Consumer Discretionary</v>
      </c>
    </row>
    <row r="2018" spans="1:14" x14ac:dyDescent="0.3">
      <c r="A2018" s="1">
        <v>45497</v>
      </c>
      <c r="B2018">
        <v>215.99000549316409</v>
      </c>
      <c r="C2018">
        <v>225.99000549316409</v>
      </c>
      <c r="D2018">
        <v>214.71000671386719</v>
      </c>
      <c r="E2018">
        <v>225.41999816894531</v>
      </c>
      <c r="F2018">
        <v>167942900</v>
      </c>
      <c r="G2018" s="2" t="s">
        <v>16</v>
      </c>
      <c r="H2018">
        <v>-12.334604589403686</v>
      </c>
      <c r="I2018">
        <v>85.87388749373244</v>
      </c>
      <c r="L2018">
        <v>0</v>
      </c>
      <c r="M2018" t="str">
        <f>VLOOKUP(fact_daily_prices[[#This Row],[Ticker]], dim_company[], 2, FALSE)</f>
        <v>Tesla Inc.</v>
      </c>
      <c r="N2018" t="str">
        <f>VLOOKUP(fact_daily_prices[[#This Row],[Ticker]], dim_company[], 3, FALSE)</f>
        <v>Consumer Discretionary</v>
      </c>
    </row>
    <row r="2019" spans="1:14" x14ac:dyDescent="0.3">
      <c r="A2019" s="1">
        <v>45498</v>
      </c>
      <c r="B2019">
        <v>220.25</v>
      </c>
      <c r="C2019">
        <v>226</v>
      </c>
      <c r="D2019">
        <v>216.22999572753903</v>
      </c>
      <c r="E2019">
        <v>216.80000305175781</v>
      </c>
      <c r="F2019">
        <v>100636500</v>
      </c>
      <c r="G2019" s="2" t="s">
        <v>16</v>
      </c>
      <c r="H2019">
        <v>1.9723109396238891</v>
      </c>
      <c r="I2019">
        <v>87.567587571051632</v>
      </c>
      <c r="L2019">
        <v>0</v>
      </c>
      <c r="M2019" t="str">
        <f>VLOOKUP(fact_daily_prices[[#This Row],[Ticker]], dim_company[], 2, FALSE)</f>
        <v>Tesla Inc.</v>
      </c>
      <c r="N2019" t="str">
        <f>VLOOKUP(fact_daily_prices[[#This Row],[Ticker]], dim_company[], 3, FALSE)</f>
        <v>Consumer Discretionary</v>
      </c>
    </row>
    <row r="2020" spans="1:14" x14ac:dyDescent="0.3">
      <c r="A2020" s="1">
        <v>45499</v>
      </c>
      <c r="B2020">
        <v>219.80000305175781</v>
      </c>
      <c r="C2020">
        <v>222.27999877929688</v>
      </c>
      <c r="D2020">
        <v>215.33000183105469</v>
      </c>
      <c r="E2020">
        <v>221.19000244140625</v>
      </c>
      <c r="F2020">
        <v>94604100</v>
      </c>
      <c r="G2020" s="2" t="s">
        <v>16</v>
      </c>
      <c r="H2020">
        <v>-0.20431189477511102</v>
      </c>
      <c r="I2020">
        <v>87.388676573676349</v>
      </c>
      <c r="L2020">
        <v>0</v>
      </c>
      <c r="M2020" t="str">
        <f>VLOOKUP(fact_daily_prices[[#This Row],[Ticker]], dim_company[], 2, FALSE)</f>
        <v>Tesla Inc.</v>
      </c>
      <c r="N2020" t="str">
        <f>VLOOKUP(fact_daily_prices[[#This Row],[Ticker]], dim_company[], 3, FALSE)</f>
        <v>Consumer Discretionary</v>
      </c>
    </row>
    <row r="2021" spans="1:14" x14ac:dyDescent="0.3">
      <c r="A2021" s="1">
        <v>45502</v>
      </c>
      <c r="B2021">
        <v>232.1000061035156</v>
      </c>
      <c r="C2021">
        <v>234.27000427246091</v>
      </c>
      <c r="D2021">
        <v>224.69999694824219</v>
      </c>
      <c r="E2021">
        <v>224.8999938964844</v>
      </c>
      <c r="F2021">
        <v>129201800</v>
      </c>
      <c r="G2021" s="2" t="s">
        <v>16</v>
      </c>
      <c r="H2021">
        <v>5.5959976710561854</v>
      </c>
      <c r="I2021">
        <v>92.278944879506099</v>
      </c>
      <c r="L2021">
        <v>0</v>
      </c>
      <c r="M2021" t="str">
        <f>VLOOKUP(fact_daily_prices[[#This Row],[Ticker]], dim_company[], 2, FALSE)</f>
        <v>Tesla Inc.</v>
      </c>
      <c r="N2021" t="str">
        <f>VLOOKUP(fact_daily_prices[[#This Row],[Ticker]], dim_company[], 3, FALSE)</f>
        <v>Consumer Discretionary</v>
      </c>
    </row>
    <row r="2022" spans="1:14" x14ac:dyDescent="0.3">
      <c r="A2022" s="1">
        <v>45503</v>
      </c>
      <c r="B2022">
        <v>222.6199951171875</v>
      </c>
      <c r="C2022">
        <v>232.41000366210929</v>
      </c>
      <c r="D2022">
        <v>220</v>
      </c>
      <c r="E2022">
        <v>232.25</v>
      </c>
      <c r="F2022">
        <v>100560300</v>
      </c>
      <c r="G2022" s="2" t="s">
        <v>16</v>
      </c>
      <c r="H2022">
        <v>-4.0844509853653621</v>
      </c>
      <c r="I2022">
        <v>88.509856606090366</v>
      </c>
      <c r="L2022">
        <v>0</v>
      </c>
      <c r="M2022" t="str">
        <f>VLOOKUP(fact_daily_prices[[#This Row],[Ticker]], dim_company[], 2, FALSE)</f>
        <v>Tesla Inc.</v>
      </c>
      <c r="N2022" t="str">
        <f>VLOOKUP(fact_daily_prices[[#This Row],[Ticker]], dim_company[], 3, FALSE)</f>
        <v>Consumer Discretionary</v>
      </c>
    </row>
    <row r="2023" spans="1:14" x14ac:dyDescent="0.3">
      <c r="A2023" s="1">
        <v>45504</v>
      </c>
      <c r="B2023">
        <v>232.07000732421875</v>
      </c>
      <c r="C2023">
        <v>234.67999267578125</v>
      </c>
      <c r="D2023">
        <v>226.78999328613281</v>
      </c>
      <c r="E2023">
        <v>227.8999938964844</v>
      </c>
      <c r="F2023">
        <v>67497000</v>
      </c>
      <c r="G2023" s="2" t="s">
        <v>16</v>
      </c>
      <c r="H2023">
        <v>4.244907202543402</v>
      </c>
      <c r="I2023">
        <v>92.267017884123121</v>
      </c>
      <c r="L2023">
        <v>0</v>
      </c>
      <c r="M2023" t="str">
        <f>VLOOKUP(fact_daily_prices[[#This Row],[Ticker]], dim_company[], 2, FALSE)</f>
        <v>Tesla Inc.</v>
      </c>
      <c r="N2023" t="str">
        <f>VLOOKUP(fact_daily_prices[[#This Row],[Ticker]], dim_company[], 3, FALSE)</f>
        <v>Consumer Discretionary</v>
      </c>
    </row>
    <row r="2024" spans="1:14" x14ac:dyDescent="0.3">
      <c r="A2024" s="1">
        <v>45505</v>
      </c>
      <c r="B2024">
        <v>216.86000061035159</v>
      </c>
      <c r="C2024">
        <v>231.8699951171875</v>
      </c>
      <c r="D2024">
        <v>214.33000183105469</v>
      </c>
      <c r="E2024">
        <v>227.69000244140625</v>
      </c>
      <c r="F2024">
        <v>83861900</v>
      </c>
      <c r="G2024" s="2" t="s">
        <v>16</v>
      </c>
      <c r="H2024">
        <v>-6.5540596517574379</v>
      </c>
      <c r="I2024">
        <v>86.219782493099984</v>
      </c>
      <c r="L2024">
        <v>0</v>
      </c>
      <c r="M2024" t="str">
        <f>VLOOKUP(fact_daily_prices[[#This Row],[Ticker]], dim_company[], 2, FALSE)</f>
        <v>Tesla Inc.</v>
      </c>
      <c r="N2024" t="str">
        <f>VLOOKUP(fact_daily_prices[[#This Row],[Ticker]], dim_company[], 3, FALSE)</f>
        <v>Consumer Discretionary</v>
      </c>
    </row>
    <row r="2025" spans="1:14" x14ac:dyDescent="0.3">
      <c r="A2025" s="1">
        <v>45506</v>
      </c>
      <c r="B2025">
        <v>207.66999816894531</v>
      </c>
      <c r="C2025">
        <v>216.1300048828125</v>
      </c>
      <c r="D2025">
        <v>205.77999877929688</v>
      </c>
      <c r="E2025">
        <v>214.8800048828125</v>
      </c>
      <c r="F2025">
        <v>82880100</v>
      </c>
      <c r="G2025" s="2" t="s">
        <v>16</v>
      </c>
      <c r="H2025">
        <v>-4.2377581921705492</v>
      </c>
      <c r="I2025">
        <v>82.565996597227013</v>
      </c>
      <c r="L2025">
        <v>0</v>
      </c>
      <c r="M2025" t="str">
        <f>VLOOKUP(fact_daily_prices[[#This Row],[Ticker]], dim_company[], 2, FALSE)</f>
        <v>Tesla Inc.</v>
      </c>
      <c r="N2025" t="str">
        <f>VLOOKUP(fact_daily_prices[[#This Row],[Ticker]], dim_company[], 3, FALSE)</f>
        <v>Consumer Discretionary</v>
      </c>
    </row>
    <row r="2026" spans="1:14" x14ac:dyDescent="0.3">
      <c r="A2026" s="1">
        <v>45509</v>
      </c>
      <c r="B2026">
        <v>198.8800048828125</v>
      </c>
      <c r="C2026">
        <v>203.8800048828125</v>
      </c>
      <c r="D2026">
        <v>182</v>
      </c>
      <c r="E2026">
        <v>185.22000122070313</v>
      </c>
      <c r="F2026">
        <v>100308800</v>
      </c>
      <c r="G2026" s="2" t="s">
        <v>16</v>
      </c>
      <c r="H2026">
        <v>-4.232673647438423</v>
      </c>
      <c r="I2026">
        <v>79.071247417511287</v>
      </c>
      <c r="L2026">
        <v>0</v>
      </c>
      <c r="M2026" t="str">
        <f>VLOOKUP(fact_daily_prices[[#This Row],[Ticker]], dim_company[], 2, FALSE)</f>
        <v>Tesla Inc.</v>
      </c>
      <c r="N2026" t="str">
        <f>VLOOKUP(fact_daily_prices[[#This Row],[Ticker]], dim_company[], 3, FALSE)</f>
        <v>Consumer Discretionary</v>
      </c>
    </row>
    <row r="2027" spans="1:14" x14ac:dyDescent="0.3">
      <c r="A2027" s="1">
        <v>45510</v>
      </c>
      <c r="B2027">
        <v>200.63999938964844</v>
      </c>
      <c r="C2027">
        <v>202.8999938964844</v>
      </c>
      <c r="D2027">
        <v>192.66999816894531</v>
      </c>
      <c r="E2027">
        <v>200.75</v>
      </c>
      <c r="F2027">
        <v>73783900</v>
      </c>
      <c r="G2027" s="2" t="s">
        <v>16</v>
      </c>
      <c r="H2027">
        <v>0.88495296843591476</v>
      </c>
      <c r="I2027">
        <v>79.77099076871184</v>
      </c>
      <c r="L2027">
        <v>0</v>
      </c>
      <c r="M2027" t="str">
        <f>VLOOKUP(fact_daily_prices[[#This Row],[Ticker]], dim_company[], 2, FALSE)</f>
        <v>Tesla Inc.</v>
      </c>
      <c r="N2027" t="str">
        <f>VLOOKUP(fact_daily_prices[[#This Row],[Ticker]], dim_company[], 3, FALSE)</f>
        <v>Consumer Discretionary</v>
      </c>
    </row>
    <row r="2028" spans="1:14" x14ac:dyDescent="0.3">
      <c r="A2028" s="1">
        <v>45511</v>
      </c>
      <c r="B2028">
        <v>191.75999450683599</v>
      </c>
      <c r="C2028">
        <v>203.49000549316409</v>
      </c>
      <c r="D2028">
        <v>191.47999572753903</v>
      </c>
      <c r="E2028">
        <v>200.77000427246091</v>
      </c>
      <c r="F2028">
        <v>71159800</v>
      </c>
      <c r="G2028" s="2" t="s">
        <v>16</v>
      </c>
      <c r="H2028">
        <v>-4.4258397676563144</v>
      </c>
      <c r="I2028">
        <v>76.240454536216745</v>
      </c>
      <c r="L2028">
        <v>0</v>
      </c>
      <c r="M2028" t="str">
        <f>VLOOKUP(fact_daily_prices[[#This Row],[Ticker]], dim_company[], 2, FALSE)</f>
        <v>Tesla Inc.</v>
      </c>
      <c r="N2028" t="str">
        <f>VLOOKUP(fact_daily_prices[[#This Row],[Ticker]], dim_company[], 3, FALSE)</f>
        <v>Consumer Discretionary</v>
      </c>
    </row>
    <row r="2029" spans="1:14" x14ac:dyDescent="0.3">
      <c r="A2029" s="1">
        <v>45512</v>
      </c>
      <c r="B2029">
        <v>198.83999633789065</v>
      </c>
      <c r="C2029">
        <v>200.69999694824219</v>
      </c>
      <c r="D2029">
        <v>192.03999328613281</v>
      </c>
      <c r="E2029">
        <v>195.69999694824219</v>
      </c>
      <c r="F2029">
        <v>65033900</v>
      </c>
      <c r="G2029" s="2" t="s">
        <v>16</v>
      </c>
      <c r="H2029">
        <v>3.6921162045622902</v>
      </c>
      <c r="I2029">
        <v>79.05534071258036</v>
      </c>
      <c r="L2029">
        <v>0</v>
      </c>
      <c r="M2029" t="str">
        <f>VLOOKUP(fact_daily_prices[[#This Row],[Ticker]], dim_company[], 2, FALSE)</f>
        <v>Tesla Inc.</v>
      </c>
      <c r="N2029" t="str">
        <f>VLOOKUP(fact_daily_prices[[#This Row],[Ticker]], dim_company[], 3, FALSE)</f>
        <v>Consumer Discretionary</v>
      </c>
    </row>
    <row r="2030" spans="1:14" x14ac:dyDescent="0.3">
      <c r="A2030" s="1">
        <v>45513</v>
      </c>
      <c r="B2030">
        <v>200</v>
      </c>
      <c r="C2030">
        <v>200.8800048828125</v>
      </c>
      <c r="D2030">
        <v>195.11000061035159</v>
      </c>
      <c r="E2030">
        <v>197.05000305175781</v>
      </c>
      <c r="F2030">
        <v>58648300</v>
      </c>
      <c r="G2030" s="2" t="s">
        <v>16</v>
      </c>
      <c r="H2030">
        <v>0.5833854775063152</v>
      </c>
      <c r="I2030">
        <v>79.516538089490695</v>
      </c>
      <c r="L2030">
        <v>0</v>
      </c>
      <c r="M2030" t="str">
        <f>VLOOKUP(fact_daily_prices[[#This Row],[Ticker]], dim_company[], 2, FALSE)</f>
        <v>Tesla Inc.</v>
      </c>
      <c r="N2030" t="str">
        <f>VLOOKUP(fact_daily_prices[[#This Row],[Ticker]], dim_company[], 3, FALSE)</f>
        <v>Consumer Discretionary</v>
      </c>
    </row>
    <row r="2031" spans="1:14" x14ac:dyDescent="0.3">
      <c r="A2031" s="1">
        <v>45516</v>
      </c>
      <c r="B2031">
        <v>197.49000549316409</v>
      </c>
      <c r="C2031">
        <v>199.25999450683599</v>
      </c>
      <c r="D2031">
        <v>194.66999816894531</v>
      </c>
      <c r="E2031">
        <v>199.02000427246091</v>
      </c>
      <c r="F2031">
        <v>64044900</v>
      </c>
      <c r="G2031" s="2" t="s">
        <v>16</v>
      </c>
      <c r="H2031">
        <v>-1.2549972534179554</v>
      </c>
      <c r="I2031">
        <v>78.518607720454554</v>
      </c>
      <c r="L2031">
        <v>0</v>
      </c>
      <c r="M2031" t="str">
        <f>VLOOKUP(fact_daily_prices[[#This Row],[Ticker]], dim_company[], 2, FALSE)</f>
        <v>Tesla Inc.</v>
      </c>
      <c r="N2031" t="str">
        <f>VLOOKUP(fact_daily_prices[[#This Row],[Ticker]], dim_company[], 3, FALSE)</f>
        <v>Consumer Discretionary</v>
      </c>
    </row>
    <row r="2032" spans="1:14" x14ac:dyDescent="0.3">
      <c r="A2032" s="1">
        <v>45517</v>
      </c>
      <c r="B2032">
        <v>207.83000183105469</v>
      </c>
      <c r="C2032">
        <v>208.49000549316409</v>
      </c>
      <c r="D2032">
        <v>197.05999755859369</v>
      </c>
      <c r="E2032">
        <v>198.47000122070313</v>
      </c>
      <c r="F2032">
        <v>76247400</v>
      </c>
      <c r="G2032" s="2" t="s">
        <v>16</v>
      </c>
      <c r="H2032">
        <v>5.2357061371637315</v>
      </c>
      <c r="I2032">
        <v>82.629611283689911</v>
      </c>
      <c r="L2032">
        <v>0</v>
      </c>
      <c r="M2032" t="str">
        <f>VLOOKUP(fact_daily_prices[[#This Row],[Ticker]], dim_company[], 2, FALSE)</f>
        <v>Tesla Inc.</v>
      </c>
      <c r="N2032" t="str">
        <f>VLOOKUP(fact_daily_prices[[#This Row],[Ticker]], dim_company[], 3, FALSE)</f>
        <v>Consumer Discretionary</v>
      </c>
    </row>
    <row r="2033" spans="1:14" x14ac:dyDescent="0.3">
      <c r="A2033" s="1">
        <v>45518</v>
      </c>
      <c r="B2033">
        <v>201.3800048828125</v>
      </c>
      <c r="C2033">
        <v>208.44000244140625</v>
      </c>
      <c r="D2033">
        <v>198.75</v>
      </c>
      <c r="E2033">
        <v>207.38999938964844</v>
      </c>
      <c r="F2033">
        <v>70250000</v>
      </c>
      <c r="G2033" s="2" t="s">
        <v>16</v>
      </c>
      <c r="H2033">
        <v>-3.1034965555576499</v>
      </c>
      <c r="I2033">
        <v>80.065204143629913</v>
      </c>
      <c r="L2033">
        <v>0</v>
      </c>
      <c r="M2033" t="str">
        <f>VLOOKUP(fact_daily_prices[[#This Row],[Ticker]], dim_company[], 2, FALSE)</f>
        <v>Tesla Inc.</v>
      </c>
      <c r="N2033" t="str">
        <f>VLOOKUP(fact_daily_prices[[#This Row],[Ticker]], dim_company[], 3, FALSE)</f>
        <v>Consumer Discretionary</v>
      </c>
    </row>
    <row r="2034" spans="1:14" x14ac:dyDescent="0.3">
      <c r="A2034" s="1">
        <v>45519</v>
      </c>
      <c r="B2034">
        <v>214.13999938964844</v>
      </c>
      <c r="C2034">
        <v>215.8800048828125</v>
      </c>
      <c r="D2034">
        <v>204.82000732421875</v>
      </c>
      <c r="E2034">
        <v>205.02000427246091</v>
      </c>
      <c r="F2034">
        <v>89848500</v>
      </c>
      <c r="G2034" s="2" t="s">
        <v>16</v>
      </c>
      <c r="H2034">
        <v>6.3362767888804461</v>
      </c>
      <c r="I2034">
        <v>85.138357089752475</v>
      </c>
      <c r="K2034">
        <v>4.4142446728099145</v>
      </c>
      <c r="L2034">
        <v>0</v>
      </c>
      <c r="M2034" t="str">
        <f>VLOOKUP(fact_daily_prices[[#This Row],[Ticker]], dim_company[], 2, FALSE)</f>
        <v>Tesla Inc.</v>
      </c>
      <c r="N2034" t="str">
        <f>VLOOKUP(fact_daily_prices[[#This Row],[Ticker]], dim_company[], 3, FALSE)</f>
        <v>Consumer Discretionary</v>
      </c>
    </row>
    <row r="2035" spans="1:14" x14ac:dyDescent="0.3">
      <c r="A2035" s="1">
        <v>45520</v>
      </c>
      <c r="B2035">
        <v>216.1199951171875</v>
      </c>
      <c r="C2035">
        <v>219.80000305175781</v>
      </c>
      <c r="D2035">
        <v>210.80000305175781</v>
      </c>
      <c r="E2035">
        <v>211.1499938964844</v>
      </c>
      <c r="F2035">
        <v>88765100</v>
      </c>
      <c r="G2035" s="2" t="s">
        <v>16</v>
      </c>
      <c r="H2035">
        <v>0.92462675501192582</v>
      </c>
      <c r="I2035">
        <v>85.925569118181912</v>
      </c>
      <c r="K2035">
        <v>4.4206338892163446</v>
      </c>
      <c r="L2035">
        <v>0</v>
      </c>
      <c r="M2035" t="str">
        <f>VLOOKUP(fact_daily_prices[[#This Row],[Ticker]], dim_company[], 2, FALSE)</f>
        <v>Tesla Inc.</v>
      </c>
      <c r="N2035" t="str">
        <f>VLOOKUP(fact_daily_prices[[#This Row],[Ticker]], dim_company[], 3, FALSE)</f>
        <v>Consumer Discretionary</v>
      </c>
    </row>
    <row r="2036" spans="1:14" x14ac:dyDescent="0.3">
      <c r="A2036" s="1">
        <v>45523</v>
      </c>
      <c r="B2036">
        <v>222.72000122070313</v>
      </c>
      <c r="C2036">
        <v>222.97999572753903</v>
      </c>
      <c r="D2036">
        <v>214.08999633789065</v>
      </c>
      <c r="E2036">
        <v>217.07000732421875</v>
      </c>
      <c r="F2036">
        <v>76435200</v>
      </c>
      <c r="G2036" s="2" t="s">
        <v>16</v>
      </c>
      <c r="H2036">
        <v>3.0538618603692225</v>
      </c>
      <c r="I2036">
        <v>88.549617301787265</v>
      </c>
      <c r="K2036">
        <v>4.4626713841676988</v>
      </c>
      <c r="L2036">
        <v>0</v>
      </c>
      <c r="M2036" t="str">
        <f>VLOOKUP(fact_daily_prices[[#This Row],[Ticker]], dim_company[], 2, FALSE)</f>
        <v>Tesla Inc.</v>
      </c>
      <c r="N2036" t="str">
        <f>VLOOKUP(fact_daily_prices[[#This Row],[Ticker]], dim_company[], 3, FALSE)</f>
        <v>Consumer Discretionary</v>
      </c>
    </row>
    <row r="2037" spans="1:14" x14ac:dyDescent="0.3">
      <c r="A2037" s="1">
        <v>45524</v>
      </c>
      <c r="B2037">
        <v>221.1000061035156</v>
      </c>
      <c r="C2037">
        <v>228.22000122070313</v>
      </c>
      <c r="D2037">
        <v>219.55999755859369</v>
      </c>
      <c r="E2037">
        <v>224.8800048828125</v>
      </c>
      <c r="F2037">
        <v>74001200</v>
      </c>
      <c r="G2037" s="2" t="s">
        <v>16</v>
      </c>
      <c r="H2037">
        <v>-0.72736849331380693</v>
      </c>
      <c r="I2037">
        <v>87.905535284584118</v>
      </c>
      <c r="K2037">
        <v>4.397321731813788</v>
      </c>
      <c r="L2037">
        <v>0</v>
      </c>
      <c r="M2037" t="str">
        <f>VLOOKUP(fact_daily_prices[[#This Row],[Ticker]], dim_company[], 2, FALSE)</f>
        <v>Tesla Inc.</v>
      </c>
      <c r="N2037" t="str">
        <f>VLOOKUP(fact_daily_prices[[#This Row],[Ticker]], dim_company[], 3, FALSE)</f>
        <v>Consumer Discretionary</v>
      </c>
    </row>
    <row r="2038" spans="1:14" x14ac:dyDescent="0.3">
      <c r="A2038" s="1">
        <v>45525</v>
      </c>
      <c r="B2038">
        <v>223.27000427246091</v>
      </c>
      <c r="C2038">
        <v>224.66000366210929</v>
      </c>
      <c r="D2038">
        <v>218.86000061035159</v>
      </c>
      <c r="E2038">
        <v>222.66999816894531</v>
      </c>
      <c r="F2038">
        <v>70146000</v>
      </c>
      <c r="G2038" s="2" t="s">
        <v>16</v>
      </c>
      <c r="H2038">
        <v>0.98145549934058884</v>
      </c>
      <c r="I2038">
        <v>88.768288994859432</v>
      </c>
      <c r="K2038">
        <v>4.4028738213152154</v>
      </c>
      <c r="L2038">
        <v>0</v>
      </c>
      <c r="M2038" t="str">
        <f>VLOOKUP(fact_daily_prices[[#This Row],[Ticker]], dim_company[], 2, FALSE)</f>
        <v>Tesla Inc.</v>
      </c>
      <c r="N2038" t="str">
        <f>VLOOKUP(fact_daily_prices[[#This Row],[Ticker]], dim_company[], 3, FALSE)</f>
        <v>Consumer Discretionary</v>
      </c>
    </row>
    <row r="2039" spans="1:14" x14ac:dyDescent="0.3">
      <c r="A2039" s="1">
        <v>45526</v>
      </c>
      <c r="B2039">
        <v>210.66000366210929</v>
      </c>
      <c r="C2039">
        <v>224.80000305175781</v>
      </c>
      <c r="D2039">
        <v>210.32000732421875</v>
      </c>
      <c r="E2039">
        <v>223.82000732421875</v>
      </c>
      <c r="F2039">
        <v>79514500</v>
      </c>
      <c r="G2039" s="2" t="s">
        <v>16</v>
      </c>
      <c r="H2039">
        <v>-5.6478704568677207</v>
      </c>
      <c r="I2039">
        <v>83.754771025651806</v>
      </c>
      <c r="K2039">
        <v>4.2549516169737629</v>
      </c>
      <c r="L2039">
        <v>0</v>
      </c>
      <c r="M2039" t="str">
        <f>VLOOKUP(fact_daily_prices[[#This Row],[Ticker]], dim_company[], 2, FALSE)</f>
        <v>Tesla Inc.</v>
      </c>
      <c r="N2039" t="str">
        <f>VLOOKUP(fact_daily_prices[[#This Row],[Ticker]], dim_company[], 3, FALSE)</f>
        <v>Consumer Discretionary</v>
      </c>
    </row>
    <row r="2040" spans="1:14" x14ac:dyDescent="0.3">
      <c r="A2040" s="1">
        <v>45527</v>
      </c>
      <c r="B2040">
        <v>220.32000732421875</v>
      </c>
      <c r="C2040">
        <v>221.47999572753903</v>
      </c>
      <c r="D2040">
        <v>214.21000671386719</v>
      </c>
      <c r="E2040">
        <v>214.46000671386719</v>
      </c>
      <c r="F2040">
        <v>81525200</v>
      </c>
      <c r="G2040" s="2" t="s">
        <v>16</v>
      </c>
      <c r="H2040">
        <v>4.5855898102060921</v>
      </c>
      <c r="I2040">
        <v>87.595421271365552</v>
      </c>
      <c r="K2040">
        <v>4.3079667990755963</v>
      </c>
      <c r="L2040">
        <v>0</v>
      </c>
      <c r="M2040" t="str">
        <f>VLOOKUP(fact_daily_prices[[#This Row],[Ticker]], dim_company[], 2, FALSE)</f>
        <v>Tesla Inc.</v>
      </c>
      <c r="N2040" t="str">
        <f>VLOOKUP(fact_daily_prices[[#This Row],[Ticker]], dim_company[], 3, FALSE)</f>
        <v>Consumer Discretionary</v>
      </c>
    </row>
    <row r="2041" spans="1:14" x14ac:dyDescent="0.3">
      <c r="A2041" s="1">
        <v>45530</v>
      </c>
      <c r="B2041">
        <v>213.21000671386719</v>
      </c>
      <c r="C2041">
        <v>219.08999633789065</v>
      </c>
      <c r="D2041">
        <v>211.00999450683599</v>
      </c>
      <c r="E2041">
        <v>218.75</v>
      </c>
      <c r="F2041">
        <v>59301200</v>
      </c>
      <c r="G2041" s="2" t="s">
        <v>16</v>
      </c>
      <c r="H2041">
        <v>-3.2271243527550397</v>
      </c>
      <c r="I2041">
        <v>84.76860809961893</v>
      </c>
      <c r="K2041">
        <v>4.3214334553989184</v>
      </c>
      <c r="L2041">
        <v>0</v>
      </c>
      <c r="M2041" t="str">
        <f>VLOOKUP(fact_daily_prices[[#This Row],[Ticker]], dim_company[], 2, FALSE)</f>
        <v>Tesla Inc.</v>
      </c>
      <c r="N2041" t="str">
        <f>VLOOKUP(fact_daily_prices[[#This Row],[Ticker]], dim_company[], 3, FALSE)</f>
        <v>Consumer Discretionary</v>
      </c>
    </row>
    <row r="2042" spans="1:14" x14ac:dyDescent="0.3">
      <c r="A2042" s="1">
        <v>45531</v>
      </c>
      <c r="B2042">
        <v>209.21000671386719</v>
      </c>
      <c r="C2042">
        <v>215.66000366210929</v>
      </c>
      <c r="D2042">
        <v>206.94000244140625</v>
      </c>
      <c r="E2042">
        <v>213.25</v>
      </c>
      <c r="F2042">
        <v>62821400</v>
      </c>
      <c r="G2042" s="2" t="s">
        <v>16</v>
      </c>
      <c r="H2042">
        <v>-1.8760845523390857</v>
      </c>
      <c r="I2042">
        <v>83.178277337829115</v>
      </c>
      <c r="K2042">
        <v>4.3113892583463373</v>
      </c>
      <c r="L2042">
        <v>0</v>
      </c>
      <c r="M2042" t="str">
        <f>VLOOKUP(fact_daily_prices[[#This Row],[Ticker]], dim_company[], 2, FALSE)</f>
        <v>Tesla Inc.</v>
      </c>
      <c r="N2042" t="str">
        <f>VLOOKUP(fact_daily_prices[[#This Row],[Ticker]], dim_company[], 3, FALSE)</f>
        <v>Consumer Discretionary</v>
      </c>
    </row>
    <row r="2043" spans="1:14" x14ac:dyDescent="0.3">
      <c r="A2043" s="1">
        <v>45532</v>
      </c>
      <c r="B2043">
        <v>205.75</v>
      </c>
      <c r="C2043">
        <v>211.83999633789065</v>
      </c>
      <c r="D2043">
        <v>202.58999633789065</v>
      </c>
      <c r="E2043">
        <v>209.72000122070313</v>
      </c>
      <c r="F2043">
        <v>64116400</v>
      </c>
      <c r="G2043" s="2" t="s">
        <v>16</v>
      </c>
      <c r="H2043">
        <v>-1.6538437946705731</v>
      </c>
      <c r="I2043">
        <v>81.802638559563562</v>
      </c>
      <c r="K2043">
        <v>4.2894833033425215</v>
      </c>
      <c r="L2043">
        <v>0</v>
      </c>
      <c r="M2043" t="str">
        <f>VLOOKUP(fact_daily_prices[[#This Row],[Ticker]], dim_company[], 2, FALSE)</f>
        <v>Tesla Inc.</v>
      </c>
      <c r="N2043" t="str">
        <f>VLOOKUP(fact_daily_prices[[#This Row],[Ticker]], dim_company[], 3, FALSE)</f>
        <v>Consumer Discretionary</v>
      </c>
    </row>
    <row r="2044" spans="1:14" x14ac:dyDescent="0.3">
      <c r="A2044" s="1">
        <v>45533</v>
      </c>
      <c r="B2044">
        <v>206.27999877929688</v>
      </c>
      <c r="C2044">
        <v>214.88999938964844</v>
      </c>
      <c r="D2044">
        <v>205.97000122070313</v>
      </c>
      <c r="E2044">
        <v>209.80000305175781</v>
      </c>
      <c r="F2044">
        <v>62308800</v>
      </c>
      <c r="G2044" s="2" t="s">
        <v>16</v>
      </c>
      <c r="H2044">
        <v>0.2575935743848623</v>
      </c>
      <c r="I2044">
        <v>82.013356900170265</v>
      </c>
      <c r="K2044">
        <v>4.2892469626006964</v>
      </c>
      <c r="L2044">
        <v>0</v>
      </c>
      <c r="M2044" t="str">
        <f>VLOOKUP(fact_daily_prices[[#This Row],[Ticker]], dim_company[], 2, FALSE)</f>
        <v>Tesla Inc.</v>
      </c>
      <c r="N2044" t="str">
        <f>VLOOKUP(fact_daily_prices[[#This Row],[Ticker]], dim_company[], 3, FALSE)</f>
        <v>Consumer Discretionary</v>
      </c>
    </row>
    <row r="2045" spans="1:14" x14ac:dyDescent="0.3">
      <c r="A2045" s="1">
        <v>45534</v>
      </c>
      <c r="B2045">
        <v>214.11000061035159</v>
      </c>
      <c r="C2045">
        <v>214.57000732421875</v>
      </c>
      <c r="D2045">
        <v>207.02999877929688</v>
      </c>
      <c r="E2045">
        <v>208.6300048828125</v>
      </c>
      <c r="F2045">
        <v>63370600</v>
      </c>
      <c r="G2045" s="2" t="s">
        <v>16</v>
      </c>
      <c r="H2045">
        <v>3.7958124284420691</v>
      </c>
      <c r="I2045">
        <v>85.126430094369482</v>
      </c>
      <c r="K2045">
        <v>4.3076379387927171</v>
      </c>
      <c r="L2045">
        <v>0</v>
      </c>
      <c r="M2045" t="str">
        <f>VLOOKUP(fact_daily_prices[[#This Row],[Ticker]], dim_company[], 2, FALSE)</f>
        <v>Tesla Inc.</v>
      </c>
      <c r="N2045" t="str">
        <f>VLOOKUP(fact_daily_prices[[#This Row],[Ticker]], dim_company[], 3, FALSE)</f>
        <v>Consumer Discretionary</v>
      </c>
    </row>
    <row r="2046" spans="1:14" x14ac:dyDescent="0.3">
      <c r="A2046" s="1">
        <v>45538</v>
      </c>
      <c r="B2046">
        <v>210.6000061035156</v>
      </c>
      <c r="C2046">
        <v>219.8999938964844</v>
      </c>
      <c r="D2046">
        <v>209.63999938964844</v>
      </c>
      <c r="E2046">
        <v>215.25999450683599</v>
      </c>
      <c r="F2046">
        <v>76714200</v>
      </c>
      <c r="G2046" s="2" t="s">
        <v>16</v>
      </c>
      <c r="H2046">
        <v>-1.6393416920415849</v>
      </c>
      <c r="I2046">
        <v>83.730917034885849</v>
      </c>
      <c r="K2046">
        <v>4.1895759742505456</v>
      </c>
      <c r="L2046">
        <v>0</v>
      </c>
      <c r="M2046" t="str">
        <f>VLOOKUP(fact_daily_prices[[#This Row],[Ticker]], dim_company[], 2, FALSE)</f>
        <v>Tesla Inc.</v>
      </c>
      <c r="N2046" t="str">
        <f>VLOOKUP(fact_daily_prices[[#This Row],[Ticker]], dim_company[], 3, FALSE)</f>
        <v>Consumer Discretionary</v>
      </c>
    </row>
    <row r="2047" spans="1:14" x14ac:dyDescent="0.3">
      <c r="A2047" s="1">
        <v>45539</v>
      </c>
      <c r="B2047">
        <v>219.41000366210929</v>
      </c>
      <c r="C2047">
        <v>222.22000122070313</v>
      </c>
      <c r="D2047">
        <v>210.57000732421875</v>
      </c>
      <c r="E2047">
        <v>210.58999633789065</v>
      </c>
      <c r="F2047">
        <v>80651800</v>
      </c>
      <c r="G2047" s="2" t="s">
        <v>16</v>
      </c>
      <c r="H2047">
        <v>4.1832845694521614</v>
      </c>
      <c r="I2047">
        <v>87.233619567067038</v>
      </c>
      <c r="K2047">
        <v>4.2642725951741367</v>
      </c>
      <c r="L2047">
        <v>0</v>
      </c>
      <c r="M2047" t="str">
        <f>VLOOKUP(fact_daily_prices[[#This Row],[Ticker]], dim_company[], 2, FALSE)</f>
        <v>Tesla Inc.</v>
      </c>
      <c r="N2047" t="str">
        <f>VLOOKUP(fact_daily_prices[[#This Row],[Ticker]], dim_company[], 3, FALSE)</f>
        <v>Consumer Discretionary</v>
      </c>
    </row>
    <row r="2048" spans="1:14" x14ac:dyDescent="0.3">
      <c r="A2048" s="1">
        <v>45540</v>
      </c>
      <c r="B2048">
        <v>230.16999816894531</v>
      </c>
      <c r="C2048">
        <v>235</v>
      </c>
      <c r="D2048">
        <v>222.25</v>
      </c>
      <c r="E2048">
        <v>223.49000549316409</v>
      </c>
      <c r="F2048">
        <v>119355000</v>
      </c>
      <c r="G2048" s="2" t="s">
        <v>16</v>
      </c>
      <c r="H2048">
        <v>4.9040583051110032</v>
      </c>
      <c r="I2048">
        <v>91.511607132294714</v>
      </c>
      <c r="K2048">
        <v>3.7117652402825803</v>
      </c>
      <c r="L2048">
        <v>0</v>
      </c>
      <c r="M2048" t="str">
        <f>VLOOKUP(fact_daily_prices[[#This Row],[Ticker]], dim_company[], 2, FALSE)</f>
        <v>Tesla Inc.</v>
      </c>
      <c r="N2048" t="str">
        <f>VLOOKUP(fact_daily_prices[[#This Row],[Ticker]], dim_company[], 3, FALSE)</f>
        <v>Consumer Discretionary</v>
      </c>
    </row>
    <row r="2049" spans="1:14" x14ac:dyDescent="0.3">
      <c r="A2049" s="1">
        <v>45541</v>
      </c>
      <c r="B2049">
        <v>210.72999572753903</v>
      </c>
      <c r="C2049">
        <v>233.6000061035156</v>
      </c>
      <c r="D2049">
        <v>210.50999450683599</v>
      </c>
      <c r="E2049">
        <v>232.6000061035156</v>
      </c>
      <c r="F2049">
        <v>112177000</v>
      </c>
      <c r="G2049" s="2" t="s">
        <v>16</v>
      </c>
      <c r="H2049">
        <v>-8.4459323960793817</v>
      </c>
      <c r="I2049">
        <v>83.782598659335335</v>
      </c>
      <c r="K2049">
        <v>4.0222352901322243</v>
      </c>
      <c r="L2049">
        <v>0</v>
      </c>
      <c r="M2049" t="str">
        <f>VLOOKUP(fact_daily_prices[[#This Row],[Ticker]], dim_company[], 2, FALSE)</f>
        <v>Tesla Inc.</v>
      </c>
      <c r="N2049" t="str">
        <f>VLOOKUP(fact_daily_prices[[#This Row],[Ticker]], dim_company[], 3, FALSE)</f>
        <v>Consumer Discretionary</v>
      </c>
    </row>
    <row r="2050" spans="1:14" x14ac:dyDescent="0.3">
      <c r="A2050" s="1">
        <v>45544</v>
      </c>
      <c r="B2050">
        <v>216.27000427246091</v>
      </c>
      <c r="C2050">
        <v>219.8699951171875</v>
      </c>
      <c r="D2050">
        <v>213.66999816894531</v>
      </c>
      <c r="E2050">
        <v>216.19999694824219</v>
      </c>
      <c r="F2050">
        <v>67443500</v>
      </c>
      <c r="G2050" s="2" t="s">
        <v>16</v>
      </c>
      <c r="H2050">
        <v>2.6289605928169646</v>
      </c>
      <c r="I2050">
        <v>85.985210161727267</v>
      </c>
      <c r="K2050">
        <v>4.0520888297395103</v>
      </c>
      <c r="L2050">
        <v>0</v>
      </c>
      <c r="M2050" t="str">
        <f>VLOOKUP(fact_daily_prices[[#This Row],[Ticker]], dim_company[], 2, FALSE)</f>
        <v>Tesla Inc.</v>
      </c>
      <c r="N2050" t="str">
        <f>VLOOKUP(fact_daily_prices[[#This Row],[Ticker]], dim_company[], 3, FALSE)</f>
        <v>Consumer Discretionary</v>
      </c>
    </row>
    <row r="2051" spans="1:14" x14ac:dyDescent="0.3">
      <c r="A2051" s="1">
        <v>45545</v>
      </c>
      <c r="B2051">
        <v>226.16999816894531</v>
      </c>
      <c r="C2051">
        <v>226.3999938964844</v>
      </c>
      <c r="D2051">
        <v>218.63999938964844</v>
      </c>
      <c r="E2051">
        <v>220.07000732421875</v>
      </c>
      <c r="F2051">
        <v>78891100</v>
      </c>
      <c r="G2051" s="2" t="s">
        <v>16</v>
      </c>
      <c r="H2051">
        <v>4.5776084065787481</v>
      </c>
      <c r="I2051">
        <v>89.921276370504899</v>
      </c>
      <c r="K2051">
        <v>4.0078407375594995</v>
      </c>
      <c r="L2051">
        <v>0</v>
      </c>
      <c r="M2051" t="str">
        <f>VLOOKUP(fact_daily_prices[[#This Row],[Ticker]], dim_company[], 2, FALSE)</f>
        <v>Tesla Inc.</v>
      </c>
      <c r="N2051" t="str">
        <f>VLOOKUP(fact_daily_prices[[#This Row],[Ticker]], dim_company[], 3, FALSE)</f>
        <v>Consumer Discretionary</v>
      </c>
    </row>
    <row r="2052" spans="1:14" x14ac:dyDescent="0.3">
      <c r="A2052" s="1">
        <v>45546</v>
      </c>
      <c r="B2052">
        <v>228.1300048828125</v>
      </c>
      <c r="C2052">
        <v>228.47000122070313</v>
      </c>
      <c r="D2052">
        <v>216.80000305175781</v>
      </c>
      <c r="E2052">
        <v>224.55000305175781</v>
      </c>
      <c r="F2052">
        <v>83548600</v>
      </c>
      <c r="G2052" s="2" t="s">
        <v>16</v>
      </c>
      <c r="H2052">
        <v>0.86660774184694755</v>
      </c>
      <c r="I2052">
        <v>90.700541113099291</v>
      </c>
      <c r="K2052">
        <v>3.9354771588423159</v>
      </c>
      <c r="L2052">
        <v>0</v>
      </c>
      <c r="M2052" t="str">
        <f>VLOOKUP(fact_daily_prices[[#This Row],[Ticker]], dim_company[], 2, FALSE)</f>
        <v>Tesla Inc.</v>
      </c>
      <c r="N2052" t="str">
        <f>VLOOKUP(fact_daily_prices[[#This Row],[Ticker]], dim_company[], 3, FALSE)</f>
        <v>Consumer Discretionary</v>
      </c>
    </row>
    <row r="2053" spans="1:14" x14ac:dyDescent="0.3">
      <c r="A2053" s="1">
        <v>45547</v>
      </c>
      <c r="B2053">
        <v>229.80999755859369</v>
      </c>
      <c r="C2053">
        <v>231.44999694824219</v>
      </c>
      <c r="D2053">
        <v>223.83000183105469</v>
      </c>
      <c r="E2053">
        <v>224.66000366210929</v>
      </c>
      <c r="F2053">
        <v>71894900</v>
      </c>
      <c r="G2053" s="2" t="s">
        <v>16</v>
      </c>
      <c r="H2053">
        <v>0.73641898909535541</v>
      </c>
      <c r="I2053">
        <v>91.368477121068395</v>
      </c>
      <c r="J2053">
        <v>224.54420104980468</v>
      </c>
      <c r="K2053">
        <v>3.8612395501101524</v>
      </c>
      <c r="L2053">
        <v>0</v>
      </c>
      <c r="M2053" t="str">
        <f>VLOOKUP(fact_daily_prices[[#This Row],[Ticker]], dim_company[], 2, FALSE)</f>
        <v>Tesla Inc.</v>
      </c>
      <c r="N2053" t="str">
        <f>VLOOKUP(fact_daily_prices[[#This Row],[Ticker]], dim_company[], 3, FALSE)</f>
        <v>Consumer Discretionary</v>
      </c>
    </row>
    <row r="2054" spans="1:14" x14ac:dyDescent="0.3">
      <c r="A2054" s="1">
        <v>45548</v>
      </c>
      <c r="B2054">
        <v>230.28999328613281</v>
      </c>
      <c r="C2054">
        <v>232.66999816894531</v>
      </c>
      <c r="D2054">
        <v>226.32000732421875</v>
      </c>
      <c r="E2054">
        <v>228</v>
      </c>
      <c r="F2054">
        <v>59515100</v>
      </c>
      <c r="G2054" s="2" t="s">
        <v>16</v>
      </c>
      <c r="H2054">
        <v>0.20886633855723424</v>
      </c>
      <c r="I2054">
        <v>91.559315113826685</v>
      </c>
      <c r="J2054">
        <v>224.11960083007813</v>
      </c>
      <c r="K2054">
        <v>3.6548852893719075</v>
      </c>
      <c r="L2054">
        <v>0</v>
      </c>
      <c r="M2054" t="str">
        <f>VLOOKUP(fact_daily_prices[[#This Row],[Ticker]], dim_company[], 2, FALSE)</f>
        <v>Tesla Inc.</v>
      </c>
      <c r="N2054" t="str">
        <f>VLOOKUP(fact_daily_prices[[#This Row],[Ticker]], dim_company[], 3, FALSE)</f>
        <v>Consumer Discretionary</v>
      </c>
    </row>
    <row r="2055" spans="1:14" x14ac:dyDescent="0.3">
      <c r="A2055" s="1">
        <v>45551</v>
      </c>
      <c r="B2055">
        <v>226.77999877929688</v>
      </c>
      <c r="C2055">
        <v>229.96000671386719</v>
      </c>
      <c r="D2055">
        <v>223.52999877929688</v>
      </c>
      <c r="E2055">
        <v>229.30000305175781</v>
      </c>
      <c r="F2055">
        <v>54323000</v>
      </c>
      <c r="G2055" s="2" t="s">
        <v>16</v>
      </c>
      <c r="H2055">
        <v>-1.5241628421408637</v>
      </c>
      <c r="I2055">
        <v>90.163802054343066</v>
      </c>
      <c r="J2055">
        <v>223.62480072021484</v>
      </c>
      <c r="K2055">
        <v>3.5722374916057218</v>
      </c>
      <c r="L2055">
        <v>0</v>
      </c>
      <c r="M2055" t="str">
        <f>VLOOKUP(fact_daily_prices[[#This Row],[Ticker]], dim_company[], 2, FALSE)</f>
        <v>Tesla Inc.</v>
      </c>
      <c r="N2055" t="str">
        <f>VLOOKUP(fact_daily_prices[[#This Row],[Ticker]], dim_company[], 3, FALSE)</f>
        <v>Consumer Discretionary</v>
      </c>
    </row>
    <row r="2056" spans="1:14" x14ac:dyDescent="0.3">
      <c r="A2056" s="1">
        <v>45552</v>
      </c>
      <c r="B2056">
        <v>227.8699951171875</v>
      </c>
      <c r="C2056">
        <v>234.57000732421875</v>
      </c>
      <c r="D2056">
        <v>226.55000305175781</v>
      </c>
      <c r="E2056">
        <v>229.44999694824219</v>
      </c>
      <c r="F2056">
        <v>66761600</v>
      </c>
      <c r="G2056" s="2" t="s">
        <v>16</v>
      </c>
      <c r="H2056">
        <v>0.48064041968332027</v>
      </c>
      <c r="I2056">
        <v>90.597165730939494</v>
      </c>
      <c r="J2056">
        <v>223.12340057373046</v>
      </c>
      <c r="K2056">
        <v>3.4655204450765296</v>
      </c>
      <c r="L2056">
        <v>0</v>
      </c>
      <c r="M2056" t="str">
        <f>VLOOKUP(fact_daily_prices[[#This Row],[Ticker]], dim_company[], 2, FALSE)</f>
        <v>Tesla Inc.</v>
      </c>
      <c r="N2056" t="str">
        <f>VLOOKUP(fact_daily_prices[[#This Row],[Ticker]], dim_company[], 3, FALSE)</f>
        <v>Consumer Discretionary</v>
      </c>
    </row>
    <row r="2057" spans="1:14" x14ac:dyDescent="0.3">
      <c r="A2057" s="1">
        <v>45553</v>
      </c>
      <c r="B2057">
        <v>227.19999694824219</v>
      </c>
      <c r="C2057">
        <v>235.67999267578125</v>
      </c>
      <c r="D2057">
        <v>226.8800048828125</v>
      </c>
      <c r="E2057">
        <v>230.08999633789065</v>
      </c>
      <c r="F2057">
        <v>78010200</v>
      </c>
      <c r="G2057" s="2" t="s">
        <v>16</v>
      </c>
      <c r="H2057">
        <v>-0.29402649901351108</v>
      </c>
      <c r="I2057">
        <v>90.330786056335342</v>
      </c>
      <c r="J2057">
        <v>222.42080078124999</v>
      </c>
      <c r="K2057">
        <v>3.4678417951263487</v>
      </c>
      <c r="L2057">
        <v>0</v>
      </c>
      <c r="M2057" t="str">
        <f>VLOOKUP(fact_daily_prices[[#This Row],[Ticker]], dim_company[], 2, FALSE)</f>
        <v>Tesla Inc.</v>
      </c>
      <c r="N2057" t="str">
        <f>VLOOKUP(fact_daily_prices[[#This Row],[Ticker]], dim_company[], 3, FALSE)</f>
        <v>Consumer Discretionary</v>
      </c>
    </row>
    <row r="2058" spans="1:14" x14ac:dyDescent="0.3">
      <c r="A2058" s="1">
        <v>45554</v>
      </c>
      <c r="B2058">
        <v>243.91999816894531</v>
      </c>
      <c r="C2058">
        <v>244.24000549316409</v>
      </c>
      <c r="D2058">
        <v>232.1300048828125</v>
      </c>
      <c r="E2058">
        <v>234</v>
      </c>
      <c r="F2058">
        <v>102694600</v>
      </c>
      <c r="G2058" s="2" t="s">
        <v>16</v>
      </c>
      <c r="H2058">
        <v>7.3591555657071872</v>
      </c>
      <c r="I2058">
        <v>96.978369125947211</v>
      </c>
      <c r="J2058">
        <v>222.0340005493164</v>
      </c>
      <c r="K2058">
        <v>3.5599542158402264</v>
      </c>
      <c r="L2058">
        <v>0</v>
      </c>
      <c r="M2058" t="str">
        <f>VLOOKUP(fact_daily_prices[[#This Row],[Ticker]], dim_company[], 2, FALSE)</f>
        <v>Tesla Inc.</v>
      </c>
      <c r="N2058" t="str">
        <f>VLOOKUP(fact_daily_prices[[#This Row],[Ticker]], dim_company[], 3, FALSE)</f>
        <v>Consumer Discretionary</v>
      </c>
    </row>
    <row r="2059" spans="1:14" x14ac:dyDescent="0.3">
      <c r="A2059" s="1">
        <v>45555</v>
      </c>
      <c r="B2059">
        <v>238.25</v>
      </c>
      <c r="C2059">
        <v>243.99000549316409</v>
      </c>
      <c r="D2059">
        <v>235.91999816894531</v>
      </c>
      <c r="E2059">
        <v>241.52000427246091</v>
      </c>
      <c r="F2059">
        <v>99879100</v>
      </c>
      <c r="G2059" s="2" t="s">
        <v>16</v>
      </c>
      <c r="H2059">
        <v>-2.3245319004217668</v>
      </c>
      <c r="I2059">
        <v>94.724075999105793</v>
      </c>
      <c r="J2059">
        <v>221.97840057373048</v>
      </c>
      <c r="K2059">
        <v>3.564760326774997</v>
      </c>
      <c r="L2059">
        <v>0</v>
      </c>
      <c r="M2059" t="str">
        <f>VLOOKUP(fact_daily_prices[[#This Row],[Ticker]], dim_company[], 2, FALSE)</f>
        <v>Tesla Inc.</v>
      </c>
      <c r="N2059" t="str">
        <f>VLOOKUP(fact_daily_prices[[#This Row],[Ticker]], dim_company[], 3, FALSE)</f>
        <v>Consumer Discretionary</v>
      </c>
    </row>
    <row r="2060" spans="1:14" x14ac:dyDescent="0.3">
      <c r="A2060" s="1">
        <v>45558</v>
      </c>
      <c r="B2060">
        <v>250</v>
      </c>
      <c r="C2060">
        <v>250</v>
      </c>
      <c r="D2060">
        <v>241.91999816894531</v>
      </c>
      <c r="E2060">
        <v>242.61000061035159</v>
      </c>
      <c r="F2060">
        <v>86927200</v>
      </c>
      <c r="G2060" s="2" t="s">
        <v>16</v>
      </c>
      <c r="H2060">
        <v>4.9317943336831149</v>
      </c>
      <c r="I2060">
        <v>99.395672611863375</v>
      </c>
      <c r="J2060">
        <v>222.01380065917968</v>
      </c>
      <c r="K2060">
        <v>3.648700901461027</v>
      </c>
      <c r="L2060">
        <v>0</v>
      </c>
      <c r="M2060" t="str">
        <f>VLOOKUP(fact_daily_prices[[#This Row],[Ticker]], dim_company[], 2, FALSE)</f>
        <v>Tesla Inc.</v>
      </c>
      <c r="N2060" t="str">
        <f>VLOOKUP(fact_daily_prices[[#This Row],[Ticker]], dim_company[], 3, FALSE)</f>
        <v>Consumer Discretionary</v>
      </c>
    </row>
    <row r="2061" spans="1:14" x14ac:dyDescent="0.3">
      <c r="A2061" s="1">
        <v>45559</v>
      </c>
      <c r="B2061">
        <v>254.27000427246091</v>
      </c>
      <c r="C2061">
        <v>257.19000244140625</v>
      </c>
      <c r="D2061">
        <v>249.05000305175781</v>
      </c>
      <c r="E2061">
        <v>254.08000183105469</v>
      </c>
      <c r="F2061">
        <v>88491000</v>
      </c>
      <c r="G2061" s="2" t="s">
        <v>16</v>
      </c>
      <c r="H2061">
        <v>1.7080017089843746</v>
      </c>
      <c r="I2061">
        <v>101.0933523987305</v>
      </c>
      <c r="J2061">
        <v>222.04640075683594</v>
      </c>
      <c r="K2061">
        <v>3.6309077575009523</v>
      </c>
      <c r="L2061">
        <v>0</v>
      </c>
      <c r="M2061" t="str">
        <f>VLOOKUP(fact_daily_prices[[#This Row],[Ticker]], dim_company[], 2, FALSE)</f>
        <v>Tesla Inc.</v>
      </c>
      <c r="N2061" t="str">
        <f>VLOOKUP(fact_daily_prices[[#This Row],[Ticker]], dim_company[], 3, FALSE)</f>
        <v>Consumer Discretionary</v>
      </c>
    </row>
    <row r="2062" spans="1:14" x14ac:dyDescent="0.3">
      <c r="A2062" s="1">
        <v>45560</v>
      </c>
      <c r="B2062">
        <v>257.01998901367188</v>
      </c>
      <c r="C2062">
        <v>257.04998779296875</v>
      </c>
      <c r="D2062">
        <v>252.27999877929688</v>
      </c>
      <c r="E2062">
        <v>252.53999328613281</v>
      </c>
      <c r="F2062">
        <v>65034300</v>
      </c>
      <c r="G2062" s="2" t="s">
        <v>16</v>
      </c>
      <c r="H2062">
        <v>1.0815214909361659</v>
      </c>
      <c r="I2062">
        <v>102.1866987308306</v>
      </c>
      <c r="J2062">
        <v>222.0556005859375</v>
      </c>
      <c r="K2062">
        <v>3.5382716435677595</v>
      </c>
      <c r="L2062">
        <v>0</v>
      </c>
      <c r="M2062" t="str">
        <f>VLOOKUP(fact_daily_prices[[#This Row],[Ticker]], dim_company[], 2, FALSE)</f>
        <v>Tesla Inc.</v>
      </c>
      <c r="N2062" t="str">
        <f>VLOOKUP(fact_daily_prices[[#This Row],[Ticker]], dim_company[], 3, FALSE)</f>
        <v>Consumer Discretionary</v>
      </c>
    </row>
    <row r="2063" spans="1:14" x14ac:dyDescent="0.3">
      <c r="A2063" s="1">
        <v>45561</v>
      </c>
      <c r="B2063">
        <v>254.22000122070313</v>
      </c>
      <c r="C2063">
        <v>261.75</v>
      </c>
      <c r="D2063">
        <v>251.52999877929688</v>
      </c>
      <c r="E2063">
        <v>260.60000610351563</v>
      </c>
      <c r="F2063">
        <v>67142200</v>
      </c>
      <c r="G2063" s="2" t="s">
        <v>16</v>
      </c>
      <c r="H2063">
        <v>-1.0894046816023351</v>
      </c>
      <c r="I2063">
        <v>101.07347205088206</v>
      </c>
      <c r="J2063">
        <v>222.17000061035156</v>
      </c>
      <c r="K2063">
        <v>3.4808573173024948</v>
      </c>
      <c r="L2063">
        <v>0</v>
      </c>
      <c r="M2063" t="str">
        <f>VLOOKUP(fact_daily_prices[[#This Row],[Ticker]], dim_company[], 2, FALSE)</f>
        <v>Tesla Inc.</v>
      </c>
      <c r="N2063" t="str">
        <f>VLOOKUP(fact_daily_prices[[#This Row],[Ticker]], dim_company[], 3, FALSE)</f>
        <v>Consumer Discretionary</v>
      </c>
    </row>
    <row r="2064" spans="1:14" x14ac:dyDescent="0.3">
      <c r="A2064" s="1">
        <v>45562</v>
      </c>
      <c r="B2064">
        <v>260.45999145507813</v>
      </c>
      <c r="C2064">
        <v>260.70001220703125</v>
      </c>
      <c r="D2064">
        <v>254.1199951171875</v>
      </c>
      <c r="E2064">
        <v>257.3800048828125</v>
      </c>
      <c r="F2064">
        <v>70988100</v>
      </c>
      <c r="G2064" s="2" t="s">
        <v>16</v>
      </c>
      <c r="H2064">
        <v>2.4545630573566513</v>
      </c>
      <c r="I2064">
        <v>103.5543841566307</v>
      </c>
      <c r="J2064">
        <v>222.39460052490233</v>
      </c>
      <c r="K2064">
        <v>3.3386857528844187</v>
      </c>
      <c r="L2064">
        <v>0</v>
      </c>
      <c r="M2064" t="str">
        <f>VLOOKUP(fact_daily_prices[[#This Row],[Ticker]], dim_company[], 2, FALSE)</f>
        <v>Tesla Inc.</v>
      </c>
      <c r="N2064" t="str">
        <f>VLOOKUP(fact_daily_prices[[#This Row],[Ticker]], dim_company[], 3, FALSE)</f>
        <v>Consumer Discretionary</v>
      </c>
    </row>
    <row r="2065" spans="1:14" x14ac:dyDescent="0.3">
      <c r="A2065" s="1">
        <v>45565</v>
      </c>
      <c r="B2065">
        <v>261.6300048828125</v>
      </c>
      <c r="C2065">
        <v>264.8599853515625</v>
      </c>
      <c r="D2065">
        <v>255.77000427246091</v>
      </c>
      <c r="E2065">
        <v>259.04000854492188</v>
      </c>
      <c r="F2065">
        <v>80705700</v>
      </c>
      <c r="G2065" s="2" t="s">
        <v>16</v>
      </c>
      <c r="H2065">
        <v>0.44921042237542341</v>
      </c>
      <c r="I2065">
        <v>104.01956124308897</v>
      </c>
      <c r="J2065">
        <v>222.84320068359375</v>
      </c>
      <c r="K2065">
        <v>3.338755389482897</v>
      </c>
      <c r="L2065">
        <v>0</v>
      </c>
      <c r="M2065" t="str">
        <f>VLOOKUP(fact_daily_prices[[#This Row],[Ticker]], dim_company[], 2, FALSE)</f>
        <v>Tesla Inc.</v>
      </c>
      <c r="N2065" t="str">
        <f>VLOOKUP(fact_daily_prices[[#This Row],[Ticker]], dim_company[], 3, FALSE)</f>
        <v>Consumer Discretionary</v>
      </c>
    </row>
    <row r="2066" spans="1:14" x14ac:dyDescent="0.3">
      <c r="A2066" s="1">
        <v>45566</v>
      </c>
      <c r="B2066">
        <v>258.01998901367188</v>
      </c>
      <c r="C2066">
        <v>263.98001098632813</v>
      </c>
      <c r="D2066">
        <v>248.52999877929688</v>
      </c>
      <c r="E2066">
        <v>262.67001342773438</v>
      </c>
      <c r="F2066">
        <v>87397600</v>
      </c>
      <c r="G2066" s="2" t="s">
        <v>16</v>
      </c>
      <c r="H2066">
        <v>-1.3798172234708361</v>
      </c>
      <c r="I2066">
        <v>102.58428142127805</v>
      </c>
      <c r="J2066">
        <v>222.97340057373046</v>
      </c>
      <c r="K2066">
        <v>3.3287698965130681</v>
      </c>
      <c r="L2066">
        <v>0</v>
      </c>
      <c r="M2066" t="str">
        <f>VLOOKUP(fact_daily_prices[[#This Row],[Ticker]], dim_company[], 2, FALSE)</f>
        <v>Tesla Inc.</v>
      </c>
      <c r="N2066" t="str">
        <f>VLOOKUP(fact_daily_prices[[#This Row],[Ticker]], dim_company[], 3, FALSE)</f>
        <v>Consumer Discretionary</v>
      </c>
    </row>
    <row r="2067" spans="1:14" x14ac:dyDescent="0.3">
      <c r="A2067" s="1">
        <v>45567</v>
      </c>
      <c r="B2067">
        <v>249.02000427246091</v>
      </c>
      <c r="C2067">
        <v>251.16000366210929</v>
      </c>
      <c r="D2067">
        <v>241.5</v>
      </c>
      <c r="E2067">
        <v>247.55000305175781</v>
      </c>
      <c r="F2067">
        <v>93983900</v>
      </c>
      <c r="G2067" s="2" t="s">
        <v>16</v>
      </c>
      <c r="H2067">
        <v>-3.488095932262858</v>
      </c>
      <c r="I2067">
        <v>99.00604327388136</v>
      </c>
      <c r="J2067">
        <v>223.02620056152344</v>
      </c>
      <c r="K2067">
        <v>3.4025122074418803</v>
      </c>
      <c r="L2067">
        <v>0</v>
      </c>
      <c r="M2067" t="str">
        <f>VLOOKUP(fact_daily_prices[[#This Row],[Ticker]], dim_company[], 2, FALSE)</f>
        <v>Tesla Inc.</v>
      </c>
      <c r="N2067" t="str">
        <f>VLOOKUP(fact_daily_prices[[#This Row],[Ticker]], dim_company[], 3, FALSE)</f>
        <v>Consumer Discretionary</v>
      </c>
    </row>
    <row r="2068" spans="1:14" x14ac:dyDescent="0.3">
      <c r="A2068" s="1">
        <v>45568</v>
      </c>
      <c r="B2068">
        <v>240.66000366210929</v>
      </c>
      <c r="C2068">
        <v>249.78999328613281</v>
      </c>
      <c r="D2068">
        <v>237.80999755859369</v>
      </c>
      <c r="E2068">
        <v>244.47999572753903</v>
      </c>
      <c r="F2068">
        <v>80729200</v>
      </c>
      <c r="G2068" s="2" t="s">
        <v>16</v>
      </c>
      <c r="H2068">
        <v>-3.3571602549667734</v>
      </c>
      <c r="I2068">
        <v>95.682251739075426</v>
      </c>
      <c r="J2068">
        <v>223.51960052490233</v>
      </c>
      <c r="K2068">
        <v>3.47081103574211</v>
      </c>
      <c r="L2068">
        <v>0</v>
      </c>
      <c r="M2068" t="str">
        <f>VLOOKUP(fact_daily_prices[[#This Row],[Ticker]], dim_company[], 2, FALSE)</f>
        <v>Tesla Inc.</v>
      </c>
      <c r="N2068" t="str">
        <f>VLOOKUP(fact_daily_prices[[#This Row],[Ticker]], dim_company[], 3, FALSE)</f>
        <v>Consumer Discretionary</v>
      </c>
    </row>
    <row r="2069" spans="1:14" x14ac:dyDescent="0.3">
      <c r="A2069" s="1">
        <v>45569</v>
      </c>
      <c r="B2069">
        <v>250.08000183105469</v>
      </c>
      <c r="C2069">
        <v>250.96000671386719</v>
      </c>
      <c r="D2069">
        <v>244.58000183105469</v>
      </c>
      <c r="E2069">
        <v>246.69000244140625</v>
      </c>
      <c r="F2069">
        <v>86573200</v>
      </c>
      <c r="G2069" s="2" t="s">
        <v>16</v>
      </c>
      <c r="H2069">
        <v>3.9142350309988583</v>
      </c>
      <c r="I2069">
        <v>99.42747995509481</v>
      </c>
      <c r="J2069">
        <v>224.11620056152344</v>
      </c>
      <c r="K2069">
        <v>3.3415868670508817</v>
      </c>
      <c r="L2069">
        <v>0</v>
      </c>
      <c r="M2069" t="str">
        <f>VLOOKUP(fact_daily_prices[[#This Row],[Ticker]], dim_company[], 2, FALSE)</f>
        <v>Tesla Inc.</v>
      </c>
      <c r="N2069" t="str">
        <f>VLOOKUP(fact_daily_prices[[#This Row],[Ticker]], dim_company[], 3, FALSE)</f>
        <v>Consumer Discretionary</v>
      </c>
    </row>
    <row r="2070" spans="1:14" x14ac:dyDescent="0.3">
      <c r="A2070" s="1">
        <v>45572</v>
      </c>
      <c r="B2070">
        <v>240.83000183105469</v>
      </c>
      <c r="C2070">
        <v>249.83000183105469</v>
      </c>
      <c r="D2070">
        <v>240.69999694824219</v>
      </c>
      <c r="E2070">
        <v>249</v>
      </c>
      <c r="F2070">
        <v>68113300</v>
      </c>
      <c r="G2070" s="2" t="s">
        <v>16</v>
      </c>
      <c r="H2070">
        <v>-3.698816351676526</v>
      </c>
      <c r="I2070">
        <v>95.749840068455867</v>
      </c>
      <c r="J2070">
        <v>224.53680053710937</v>
      </c>
      <c r="K2070">
        <v>3.3455187375391309</v>
      </c>
      <c r="L2070">
        <v>0</v>
      </c>
      <c r="M2070" t="str">
        <f>VLOOKUP(fact_daily_prices[[#This Row],[Ticker]], dim_company[], 2, FALSE)</f>
        <v>Tesla Inc.</v>
      </c>
      <c r="N2070" t="str">
        <f>VLOOKUP(fact_daily_prices[[#This Row],[Ticker]], dim_company[], 3, FALSE)</f>
        <v>Consumer Discretionary</v>
      </c>
    </row>
    <row r="2071" spans="1:14" x14ac:dyDescent="0.3">
      <c r="A2071" s="1">
        <v>45573</v>
      </c>
      <c r="B2071">
        <v>244.5</v>
      </c>
      <c r="C2071">
        <v>246.21000671386719</v>
      </c>
      <c r="D2071">
        <v>240.55999755859369</v>
      </c>
      <c r="E2071">
        <v>243.55999755859369</v>
      </c>
      <c r="F2071">
        <v>56303200</v>
      </c>
      <c r="G2071" s="2" t="s">
        <v>16</v>
      </c>
      <c r="H2071">
        <v>1.5238957526229946</v>
      </c>
      <c r="I2071">
        <v>97.208967814402371</v>
      </c>
      <c r="J2071">
        <v>224.78480041503906</v>
      </c>
      <c r="K2071">
        <v>3.2821329949325273</v>
      </c>
      <c r="L2071">
        <v>0</v>
      </c>
      <c r="M2071" t="str">
        <f>VLOOKUP(fact_daily_prices[[#This Row],[Ticker]], dim_company[], 2, FALSE)</f>
        <v>Tesla Inc.</v>
      </c>
      <c r="N2071" t="str">
        <f>VLOOKUP(fact_daily_prices[[#This Row],[Ticker]], dim_company[], 3, FALSE)</f>
        <v>Consumer Discretionary</v>
      </c>
    </row>
    <row r="2072" spans="1:14" x14ac:dyDescent="0.3">
      <c r="A2072" s="1">
        <v>45574</v>
      </c>
      <c r="B2072">
        <v>241.05000305175781</v>
      </c>
      <c r="C2072">
        <v>247.42999267578125</v>
      </c>
      <c r="D2072">
        <v>239.50999450683599</v>
      </c>
      <c r="E2072">
        <v>243.82000732421875</v>
      </c>
      <c r="F2072">
        <v>66289500</v>
      </c>
      <c r="G2072" s="2" t="s">
        <v>16</v>
      </c>
      <c r="H2072">
        <v>-1.4110416966225725</v>
      </c>
      <c r="I2072">
        <v>95.837308745684751</v>
      </c>
      <c r="J2072">
        <v>225.15340057373047</v>
      </c>
      <c r="K2072">
        <v>3.2715575984210972</v>
      </c>
      <c r="L2072">
        <v>0</v>
      </c>
      <c r="M2072" t="str">
        <f>VLOOKUP(fact_daily_prices[[#This Row],[Ticker]], dim_company[], 2, FALSE)</f>
        <v>Tesla Inc.</v>
      </c>
      <c r="N2072" t="str">
        <f>VLOOKUP(fact_daily_prices[[#This Row],[Ticker]], dim_company[], 3, FALSE)</f>
        <v>Consumer Discretionary</v>
      </c>
    </row>
    <row r="2073" spans="1:14" x14ac:dyDescent="0.3">
      <c r="A2073" s="1">
        <v>45575</v>
      </c>
      <c r="B2073">
        <v>238.77000427246091</v>
      </c>
      <c r="C2073">
        <v>242.78999328613281</v>
      </c>
      <c r="D2073">
        <v>232.33999633789065</v>
      </c>
      <c r="E2073">
        <v>241.80999755859369</v>
      </c>
      <c r="F2073">
        <v>83087100</v>
      </c>
      <c r="G2073" s="2" t="s">
        <v>16</v>
      </c>
      <c r="H2073">
        <v>-0.94586133600145228</v>
      </c>
      <c r="I2073">
        <v>94.930820696794967</v>
      </c>
      <c r="J2073">
        <v>225.28740051269531</v>
      </c>
      <c r="K2073">
        <v>3.2578216943519807</v>
      </c>
      <c r="L2073">
        <v>0</v>
      </c>
      <c r="M2073" t="str">
        <f>VLOOKUP(fact_daily_prices[[#This Row],[Ticker]], dim_company[], 2, FALSE)</f>
        <v>Tesla Inc.</v>
      </c>
      <c r="N2073" t="str">
        <f>VLOOKUP(fact_daily_prices[[#This Row],[Ticker]], dim_company[], 3, FALSE)</f>
        <v>Consumer Discretionary</v>
      </c>
    </row>
    <row r="2074" spans="1:14" x14ac:dyDescent="0.3">
      <c r="A2074" s="1">
        <v>45576</v>
      </c>
      <c r="B2074">
        <v>217.80000305175781</v>
      </c>
      <c r="C2074">
        <v>223.33999633789065</v>
      </c>
      <c r="D2074">
        <v>214.3800048828125</v>
      </c>
      <c r="E2074">
        <v>220.1300048828125</v>
      </c>
      <c r="F2074">
        <v>142628900</v>
      </c>
      <c r="G2074" s="2" t="s">
        <v>16</v>
      </c>
      <c r="H2074">
        <v>-8.7825107197192942</v>
      </c>
      <c r="I2074">
        <v>86.593511192781449</v>
      </c>
      <c r="J2074">
        <v>225.30620056152344</v>
      </c>
      <c r="K2074">
        <v>3.676829254334252</v>
      </c>
      <c r="L2074">
        <v>0</v>
      </c>
      <c r="M2074" t="str">
        <f>VLOOKUP(fact_daily_prices[[#This Row],[Ticker]], dim_company[], 2, FALSE)</f>
        <v>Tesla Inc.</v>
      </c>
      <c r="N2074" t="str">
        <f>VLOOKUP(fact_daily_prices[[#This Row],[Ticker]], dim_company[], 3, FALSE)</f>
        <v>Consumer Discretionary</v>
      </c>
    </row>
    <row r="2075" spans="1:14" x14ac:dyDescent="0.3">
      <c r="A2075" s="1">
        <v>45579</v>
      </c>
      <c r="B2075">
        <v>219.16000366210929</v>
      </c>
      <c r="C2075">
        <v>221.91000366210929</v>
      </c>
      <c r="D2075">
        <v>213.74000549316409</v>
      </c>
      <c r="E2075">
        <v>220.1300048828125</v>
      </c>
      <c r="F2075">
        <v>86291900</v>
      </c>
      <c r="G2075" s="2" t="s">
        <v>16</v>
      </c>
      <c r="H2075">
        <v>0.62442635045707462</v>
      </c>
      <c r="I2075">
        <v>87.134223894455161</v>
      </c>
      <c r="J2075">
        <v>225.53600067138672</v>
      </c>
      <c r="K2075">
        <v>3.6163860689015173</v>
      </c>
      <c r="L2075">
        <v>0</v>
      </c>
      <c r="M2075" t="str">
        <f>VLOOKUP(fact_daily_prices[[#This Row],[Ticker]], dim_company[], 2, FALSE)</f>
        <v>Tesla Inc.</v>
      </c>
      <c r="N2075" t="str">
        <f>VLOOKUP(fact_daily_prices[[#This Row],[Ticker]], dim_company[], 3, FALSE)</f>
        <v>Consumer Discretionary</v>
      </c>
    </row>
    <row r="2076" spans="1:14" x14ac:dyDescent="0.3">
      <c r="A2076" s="1">
        <v>45580</v>
      </c>
      <c r="B2076">
        <v>219.57000732421875</v>
      </c>
      <c r="C2076">
        <v>224.25999450683599</v>
      </c>
      <c r="D2076">
        <v>217.1199951171875</v>
      </c>
      <c r="E2076">
        <v>220.00999450683599</v>
      </c>
      <c r="F2076">
        <v>62988800</v>
      </c>
      <c r="G2076" s="2" t="s">
        <v>16</v>
      </c>
      <c r="H2076">
        <v>0.18707960177879457</v>
      </c>
      <c r="I2076">
        <v>87.29723425352995</v>
      </c>
      <c r="J2076">
        <v>225.94980072021485</v>
      </c>
      <c r="K2076">
        <v>3.6007076199534245</v>
      </c>
      <c r="L2076">
        <v>0</v>
      </c>
      <c r="M2076" t="str">
        <f>VLOOKUP(fact_daily_prices[[#This Row],[Ticker]], dim_company[], 2, FALSE)</f>
        <v>Tesla Inc.</v>
      </c>
      <c r="N2076" t="str">
        <f>VLOOKUP(fact_daily_prices[[#This Row],[Ticker]], dim_company[], 3, FALSE)</f>
        <v>Consumer Discretionary</v>
      </c>
    </row>
    <row r="2077" spans="1:14" x14ac:dyDescent="0.3">
      <c r="A2077" s="1">
        <v>45581</v>
      </c>
      <c r="B2077">
        <v>221.33000183105469</v>
      </c>
      <c r="C2077">
        <v>222.82000732421875</v>
      </c>
      <c r="D2077">
        <v>218.92999267578125</v>
      </c>
      <c r="E2077">
        <v>221.3999938964844</v>
      </c>
      <c r="F2077">
        <v>49632800</v>
      </c>
      <c r="G2077" s="2" t="s">
        <v>16</v>
      </c>
      <c r="H2077">
        <v>0.80156417002670288</v>
      </c>
      <c r="I2077">
        <v>87.996977604730532</v>
      </c>
      <c r="J2077">
        <v>226.36360076904296</v>
      </c>
      <c r="K2077">
        <v>3.5239069759561832</v>
      </c>
      <c r="L2077">
        <v>0</v>
      </c>
      <c r="M2077" t="str">
        <f>VLOOKUP(fact_daily_prices[[#This Row],[Ticker]], dim_company[], 2, FALSE)</f>
        <v>Tesla Inc.</v>
      </c>
      <c r="N2077" t="str">
        <f>VLOOKUP(fact_daily_prices[[#This Row],[Ticker]], dim_company[], 3, FALSE)</f>
        <v>Consumer Discretionary</v>
      </c>
    </row>
    <row r="2078" spans="1:14" x14ac:dyDescent="0.3">
      <c r="A2078" s="1">
        <v>45582</v>
      </c>
      <c r="B2078">
        <v>220.88999938964844</v>
      </c>
      <c r="C2078">
        <v>222.08000183105469</v>
      </c>
      <c r="D2078">
        <v>217.8999938964844</v>
      </c>
      <c r="E2078">
        <v>221.58999633789065</v>
      </c>
      <c r="F2078">
        <v>50791800</v>
      </c>
      <c r="G2078" s="2" t="s">
        <v>16</v>
      </c>
      <c r="H2078">
        <v>-0.19879927608824621</v>
      </c>
      <c r="I2078">
        <v>87.822040250272778</v>
      </c>
      <c r="J2078">
        <v>226.94620086669923</v>
      </c>
      <c r="K2078">
        <v>3.4046572056637139</v>
      </c>
      <c r="L2078">
        <v>0</v>
      </c>
      <c r="M2078" t="str">
        <f>VLOOKUP(fact_daily_prices[[#This Row],[Ticker]], dim_company[], 2, FALSE)</f>
        <v>Tesla Inc.</v>
      </c>
      <c r="N2078" t="str">
        <f>VLOOKUP(fact_daily_prices[[#This Row],[Ticker]], dim_company[], 3, FALSE)</f>
        <v>Consumer Discretionary</v>
      </c>
    </row>
    <row r="2079" spans="1:14" x14ac:dyDescent="0.3">
      <c r="A2079" s="1">
        <v>45583</v>
      </c>
      <c r="B2079">
        <v>220.69999694824219</v>
      </c>
      <c r="C2079">
        <v>222.27999877929688</v>
      </c>
      <c r="D2079">
        <v>219.22999572753903</v>
      </c>
      <c r="E2079">
        <v>220.71000671386719</v>
      </c>
      <c r="F2079">
        <v>49611900</v>
      </c>
      <c r="G2079" s="2" t="s">
        <v>16</v>
      </c>
      <c r="H2079">
        <v>-8.6016769401631166E-2</v>
      </c>
      <c r="I2079">
        <v>87.746498568426901</v>
      </c>
      <c r="J2079">
        <v>227.38340087890626</v>
      </c>
      <c r="K2079">
        <v>3.0162991838731235</v>
      </c>
      <c r="L2079">
        <v>0</v>
      </c>
      <c r="M2079" t="str">
        <f>VLOOKUP(fact_daily_prices[[#This Row],[Ticker]], dim_company[], 2, FALSE)</f>
        <v>Tesla Inc.</v>
      </c>
      <c r="N2079" t="str">
        <f>VLOOKUP(fact_daily_prices[[#This Row],[Ticker]], dim_company[], 3, FALSE)</f>
        <v>Consumer Discretionary</v>
      </c>
    </row>
    <row r="2080" spans="1:14" x14ac:dyDescent="0.3">
      <c r="A2080" s="1">
        <v>45586</v>
      </c>
      <c r="B2080">
        <v>218.8500061035156</v>
      </c>
      <c r="C2080">
        <v>220.47999572753903</v>
      </c>
      <c r="D2080">
        <v>215.72999572753903</v>
      </c>
      <c r="E2080">
        <v>218.8999938964844</v>
      </c>
      <c r="F2080">
        <v>47329000</v>
      </c>
      <c r="G2080" s="2" t="s">
        <v>16</v>
      </c>
      <c r="H2080">
        <v>-0.83823782071027475</v>
      </c>
      <c r="I2080">
        <v>87.010974231077341</v>
      </c>
      <c r="J2080">
        <v>227.76040100097657</v>
      </c>
      <c r="K2080">
        <v>2.9862360843265692</v>
      </c>
      <c r="L2080">
        <v>0</v>
      </c>
      <c r="M2080" t="str">
        <f>VLOOKUP(fact_daily_prices[[#This Row],[Ticker]], dim_company[], 2, FALSE)</f>
        <v>Tesla Inc.</v>
      </c>
      <c r="N2080" t="str">
        <f>VLOOKUP(fact_daily_prices[[#This Row],[Ticker]], dim_company[], 3, FALSE)</f>
        <v>Consumer Discretionary</v>
      </c>
    </row>
    <row r="2081" spans="1:14" x14ac:dyDescent="0.3">
      <c r="A2081" s="1">
        <v>45587</v>
      </c>
      <c r="B2081">
        <v>217.97000122070313</v>
      </c>
      <c r="C2081">
        <v>218.22000122070313</v>
      </c>
      <c r="D2081">
        <v>215.25999450683599</v>
      </c>
      <c r="E2081">
        <v>217.30999755859369</v>
      </c>
      <c r="F2081">
        <v>43268700</v>
      </c>
      <c r="G2081" s="2" t="s">
        <v>16</v>
      </c>
      <c r="H2081">
        <v>-0.4021041161845984</v>
      </c>
      <c r="I2081">
        <v>86.661099522161862</v>
      </c>
      <c r="J2081">
        <v>228.17000091552734</v>
      </c>
      <c r="K2081">
        <v>2.86366565530794</v>
      </c>
      <c r="L2081">
        <v>0</v>
      </c>
      <c r="M2081" t="str">
        <f>VLOOKUP(fact_daily_prices[[#This Row],[Ticker]], dim_company[], 2, FALSE)</f>
        <v>Tesla Inc.</v>
      </c>
      <c r="N2081" t="str">
        <f>VLOOKUP(fact_daily_prices[[#This Row],[Ticker]], dim_company[], 3, FALSE)</f>
        <v>Consumer Discretionary</v>
      </c>
    </row>
    <row r="2082" spans="1:14" x14ac:dyDescent="0.3">
      <c r="A2082" s="1">
        <v>45588</v>
      </c>
      <c r="B2082">
        <v>213.6499938964844</v>
      </c>
      <c r="C2082">
        <v>218.72000122070313</v>
      </c>
      <c r="D2082">
        <v>212.11000061035159</v>
      </c>
      <c r="E2082">
        <v>217.1300048828125</v>
      </c>
      <c r="F2082">
        <v>80938900</v>
      </c>
      <c r="G2082" s="2" t="s">
        <v>16</v>
      </c>
      <c r="H2082">
        <v>-1.9819274670942244</v>
      </c>
      <c r="I2082">
        <v>84.943539387446293</v>
      </c>
      <c r="J2082">
        <v>228.28640075683595</v>
      </c>
      <c r="K2082">
        <v>2.8782780562688268</v>
      </c>
      <c r="L2082">
        <v>0</v>
      </c>
      <c r="M2082" t="str">
        <f>VLOOKUP(fact_daily_prices[[#This Row],[Ticker]], dim_company[], 2, FALSE)</f>
        <v>Tesla Inc.</v>
      </c>
      <c r="N2082" t="str">
        <f>VLOOKUP(fact_daily_prices[[#This Row],[Ticker]], dim_company[], 3, FALSE)</f>
        <v>Consumer Discretionary</v>
      </c>
    </row>
    <row r="2083" spans="1:14" x14ac:dyDescent="0.3">
      <c r="A2083" s="1">
        <v>45589</v>
      </c>
      <c r="B2083">
        <v>260.48001098632813</v>
      </c>
      <c r="C2083">
        <v>262.1199951171875</v>
      </c>
      <c r="D2083">
        <v>242.6499938964844</v>
      </c>
      <c r="E2083">
        <v>244.67999267578125</v>
      </c>
      <c r="F2083">
        <v>204491900</v>
      </c>
      <c r="G2083" s="2" t="s">
        <v>16</v>
      </c>
      <c r="H2083">
        <v>21.919035070290406</v>
      </c>
      <c r="I2083">
        <v>103.56234357572657</v>
      </c>
      <c r="J2083">
        <v>229.46840087890624</v>
      </c>
      <c r="K2083">
        <v>4.9575358429787189</v>
      </c>
      <c r="L2083">
        <v>1</v>
      </c>
      <c r="M2083" t="str">
        <f>VLOOKUP(fact_daily_prices[[#This Row],[Ticker]], dim_company[], 2, FALSE)</f>
        <v>Tesla Inc.</v>
      </c>
      <c r="N2083" t="str">
        <f>VLOOKUP(fact_daily_prices[[#This Row],[Ticker]], dim_company[], 3, FALSE)</f>
        <v>Consumer Discretionary</v>
      </c>
    </row>
    <row r="2084" spans="1:14" x14ac:dyDescent="0.3">
      <c r="A2084" s="1">
        <v>45590</v>
      </c>
      <c r="B2084">
        <v>260.48001098632813</v>
      </c>
      <c r="C2084">
        <v>269.489990234375</v>
      </c>
      <c r="D2084">
        <v>255.32000732421875</v>
      </c>
      <c r="E2084">
        <v>256.010009765625</v>
      </c>
      <c r="F2084">
        <v>161611900</v>
      </c>
      <c r="G2084" s="2" t="s">
        <v>16</v>
      </c>
      <c r="H2084">
        <v>0</v>
      </c>
      <c r="I2084">
        <v>103.56234357572657</v>
      </c>
      <c r="J2084">
        <v>230.39520111083985</v>
      </c>
      <c r="K2084">
        <v>4.9581461756116108</v>
      </c>
      <c r="L2084">
        <v>0</v>
      </c>
      <c r="M2084" t="str">
        <f>VLOOKUP(fact_daily_prices[[#This Row],[Ticker]], dim_company[], 2, FALSE)</f>
        <v>Tesla Inc.</v>
      </c>
      <c r="N2084" t="str">
        <f>VLOOKUP(fact_daily_prices[[#This Row],[Ticker]], dim_company[], 3, FALSE)</f>
        <v>Consumer Discretionary</v>
      </c>
    </row>
    <row r="2085" spans="1:14" x14ac:dyDescent="0.3">
      <c r="A2085" s="1">
        <v>45593</v>
      </c>
      <c r="B2085">
        <v>262.510009765625</v>
      </c>
      <c r="C2085">
        <v>273.54000854492188</v>
      </c>
      <c r="D2085">
        <v>262.239990234375</v>
      </c>
      <c r="E2085">
        <v>270</v>
      </c>
      <c r="F2085">
        <v>78628600</v>
      </c>
      <c r="G2085" s="2" t="s">
        <v>16</v>
      </c>
      <c r="H2085">
        <v>0.77932996532446008</v>
      </c>
      <c r="I2085">
        <v>104.36943595200448</v>
      </c>
      <c r="J2085">
        <v>231.3230014038086</v>
      </c>
      <c r="K2085">
        <v>4.9431944333301585</v>
      </c>
      <c r="L2085">
        <v>0</v>
      </c>
      <c r="M2085" t="str">
        <f>VLOOKUP(fact_daily_prices[[#This Row],[Ticker]], dim_company[], 2, FALSE)</f>
        <v>Tesla Inc.</v>
      </c>
      <c r="N2085" t="str">
        <f>VLOOKUP(fact_daily_prices[[#This Row],[Ticker]], dim_company[], 3, FALSE)</f>
        <v>Consumer Discretionary</v>
      </c>
    </row>
    <row r="2086" spans="1:14" x14ac:dyDescent="0.3">
      <c r="A2086" s="1">
        <v>45594</v>
      </c>
      <c r="B2086">
        <v>259.51998901367188</v>
      </c>
      <c r="C2086">
        <v>264.98001098632813</v>
      </c>
      <c r="D2086">
        <v>255.50999450683599</v>
      </c>
      <c r="E2086">
        <v>264.510009765625</v>
      </c>
      <c r="F2086">
        <v>78628600</v>
      </c>
      <c r="G2086" s="2" t="s">
        <v>16</v>
      </c>
      <c r="H2086">
        <v>-1.139012091242797</v>
      </c>
      <c r="I2086">
        <v>103.18065545694924</v>
      </c>
      <c r="J2086">
        <v>232.05900115966796</v>
      </c>
      <c r="K2086">
        <v>4.9533532327772969</v>
      </c>
      <c r="L2086">
        <v>0</v>
      </c>
      <c r="M2086" t="str">
        <f>VLOOKUP(fact_daily_prices[[#This Row],[Ticker]], dim_company[], 2, FALSE)</f>
        <v>Tesla Inc.</v>
      </c>
      <c r="N2086" t="str">
        <f>VLOOKUP(fact_daily_prices[[#This Row],[Ticker]], dim_company[], 3, FALSE)</f>
        <v>Consumer Discretionary</v>
      </c>
    </row>
    <row r="2087" spans="1:14" x14ac:dyDescent="0.3">
      <c r="A2087" s="1">
        <v>45595</v>
      </c>
      <c r="B2087">
        <v>257.54998779296875</v>
      </c>
      <c r="C2087">
        <v>263.35000610351563</v>
      </c>
      <c r="D2087">
        <v>255.82000732421875</v>
      </c>
      <c r="E2087">
        <v>258.04000854492188</v>
      </c>
      <c r="F2087">
        <v>53993600</v>
      </c>
      <c r="G2087" s="2" t="s">
        <v>16</v>
      </c>
      <c r="H2087">
        <v>-0.75909421397183374</v>
      </c>
      <c r="I2087">
        <v>102.39741707143733</v>
      </c>
      <c r="J2087">
        <v>232.78800079345703</v>
      </c>
      <c r="K2087">
        <v>4.95679257255685</v>
      </c>
      <c r="L2087">
        <v>0</v>
      </c>
      <c r="M2087" t="str">
        <f>VLOOKUP(fact_daily_prices[[#This Row],[Ticker]], dim_company[], 2, FALSE)</f>
        <v>Tesla Inc.</v>
      </c>
      <c r="N2087" t="str">
        <f>VLOOKUP(fact_daily_prices[[#This Row],[Ticker]], dim_company[], 3, FALSE)</f>
        <v>Consumer Discretionary</v>
      </c>
    </row>
    <row r="2088" spans="1:14" x14ac:dyDescent="0.3">
      <c r="A2088" s="1">
        <v>45596</v>
      </c>
      <c r="B2088">
        <v>249.8500061035156</v>
      </c>
      <c r="C2088">
        <v>259.75</v>
      </c>
      <c r="D2088">
        <v>249.25</v>
      </c>
      <c r="E2088">
        <v>257.989990234375</v>
      </c>
      <c r="F2088">
        <v>66575300</v>
      </c>
      <c r="G2088" s="2" t="s">
        <v>16</v>
      </c>
      <c r="H2088">
        <v>-2.9897037679701866</v>
      </c>
      <c r="I2088">
        <v>99.336037634948411</v>
      </c>
      <c r="J2088">
        <v>233.31960083007812</v>
      </c>
      <c r="K2088">
        <v>4.8233320428153323</v>
      </c>
      <c r="L2088">
        <v>0</v>
      </c>
      <c r="M2088" t="str">
        <f>VLOOKUP(fact_daily_prices[[#This Row],[Ticker]], dim_company[], 2, FALSE)</f>
        <v>Tesla Inc.</v>
      </c>
      <c r="N2088" t="str">
        <f>VLOOKUP(fact_daily_prices[[#This Row],[Ticker]], dim_company[], 3, FALSE)</f>
        <v>Consumer Discretionary</v>
      </c>
    </row>
    <row r="2089" spans="1:14" x14ac:dyDescent="0.3">
      <c r="A2089" s="1">
        <v>45597</v>
      </c>
      <c r="B2089">
        <v>248.97999572753903</v>
      </c>
      <c r="C2089">
        <v>254</v>
      </c>
      <c r="D2089">
        <v>246.6300048828125</v>
      </c>
      <c r="E2089">
        <v>252.03999328613281</v>
      </c>
      <c r="F2089">
        <v>57544800</v>
      </c>
      <c r="G2089" s="2" t="s">
        <v>16</v>
      </c>
      <c r="H2089">
        <v>-0.34821306973117361</v>
      </c>
      <c r="I2089">
        <v>98.990136568950433</v>
      </c>
      <c r="J2089">
        <v>234.08600067138673</v>
      </c>
      <c r="K2089">
        <v>4.8013433992039269</v>
      </c>
      <c r="L2089">
        <v>0</v>
      </c>
      <c r="M2089" t="str">
        <f>VLOOKUP(fact_daily_prices[[#This Row],[Ticker]], dim_company[], 2, FALSE)</f>
        <v>Tesla Inc.</v>
      </c>
      <c r="N2089" t="str">
        <f>VLOOKUP(fact_daily_prices[[#This Row],[Ticker]], dim_company[], 3, FALSE)</f>
        <v>Consumer Discretionary</v>
      </c>
    </row>
    <row r="2090" spans="1:14" x14ac:dyDescent="0.3">
      <c r="A2090" s="1">
        <v>45600</v>
      </c>
      <c r="B2090">
        <v>242.83999633789065</v>
      </c>
      <c r="C2090">
        <v>248.8999938964844</v>
      </c>
      <c r="D2090">
        <v>238.8800048828125</v>
      </c>
      <c r="E2090">
        <v>244.55999755859369</v>
      </c>
      <c r="F2090">
        <v>68802400</v>
      </c>
      <c r="G2090" s="2" t="s">
        <v>16</v>
      </c>
      <c r="H2090">
        <v>-2.4660613282231014</v>
      </c>
      <c r="I2090">
        <v>96.548979092268311</v>
      </c>
      <c r="J2090">
        <v>234.53640045166014</v>
      </c>
      <c r="K2090">
        <v>4.7421700771993072</v>
      </c>
      <c r="L2090">
        <v>0</v>
      </c>
      <c r="M2090" t="str">
        <f>VLOOKUP(fact_daily_prices[[#This Row],[Ticker]], dim_company[], 2, FALSE)</f>
        <v>Tesla Inc.</v>
      </c>
      <c r="N2090" t="str">
        <f>VLOOKUP(fact_daily_prices[[#This Row],[Ticker]], dim_company[], 3, FALSE)</f>
        <v>Consumer Discretionary</v>
      </c>
    </row>
    <row r="2091" spans="1:14" x14ac:dyDescent="0.3">
      <c r="A2091" s="1">
        <v>45601</v>
      </c>
      <c r="B2091">
        <v>251.44000244140625</v>
      </c>
      <c r="C2091">
        <v>255.27999877929688</v>
      </c>
      <c r="D2091">
        <v>246.21000671386719</v>
      </c>
      <c r="E2091">
        <v>247.33999633789065</v>
      </c>
      <c r="F2091">
        <v>69282500</v>
      </c>
      <c r="G2091" s="2" t="s">
        <v>16</v>
      </c>
      <c r="H2091">
        <v>3.5414290204276888</v>
      </c>
      <c r="I2091">
        <v>99.968192656768565</v>
      </c>
      <c r="J2091">
        <v>235.30100036621093</v>
      </c>
      <c r="K2091">
        <v>4.7765939268669486</v>
      </c>
      <c r="L2091">
        <v>0</v>
      </c>
      <c r="M2091" t="str">
        <f>VLOOKUP(fact_daily_prices[[#This Row],[Ticker]], dim_company[], 2, FALSE)</f>
        <v>Tesla Inc.</v>
      </c>
      <c r="N2091" t="str">
        <f>VLOOKUP(fact_daily_prices[[#This Row],[Ticker]], dim_company[], 3, FALSE)</f>
        <v>Consumer Discretionary</v>
      </c>
    </row>
    <row r="2092" spans="1:14" x14ac:dyDescent="0.3">
      <c r="A2092" s="1">
        <v>45602</v>
      </c>
      <c r="B2092">
        <v>288.52999877929688</v>
      </c>
      <c r="C2092">
        <v>289.58999633789063</v>
      </c>
      <c r="D2092">
        <v>275.6199951171875</v>
      </c>
      <c r="E2092">
        <v>284.67001342773438</v>
      </c>
      <c r="F2092">
        <v>165228700</v>
      </c>
      <c r="G2092" s="2" t="s">
        <v>16</v>
      </c>
      <c r="H2092">
        <v>14.751032444224466</v>
      </c>
      <c r="I2092">
        <v>114.71453318947331</v>
      </c>
      <c r="J2092">
        <v>236.88740020751953</v>
      </c>
      <c r="K2092">
        <v>5.4775711443976896</v>
      </c>
      <c r="L2092">
        <v>1</v>
      </c>
      <c r="M2092" t="str">
        <f>VLOOKUP(fact_daily_prices[[#This Row],[Ticker]], dim_company[], 2, FALSE)</f>
        <v>Tesla Inc.</v>
      </c>
      <c r="N2092" t="str">
        <f>VLOOKUP(fact_daily_prices[[#This Row],[Ticker]], dim_company[], 3, FALSE)</f>
        <v>Consumer Discretionary</v>
      </c>
    </row>
    <row r="2093" spans="1:14" x14ac:dyDescent="0.3">
      <c r="A2093" s="1">
        <v>45603</v>
      </c>
      <c r="B2093">
        <v>296.91000366210938</v>
      </c>
      <c r="C2093">
        <v>299.75</v>
      </c>
      <c r="D2093">
        <v>285.51998901367188</v>
      </c>
      <c r="E2093">
        <v>288.8900146484375</v>
      </c>
      <c r="F2093">
        <v>117309200</v>
      </c>
      <c r="G2093" s="2" t="s">
        <v>16</v>
      </c>
      <c r="H2093">
        <v>2.9043790657007351</v>
      </c>
      <c r="I2093">
        <v>118.0462780767447</v>
      </c>
      <c r="J2093">
        <v>238.71060028076172</v>
      </c>
      <c r="K2093">
        <v>5.4856473146495386</v>
      </c>
      <c r="L2093">
        <v>0</v>
      </c>
      <c r="M2093" t="str">
        <f>VLOOKUP(fact_daily_prices[[#This Row],[Ticker]], dim_company[], 2, FALSE)</f>
        <v>Tesla Inc.</v>
      </c>
      <c r="N2093" t="str">
        <f>VLOOKUP(fact_daily_prices[[#This Row],[Ticker]], dim_company[], 3, FALSE)</f>
        <v>Consumer Discretionary</v>
      </c>
    </row>
    <row r="2094" spans="1:14" x14ac:dyDescent="0.3">
      <c r="A2094" s="1">
        <v>45604</v>
      </c>
      <c r="B2094">
        <v>321.22000122070313</v>
      </c>
      <c r="C2094">
        <v>328.70999145507813</v>
      </c>
      <c r="D2094">
        <v>297.66000366210938</v>
      </c>
      <c r="E2094">
        <v>299.1400146484375</v>
      </c>
      <c r="F2094">
        <v>204782800</v>
      </c>
      <c r="G2094" s="2" t="s">
        <v>16</v>
      </c>
      <c r="H2094">
        <v>8.1876653729253022</v>
      </c>
      <c r="I2094">
        <v>127.71151231086144</v>
      </c>
      <c r="J2094">
        <v>241.00940032958985</v>
      </c>
      <c r="K2094">
        <v>5.6480454459965923</v>
      </c>
      <c r="L2094">
        <v>1</v>
      </c>
      <c r="M2094" t="str">
        <f>VLOOKUP(fact_daily_prices[[#This Row],[Ticker]], dim_company[], 2, FALSE)</f>
        <v>Tesla Inc.</v>
      </c>
      <c r="N2094" t="str">
        <f>VLOOKUP(fact_daily_prices[[#This Row],[Ticker]], dim_company[], 3, FALSE)</f>
        <v>Consumer Discretionary</v>
      </c>
    </row>
    <row r="2095" spans="1:14" x14ac:dyDescent="0.3">
      <c r="A2095" s="1">
        <v>45607</v>
      </c>
      <c r="B2095">
        <v>350</v>
      </c>
      <c r="C2095">
        <v>358.6400146484375</v>
      </c>
      <c r="D2095">
        <v>336</v>
      </c>
      <c r="E2095">
        <v>346.29998779296875</v>
      </c>
      <c r="F2095">
        <v>210521600</v>
      </c>
      <c r="G2095" s="2" t="s">
        <v>16</v>
      </c>
      <c r="H2095">
        <v>8.9595911431189954</v>
      </c>
      <c r="I2095">
        <v>139.15394165660871</v>
      </c>
      <c r="J2095">
        <v>243.72720031738282</v>
      </c>
      <c r="K2095">
        <v>5.8380737836253296</v>
      </c>
      <c r="L2095">
        <v>1</v>
      </c>
      <c r="M2095" t="str">
        <f>VLOOKUP(fact_daily_prices[[#This Row],[Ticker]], dim_company[], 2, FALSE)</f>
        <v>Tesla Inc.</v>
      </c>
      <c r="N2095" t="str">
        <f>VLOOKUP(fact_daily_prices[[#This Row],[Ticker]], dim_company[], 3, FALSE)</f>
        <v>Consumer Discretionary</v>
      </c>
    </row>
    <row r="2096" spans="1:14" x14ac:dyDescent="0.3">
      <c r="A2096" s="1">
        <v>45608</v>
      </c>
      <c r="B2096">
        <v>328.489990234375</v>
      </c>
      <c r="C2096">
        <v>345.83999633789063</v>
      </c>
      <c r="D2096">
        <v>323.30999755859369</v>
      </c>
      <c r="E2096">
        <v>342.739990234375</v>
      </c>
      <c r="F2096">
        <v>155726000</v>
      </c>
      <c r="G2096" s="2" t="s">
        <v>16</v>
      </c>
      <c r="H2096">
        <v>-6.1457170758928541</v>
      </c>
      <c r="I2096">
        <v>130.60193410244051</v>
      </c>
      <c r="J2096">
        <v>246.08500000000001</v>
      </c>
      <c r="K2096">
        <v>5.9719596771172689</v>
      </c>
      <c r="L2096">
        <v>0</v>
      </c>
      <c r="M2096" t="str">
        <f>VLOOKUP(fact_daily_prices[[#This Row],[Ticker]], dim_company[], 2, FALSE)</f>
        <v>Tesla Inc.</v>
      </c>
      <c r="N2096" t="str">
        <f>VLOOKUP(fact_daily_prices[[#This Row],[Ticker]], dim_company[], 3, FALSE)</f>
        <v>Consumer Discretionary</v>
      </c>
    </row>
    <row r="2097" spans="1:14" x14ac:dyDescent="0.3">
      <c r="A2097" s="1">
        <v>45609</v>
      </c>
      <c r="B2097">
        <v>330.239990234375</v>
      </c>
      <c r="C2097">
        <v>344.60000610351563</v>
      </c>
      <c r="D2097">
        <v>322.5</v>
      </c>
      <c r="E2097">
        <v>335.85000610351563</v>
      </c>
      <c r="F2097">
        <v>125405600</v>
      </c>
      <c r="G2097" s="2" t="s">
        <v>16</v>
      </c>
      <c r="H2097">
        <v>0.53274073853859516</v>
      </c>
      <c r="I2097">
        <v>131.29770381072356</v>
      </c>
      <c r="J2097">
        <v>248.30159973144532</v>
      </c>
      <c r="K2097">
        <v>5.9133234313006415</v>
      </c>
      <c r="L2097">
        <v>0</v>
      </c>
      <c r="M2097" t="str">
        <f>VLOOKUP(fact_daily_prices[[#This Row],[Ticker]], dim_company[], 2, FALSE)</f>
        <v>Tesla Inc.</v>
      </c>
      <c r="N2097" t="str">
        <f>VLOOKUP(fact_daily_prices[[#This Row],[Ticker]], dim_company[], 3, FALSE)</f>
        <v>Consumer Discretionary</v>
      </c>
    </row>
    <row r="2098" spans="1:14" x14ac:dyDescent="0.3">
      <c r="A2098" s="1">
        <v>45610</v>
      </c>
      <c r="B2098">
        <v>311.17999267578125</v>
      </c>
      <c r="C2098">
        <v>329.98001098632813</v>
      </c>
      <c r="D2098">
        <v>310.3699951171875</v>
      </c>
      <c r="E2098">
        <v>327.69000244140625</v>
      </c>
      <c r="F2098">
        <v>120726100</v>
      </c>
      <c r="G2098" s="2" t="s">
        <v>16</v>
      </c>
      <c r="H2098">
        <v>-5.7715595089094629</v>
      </c>
      <c r="I2098">
        <v>123.71977870145598</v>
      </c>
      <c r="J2098">
        <v>249.92179962158204</v>
      </c>
      <c r="K2098">
        <v>5.9920188905107725</v>
      </c>
      <c r="L2098">
        <v>0</v>
      </c>
      <c r="M2098" t="str">
        <f>VLOOKUP(fact_daily_prices[[#This Row],[Ticker]], dim_company[], 2, FALSE)</f>
        <v>Tesla Inc.</v>
      </c>
      <c r="N2098" t="str">
        <f>VLOOKUP(fact_daily_prices[[#This Row],[Ticker]], dim_company[], 3, FALSE)</f>
        <v>Consumer Discretionary</v>
      </c>
    </row>
    <row r="2099" spans="1:14" x14ac:dyDescent="0.3">
      <c r="A2099" s="1">
        <v>45611</v>
      </c>
      <c r="B2099">
        <v>320.72000122070313</v>
      </c>
      <c r="C2099">
        <v>324.67999267578125</v>
      </c>
      <c r="D2099">
        <v>309.22000122070313</v>
      </c>
      <c r="E2099">
        <v>310.57000732421875</v>
      </c>
      <c r="F2099">
        <v>114440300</v>
      </c>
      <c r="G2099" s="2" t="s">
        <v>16</v>
      </c>
      <c r="H2099">
        <v>3.0657525449785616</v>
      </c>
      <c r="I2099">
        <v>127.5127209656377</v>
      </c>
      <c r="J2099">
        <v>252.12159973144531</v>
      </c>
      <c r="K2099">
        <v>5.9798870431353075</v>
      </c>
      <c r="L2099">
        <v>0</v>
      </c>
      <c r="M2099" t="str">
        <f>VLOOKUP(fact_daily_prices[[#This Row],[Ticker]], dim_company[], 2, FALSE)</f>
        <v>Tesla Inc.</v>
      </c>
      <c r="N2099" t="str">
        <f>VLOOKUP(fact_daily_prices[[#This Row],[Ticker]], dim_company[], 3, FALSE)</f>
        <v>Consumer Discretionary</v>
      </c>
    </row>
    <row r="2100" spans="1:14" x14ac:dyDescent="0.3">
      <c r="A2100" s="1">
        <v>45614</v>
      </c>
      <c r="B2100">
        <v>338.739990234375</v>
      </c>
      <c r="C2100">
        <v>348.54998779296875</v>
      </c>
      <c r="D2100">
        <v>330.010009765625</v>
      </c>
      <c r="E2100">
        <v>340.73001098632813</v>
      </c>
      <c r="F2100">
        <v>126085600</v>
      </c>
      <c r="G2100" s="2" t="s">
        <v>16</v>
      </c>
      <c r="H2100">
        <v>5.6186046847983784</v>
      </c>
      <c r="I2100">
        <v>134.67715667952695</v>
      </c>
      <c r="J2100">
        <v>254.57099945068359</v>
      </c>
      <c r="K2100">
        <v>5.9697145158063183</v>
      </c>
      <c r="L2100">
        <v>0</v>
      </c>
      <c r="M2100" t="str">
        <f>VLOOKUP(fact_daily_prices[[#This Row],[Ticker]], dim_company[], 2, FALSE)</f>
        <v>Tesla Inc.</v>
      </c>
      <c r="N2100" t="str">
        <f>VLOOKUP(fact_daily_prices[[#This Row],[Ticker]], dim_company[], 3, FALSE)</f>
        <v>Consumer Discretionary</v>
      </c>
    </row>
    <row r="2101" spans="1:14" x14ac:dyDescent="0.3">
      <c r="A2101" s="1">
        <v>45615</v>
      </c>
      <c r="B2101">
        <v>346</v>
      </c>
      <c r="C2101">
        <v>347.3800048828125</v>
      </c>
      <c r="D2101">
        <v>332.75</v>
      </c>
      <c r="E2101">
        <v>335.760009765625</v>
      </c>
      <c r="F2101">
        <v>88852500</v>
      </c>
      <c r="G2101" s="2" t="s">
        <v>16</v>
      </c>
      <c r="H2101">
        <v>2.1432396454288627</v>
      </c>
      <c r="I2101">
        <v>137.56361089481891</v>
      </c>
      <c r="J2101">
        <v>256.96759948730471</v>
      </c>
      <c r="K2101">
        <v>5.9715705582639425</v>
      </c>
      <c r="L2101">
        <v>0</v>
      </c>
      <c r="M2101" t="str">
        <f>VLOOKUP(fact_daily_prices[[#This Row],[Ticker]], dim_company[], 2, FALSE)</f>
        <v>Tesla Inc.</v>
      </c>
      <c r="N2101" t="str">
        <f>VLOOKUP(fact_daily_prices[[#This Row],[Ticker]], dim_company[], 3, FALSE)</f>
        <v>Consumer Discretionary</v>
      </c>
    </row>
    <row r="2102" spans="1:14" x14ac:dyDescent="0.3">
      <c r="A2102" s="1">
        <v>45616</v>
      </c>
      <c r="B2102">
        <v>342.02999877929688</v>
      </c>
      <c r="C2102">
        <v>346.60000610351563</v>
      </c>
      <c r="D2102">
        <v>334.29998779296875</v>
      </c>
      <c r="E2102">
        <v>345</v>
      </c>
      <c r="F2102">
        <v>66340700</v>
      </c>
      <c r="G2102" s="2" t="s">
        <v>16</v>
      </c>
      <c r="H2102">
        <v>-1.1473991967350106</v>
      </c>
      <c r="I2102">
        <v>135.9852071284121</v>
      </c>
      <c r="J2102">
        <v>259.2455993652344</v>
      </c>
      <c r="K2102">
        <v>5.9675978809113897</v>
      </c>
      <c r="L2102">
        <v>0</v>
      </c>
      <c r="M2102" t="str">
        <f>VLOOKUP(fact_daily_prices[[#This Row],[Ticker]], dim_company[], 2, FALSE)</f>
        <v>Tesla Inc.</v>
      </c>
      <c r="N2102" t="str">
        <f>VLOOKUP(fact_daily_prices[[#This Row],[Ticker]], dim_company[], 3, FALSE)</f>
        <v>Consumer Discretionary</v>
      </c>
    </row>
    <row r="2103" spans="1:14" x14ac:dyDescent="0.3">
      <c r="A2103" s="1">
        <v>45617</v>
      </c>
      <c r="B2103">
        <v>339.6400146484375</v>
      </c>
      <c r="C2103">
        <v>347.989990234375</v>
      </c>
      <c r="D2103">
        <v>335.27999877929688</v>
      </c>
      <c r="E2103">
        <v>343.80999755859369</v>
      </c>
      <c r="F2103">
        <v>58011700</v>
      </c>
      <c r="G2103" s="2" t="s">
        <v>16</v>
      </c>
      <c r="H2103">
        <v>-0.69876447662170493</v>
      </c>
      <c r="I2103">
        <v>135.03499080753829</v>
      </c>
      <c r="J2103">
        <v>261.44219970703125</v>
      </c>
      <c r="K2103">
        <v>5.9645127055556504</v>
      </c>
      <c r="L2103">
        <v>0</v>
      </c>
      <c r="M2103" t="str">
        <f>VLOOKUP(fact_daily_prices[[#This Row],[Ticker]], dim_company[], 2, FALSE)</f>
        <v>Tesla Inc.</v>
      </c>
      <c r="N2103" t="str">
        <f>VLOOKUP(fact_daily_prices[[#This Row],[Ticker]], dim_company[], 3, FALSE)</f>
        <v>Consumer Discretionary</v>
      </c>
    </row>
    <row r="2104" spans="1:14" x14ac:dyDescent="0.3">
      <c r="A2104" s="1">
        <v>45618</v>
      </c>
      <c r="B2104">
        <v>352.55999755859369</v>
      </c>
      <c r="C2104">
        <v>361.52999877929688</v>
      </c>
      <c r="D2104">
        <v>337.70001220703125</v>
      </c>
      <c r="E2104">
        <v>341.08999633789063</v>
      </c>
      <c r="F2104">
        <v>89140700</v>
      </c>
      <c r="G2104" s="2" t="s">
        <v>16</v>
      </c>
      <c r="H2104">
        <v>3.8040225983177356</v>
      </c>
      <c r="I2104">
        <v>140.17175237349332</v>
      </c>
      <c r="J2104">
        <v>263.88759979248044</v>
      </c>
      <c r="K2104">
        <v>5.6628293712108144</v>
      </c>
      <c r="L2104">
        <v>0</v>
      </c>
      <c r="M2104" t="str">
        <f>VLOOKUP(fact_daily_prices[[#This Row],[Ticker]], dim_company[], 2, FALSE)</f>
        <v>Tesla Inc.</v>
      </c>
      <c r="N2104" t="str">
        <f>VLOOKUP(fact_daily_prices[[#This Row],[Ticker]], dim_company[], 3, FALSE)</f>
        <v>Consumer Discretionary</v>
      </c>
    </row>
    <row r="2105" spans="1:14" x14ac:dyDescent="0.3">
      <c r="A2105" s="1">
        <v>45621</v>
      </c>
      <c r="B2105">
        <v>338.58999633789063</v>
      </c>
      <c r="C2105">
        <v>361.92999267578131</v>
      </c>
      <c r="D2105">
        <v>338.20001220703125</v>
      </c>
      <c r="E2105">
        <v>360.1400146484375</v>
      </c>
      <c r="F2105">
        <v>95890900</v>
      </c>
      <c r="G2105" s="2" t="s">
        <v>16</v>
      </c>
      <c r="H2105">
        <v>-3.9624464821427563</v>
      </c>
      <c r="I2105">
        <v>134.61752170261195</v>
      </c>
      <c r="J2105">
        <v>266.12379974365234</v>
      </c>
      <c r="K2105">
        <v>5.7557511552032627</v>
      </c>
      <c r="L2105">
        <v>0</v>
      </c>
      <c r="M2105" t="str">
        <f>VLOOKUP(fact_daily_prices[[#This Row],[Ticker]], dim_company[], 2, FALSE)</f>
        <v>Tesla Inc.</v>
      </c>
      <c r="N2105" t="str">
        <f>VLOOKUP(fact_daily_prices[[#This Row],[Ticker]], dim_company[], 3, FALSE)</f>
        <v>Consumer Discretionary</v>
      </c>
    </row>
    <row r="2106" spans="1:14" x14ac:dyDescent="0.3">
      <c r="A2106" s="1">
        <v>45622</v>
      </c>
      <c r="B2106">
        <v>338.23001098632813</v>
      </c>
      <c r="C2106">
        <v>346.95999145507813</v>
      </c>
      <c r="D2106">
        <v>335.66000366210938</v>
      </c>
      <c r="E2106">
        <v>341</v>
      </c>
      <c r="F2106">
        <v>62295900</v>
      </c>
      <c r="G2106" s="2" t="s">
        <v>16</v>
      </c>
      <c r="H2106">
        <v>-0.1063189566898104</v>
      </c>
      <c r="I2106">
        <v>134.4743977580161</v>
      </c>
      <c r="J2106">
        <v>268.33100006103518</v>
      </c>
      <c r="K2106">
        <v>5.7584985888848284</v>
      </c>
      <c r="L2106">
        <v>0</v>
      </c>
      <c r="M2106" t="str">
        <f>VLOOKUP(fact_daily_prices[[#This Row],[Ticker]], dim_company[], 2, FALSE)</f>
        <v>Tesla Inc.</v>
      </c>
      <c r="N2106" t="str">
        <f>VLOOKUP(fact_daily_prices[[#This Row],[Ticker]], dim_company[], 3, FALSE)</f>
        <v>Consumer Discretionary</v>
      </c>
    </row>
    <row r="2107" spans="1:14" x14ac:dyDescent="0.3">
      <c r="A2107" s="1">
        <v>45623</v>
      </c>
      <c r="B2107">
        <v>338.23001098632813</v>
      </c>
      <c r="C2107">
        <v>342.54998779296875</v>
      </c>
      <c r="D2107">
        <v>326.58999633789063</v>
      </c>
      <c r="E2107">
        <v>341.79998779296875</v>
      </c>
      <c r="F2107">
        <v>57896400</v>
      </c>
      <c r="G2107" s="2" t="s">
        <v>16</v>
      </c>
      <c r="H2107">
        <v>0</v>
      </c>
      <c r="I2107">
        <v>134.4743977580161</v>
      </c>
      <c r="J2107">
        <v>270.55160034179687</v>
      </c>
      <c r="K2107">
        <v>5.764182492726035</v>
      </c>
      <c r="L2107">
        <v>0</v>
      </c>
      <c r="M2107" t="str">
        <f>VLOOKUP(fact_daily_prices[[#This Row],[Ticker]], dim_company[], 2, FALSE)</f>
        <v>Tesla Inc.</v>
      </c>
      <c r="N2107" t="str">
        <f>VLOOKUP(fact_daily_prices[[#This Row],[Ticker]], dim_company[], 3, FALSE)</f>
        <v>Consumer Discretionary</v>
      </c>
    </row>
    <row r="2108" spans="1:14" x14ac:dyDescent="0.3">
      <c r="A2108" s="1">
        <v>45625</v>
      </c>
      <c r="B2108">
        <v>345.16000366210938</v>
      </c>
      <c r="C2108">
        <v>345.45001220703125</v>
      </c>
      <c r="D2108">
        <v>334.64999389648438</v>
      </c>
      <c r="E2108">
        <v>336.07998657226563</v>
      </c>
      <c r="F2108">
        <v>37167600</v>
      </c>
      <c r="G2108" s="2" t="s">
        <v>16</v>
      </c>
      <c r="H2108">
        <v>2.0488994029750351</v>
      </c>
      <c r="I2108">
        <v>137.22964289083436</v>
      </c>
      <c r="J2108">
        <v>272.57640045166016</v>
      </c>
      <c r="K2108">
        <v>5.7549698950474326</v>
      </c>
      <c r="L2108">
        <v>0</v>
      </c>
      <c r="M2108" t="str">
        <f>VLOOKUP(fact_daily_prices[[#This Row],[Ticker]], dim_company[], 2, FALSE)</f>
        <v>Tesla Inc.</v>
      </c>
      <c r="N2108" t="str">
        <f>VLOOKUP(fact_daily_prices[[#This Row],[Ticker]], dim_company[], 3, FALSE)</f>
        <v>Consumer Discretionary</v>
      </c>
    </row>
    <row r="2109" spans="1:14" x14ac:dyDescent="0.3">
      <c r="A2109" s="1">
        <v>45628</v>
      </c>
      <c r="B2109">
        <v>357.08999633789063</v>
      </c>
      <c r="C2109">
        <v>360</v>
      </c>
      <c r="D2109">
        <v>351.14999389648438</v>
      </c>
      <c r="E2109">
        <v>352.3800048828125</v>
      </c>
      <c r="F2109">
        <v>77986500</v>
      </c>
      <c r="G2109" s="2" t="s">
        <v>16</v>
      </c>
      <c r="H2109">
        <v>3.4563659025395044</v>
      </c>
      <c r="I2109">
        <v>141.97280147588987</v>
      </c>
      <c r="J2109">
        <v>274.95320037841799</v>
      </c>
      <c r="K2109">
        <v>5.7545247829112913</v>
      </c>
      <c r="L2109">
        <v>0</v>
      </c>
      <c r="M2109" t="str">
        <f>VLOOKUP(fact_daily_prices[[#This Row],[Ticker]], dim_company[], 2, FALSE)</f>
        <v>Tesla Inc.</v>
      </c>
      <c r="N2109" t="str">
        <f>VLOOKUP(fact_daily_prices[[#This Row],[Ticker]], dim_company[], 3, FALSE)</f>
        <v>Consumer Discretionary</v>
      </c>
    </row>
    <row r="2110" spans="1:14" x14ac:dyDescent="0.3">
      <c r="A2110" s="1">
        <v>45629</v>
      </c>
      <c r="B2110">
        <v>351.42001342773438</v>
      </c>
      <c r="C2110">
        <v>355.69000244140625</v>
      </c>
      <c r="D2110">
        <v>348.20001220703125</v>
      </c>
      <c r="E2110">
        <v>351.79998779296875</v>
      </c>
      <c r="F2110">
        <v>58267200</v>
      </c>
      <c r="G2110" s="2" t="s">
        <v>16</v>
      </c>
      <c r="H2110">
        <v>-1.5878302299992542</v>
      </c>
      <c r="I2110">
        <v>139.71851441567887</v>
      </c>
      <c r="J2110">
        <v>276.98160064697265</v>
      </c>
      <c r="K2110">
        <v>5.7678307607717727</v>
      </c>
      <c r="L2110">
        <v>0</v>
      </c>
      <c r="M2110" t="str">
        <f>VLOOKUP(fact_daily_prices[[#This Row],[Ticker]], dim_company[], 2, FALSE)</f>
        <v>Tesla Inc.</v>
      </c>
      <c r="N2110" t="str">
        <f>VLOOKUP(fact_daily_prices[[#This Row],[Ticker]], dim_company[], 3, FALSE)</f>
        <v>Consumer Discretionary</v>
      </c>
    </row>
    <row r="2111" spans="1:14" x14ac:dyDescent="0.3">
      <c r="A2111" s="1">
        <v>45630</v>
      </c>
      <c r="B2111">
        <v>357.92999267578125</v>
      </c>
      <c r="C2111">
        <v>358.10000610351563</v>
      </c>
      <c r="D2111">
        <v>348.60000610351563</v>
      </c>
      <c r="E2111">
        <v>353</v>
      </c>
      <c r="F2111">
        <v>50810900</v>
      </c>
      <c r="G2111" s="2" t="s">
        <v>16</v>
      </c>
      <c r="H2111">
        <v>1.8524782309774723</v>
      </c>
      <c r="I2111">
        <v>142.30676947987442</v>
      </c>
      <c r="J2111">
        <v>279.05480041503904</v>
      </c>
      <c r="K2111">
        <v>5.7536255135712224</v>
      </c>
      <c r="L2111">
        <v>0</v>
      </c>
      <c r="M2111" t="str">
        <f>VLOOKUP(fact_daily_prices[[#This Row],[Ticker]], dim_company[], 2, FALSE)</f>
        <v>Tesla Inc.</v>
      </c>
      <c r="N2111" t="str">
        <f>VLOOKUP(fact_daily_prices[[#This Row],[Ticker]], dim_company[], 3, FALSE)</f>
        <v>Consumer Discretionary</v>
      </c>
    </row>
    <row r="2112" spans="1:14" x14ac:dyDescent="0.3">
      <c r="A2112" s="1">
        <v>45631</v>
      </c>
      <c r="B2112">
        <v>369.489990234375</v>
      </c>
      <c r="C2112">
        <v>375.42999267578131</v>
      </c>
      <c r="D2112">
        <v>359.5</v>
      </c>
      <c r="E2112">
        <v>359.8699951171875</v>
      </c>
      <c r="F2112">
        <v>81403600</v>
      </c>
      <c r="G2112" s="2" t="s">
        <v>16</v>
      </c>
      <c r="H2112">
        <v>3.2296811653515167</v>
      </c>
      <c r="I2112">
        <v>146.90282441078614</v>
      </c>
      <c r="J2112">
        <v>281.3042004394531</v>
      </c>
      <c r="K2112">
        <v>5.7135580980444454</v>
      </c>
      <c r="L2112">
        <v>0</v>
      </c>
      <c r="M2112" t="str">
        <f>VLOOKUP(fact_daily_prices[[#This Row],[Ticker]], dim_company[], 2, FALSE)</f>
        <v>Tesla Inc.</v>
      </c>
      <c r="N2112" t="str">
        <f>VLOOKUP(fact_daily_prices[[#This Row],[Ticker]], dim_company[], 3, FALSE)</f>
        <v>Consumer Discretionary</v>
      </c>
    </row>
    <row r="2113" spans="1:14" x14ac:dyDescent="0.3">
      <c r="A2113" s="1">
        <v>45632</v>
      </c>
      <c r="B2113">
        <v>389.22000122070313</v>
      </c>
      <c r="C2113">
        <v>389.489990234375</v>
      </c>
      <c r="D2113">
        <v>370.79998779296881</v>
      </c>
      <c r="E2113">
        <v>377.42001342773438</v>
      </c>
      <c r="F2113">
        <v>81455800</v>
      </c>
      <c r="G2113" s="2" t="s">
        <v>16</v>
      </c>
      <c r="H2113">
        <v>5.3397958017247005</v>
      </c>
      <c r="I2113">
        <v>154.74713526128826</v>
      </c>
      <c r="J2113">
        <v>284.00420043945314</v>
      </c>
      <c r="K2113">
        <v>4.3611100716515523</v>
      </c>
      <c r="L2113">
        <v>0</v>
      </c>
      <c r="M2113" t="str">
        <f>VLOOKUP(fact_daily_prices[[#This Row],[Ticker]], dim_company[], 2, FALSE)</f>
        <v>Tesla Inc.</v>
      </c>
      <c r="N2113" t="str">
        <f>VLOOKUP(fact_daily_prices[[#This Row],[Ticker]], dim_company[], 3, FALSE)</f>
        <v>Consumer Discretionary</v>
      </c>
    </row>
    <row r="2114" spans="1:14" x14ac:dyDescent="0.3">
      <c r="A2114" s="1">
        <v>45635</v>
      </c>
      <c r="B2114">
        <v>389.79000854492188</v>
      </c>
      <c r="C2114">
        <v>404.79998779296881</v>
      </c>
      <c r="D2114">
        <v>378.010009765625</v>
      </c>
      <c r="E2114">
        <v>397.6099853515625</v>
      </c>
      <c r="F2114">
        <v>96359200</v>
      </c>
      <c r="G2114" s="2" t="s">
        <v>16</v>
      </c>
      <c r="H2114">
        <v>0.14644862094215227</v>
      </c>
      <c r="I2114">
        <v>154.97376030682594</v>
      </c>
      <c r="J2114">
        <v>286.59080078124998</v>
      </c>
      <c r="K2114">
        <v>4.3595284333928559</v>
      </c>
      <c r="L2114">
        <v>0</v>
      </c>
      <c r="M2114" t="str">
        <f>VLOOKUP(fact_daily_prices[[#This Row],[Ticker]], dim_company[], 2, FALSE)</f>
        <v>Tesla Inc.</v>
      </c>
      <c r="N2114" t="str">
        <f>VLOOKUP(fact_daily_prices[[#This Row],[Ticker]], dim_company[], 3, FALSE)</f>
        <v>Consumer Discretionary</v>
      </c>
    </row>
    <row r="2115" spans="1:14" x14ac:dyDescent="0.3">
      <c r="A2115" s="1">
        <v>45636</v>
      </c>
      <c r="B2115">
        <v>400.989990234375</v>
      </c>
      <c r="C2115">
        <v>409.73001098632813</v>
      </c>
      <c r="D2115">
        <v>390.85000610351563</v>
      </c>
      <c r="E2115">
        <v>392.67999267578131</v>
      </c>
      <c r="F2115">
        <v>97563600</v>
      </c>
      <c r="G2115" s="2" t="s">
        <v>16</v>
      </c>
      <c r="H2115">
        <v>2.873337295448497</v>
      </c>
      <c r="I2115">
        <v>159.4266791598809</v>
      </c>
      <c r="J2115">
        <v>289.37800048828126</v>
      </c>
      <c r="K2115">
        <v>4.365323679794705</v>
      </c>
      <c r="L2115">
        <v>0</v>
      </c>
      <c r="M2115" t="str">
        <f>VLOOKUP(fact_daily_prices[[#This Row],[Ticker]], dim_company[], 2, FALSE)</f>
        <v>Tesla Inc.</v>
      </c>
      <c r="N2115" t="str">
        <f>VLOOKUP(fact_daily_prices[[#This Row],[Ticker]], dim_company[], 3, FALSE)</f>
        <v>Consumer Discretionary</v>
      </c>
    </row>
    <row r="2116" spans="1:14" x14ac:dyDescent="0.3">
      <c r="A2116" s="1">
        <v>45637</v>
      </c>
      <c r="B2116">
        <v>424.76998901367188</v>
      </c>
      <c r="C2116">
        <v>424.8800048828125</v>
      </c>
      <c r="D2116">
        <v>402.3800048828125</v>
      </c>
      <c r="E2116">
        <v>409.70001220703131</v>
      </c>
      <c r="F2116">
        <v>104287600</v>
      </c>
      <c r="G2116" s="2" t="s">
        <v>16</v>
      </c>
      <c r="H2116">
        <v>5.9303222919349308</v>
      </c>
      <c r="I2116">
        <v>168.88119505339091</v>
      </c>
      <c r="J2116">
        <v>292.71300048828124</v>
      </c>
      <c r="K2116">
        <v>4.4079313085907517</v>
      </c>
      <c r="L2116">
        <v>0</v>
      </c>
      <c r="M2116" t="str">
        <f>VLOOKUP(fact_daily_prices[[#This Row],[Ticker]], dim_company[], 2, FALSE)</f>
        <v>Tesla Inc.</v>
      </c>
      <c r="N2116" t="str">
        <f>VLOOKUP(fact_daily_prices[[#This Row],[Ticker]], dim_company[], 3, FALSE)</f>
        <v>Consumer Discretionary</v>
      </c>
    </row>
    <row r="2117" spans="1:14" x14ac:dyDescent="0.3">
      <c r="A2117" s="1">
        <v>45638</v>
      </c>
      <c r="B2117">
        <v>418.10000610351563</v>
      </c>
      <c r="C2117">
        <v>429.29998779296881</v>
      </c>
      <c r="D2117">
        <v>415</v>
      </c>
      <c r="E2117">
        <v>424.83999633789063</v>
      </c>
      <c r="F2117">
        <v>87752200</v>
      </c>
      <c r="G2117" s="2" t="s">
        <v>16</v>
      </c>
      <c r="H2117">
        <v>-1.5702575706076027</v>
      </c>
      <c r="I2117">
        <v>166.22932530273246</v>
      </c>
      <c r="J2117">
        <v>296.09460052490232</v>
      </c>
      <c r="K2117">
        <v>4.426282222005395</v>
      </c>
      <c r="L2117">
        <v>0</v>
      </c>
      <c r="M2117" t="str">
        <f>VLOOKUP(fact_daily_prices[[#This Row],[Ticker]], dim_company[], 2, FALSE)</f>
        <v>Tesla Inc.</v>
      </c>
      <c r="N2117" t="str">
        <f>VLOOKUP(fact_daily_prices[[#This Row],[Ticker]], dim_company[], 3, FALSE)</f>
        <v>Consumer Discretionary</v>
      </c>
    </row>
    <row r="2118" spans="1:14" x14ac:dyDescent="0.3">
      <c r="A2118" s="1">
        <v>45639</v>
      </c>
      <c r="B2118">
        <v>436.23001098632813</v>
      </c>
      <c r="C2118">
        <v>436.29998779296881</v>
      </c>
      <c r="D2118">
        <v>415.70999145507813</v>
      </c>
      <c r="E2118">
        <v>420</v>
      </c>
      <c r="F2118">
        <v>89000200</v>
      </c>
      <c r="G2118" s="2" t="s">
        <v>16</v>
      </c>
      <c r="H2118">
        <v>4.3362842903962528</v>
      </c>
      <c r="I2118">
        <v>173.4375014218665</v>
      </c>
      <c r="J2118">
        <v>300.00600067138674</v>
      </c>
      <c r="K2118">
        <v>4.3590810084181761</v>
      </c>
      <c r="L2118">
        <v>0</v>
      </c>
      <c r="M2118" t="str">
        <f>VLOOKUP(fact_daily_prices[[#This Row],[Ticker]], dim_company[], 2, FALSE)</f>
        <v>Tesla Inc.</v>
      </c>
      <c r="N2118" t="str">
        <f>VLOOKUP(fact_daily_prices[[#This Row],[Ticker]], dim_company[], 3, FALSE)</f>
        <v>Consumer Discretionary</v>
      </c>
    </row>
    <row r="2119" spans="1:14" x14ac:dyDescent="0.3">
      <c r="A2119" s="1">
        <v>45642</v>
      </c>
      <c r="B2119">
        <v>463.01998901367188</v>
      </c>
      <c r="C2119">
        <v>463.19000244140631</v>
      </c>
      <c r="D2119">
        <v>436.14999389648438</v>
      </c>
      <c r="E2119">
        <v>441.08999633789063</v>
      </c>
      <c r="F2119">
        <v>114083800</v>
      </c>
      <c r="G2119" s="2" t="s">
        <v>16</v>
      </c>
      <c r="H2119">
        <v>6.1412505679677709</v>
      </c>
      <c r="I2119">
        <v>184.08873296300601</v>
      </c>
      <c r="J2119">
        <v>304.26480041503908</v>
      </c>
      <c r="K2119">
        <v>4.4012005893593757</v>
      </c>
      <c r="L2119">
        <v>0</v>
      </c>
      <c r="M2119" t="str">
        <f>VLOOKUP(fact_daily_prices[[#This Row],[Ticker]], dim_company[], 2, FALSE)</f>
        <v>Tesla Inc.</v>
      </c>
      <c r="N2119" t="str">
        <f>VLOOKUP(fact_daily_prices[[#This Row],[Ticker]], dim_company[], 3, FALSE)</f>
        <v>Consumer Discretionary</v>
      </c>
    </row>
    <row r="2120" spans="1:14" x14ac:dyDescent="0.3">
      <c r="A2120" s="1">
        <v>45643</v>
      </c>
      <c r="B2120">
        <v>463.01998901367188</v>
      </c>
      <c r="C2120">
        <v>483.989990234375</v>
      </c>
      <c r="D2120">
        <v>457.510009765625</v>
      </c>
      <c r="E2120">
        <v>475.89999389648438</v>
      </c>
      <c r="F2120">
        <v>131223000</v>
      </c>
      <c r="G2120" s="2" t="s">
        <v>16</v>
      </c>
      <c r="H2120">
        <v>0</v>
      </c>
      <c r="I2120">
        <v>184.08873296300601</v>
      </c>
      <c r="J2120">
        <v>308.70860015869141</v>
      </c>
      <c r="K2120">
        <v>4.3339441533967324</v>
      </c>
      <c r="L2120">
        <v>0</v>
      </c>
      <c r="M2120" t="str">
        <f>VLOOKUP(fact_daily_prices[[#This Row],[Ticker]], dim_company[], 2, FALSE)</f>
        <v>Tesla Inc.</v>
      </c>
      <c r="N2120" t="str">
        <f>VLOOKUP(fact_daily_prices[[#This Row],[Ticker]], dim_company[], 3, FALSE)</f>
        <v>Consumer Discretionary</v>
      </c>
    </row>
    <row r="2121" spans="1:14" x14ac:dyDescent="0.3">
      <c r="A2121" s="1">
        <v>45644</v>
      </c>
      <c r="B2121">
        <v>440.1300048828125</v>
      </c>
      <c r="C2121">
        <v>488.54000854492188</v>
      </c>
      <c r="D2121">
        <v>427.010009765625</v>
      </c>
      <c r="E2121">
        <v>466.5</v>
      </c>
      <c r="F2121">
        <v>149340800</v>
      </c>
      <c r="G2121" s="2" t="s">
        <v>16</v>
      </c>
      <c r="H2121">
        <v>-4.943627634655634</v>
      </c>
      <c r="I2121">
        <v>174.98807148795942</v>
      </c>
      <c r="J2121">
        <v>312.62120025634766</v>
      </c>
      <c r="K2121">
        <v>4.5204543298667925</v>
      </c>
      <c r="L2121">
        <v>0</v>
      </c>
      <c r="M2121" t="str">
        <f>VLOOKUP(fact_daily_prices[[#This Row],[Ticker]], dim_company[], 2, FALSE)</f>
        <v>Tesla Inc.</v>
      </c>
      <c r="N2121" t="str">
        <f>VLOOKUP(fact_daily_prices[[#This Row],[Ticker]], dim_company[], 3, FALSE)</f>
        <v>Consumer Discretionary</v>
      </c>
    </row>
    <row r="2122" spans="1:14" x14ac:dyDescent="0.3">
      <c r="A2122" s="1">
        <v>45645</v>
      </c>
      <c r="B2122">
        <v>436.17001342773438</v>
      </c>
      <c r="C2122">
        <v>456.3599853515625</v>
      </c>
      <c r="D2122">
        <v>420.01998901367188</v>
      </c>
      <c r="E2122">
        <v>451.8800048828125</v>
      </c>
      <c r="F2122">
        <v>118566100</v>
      </c>
      <c r="G2122" s="2" t="s">
        <v>16</v>
      </c>
      <c r="H2122">
        <v>-0.89973221801419312</v>
      </c>
      <c r="I2122">
        <v>173.41364743110054</v>
      </c>
      <c r="J2122">
        <v>316.52360046386718</v>
      </c>
      <c r="K2122">
        <v>3.8489446323395433</v>
      </c>
      <c r="L2122">
        <v>0</v>
      </c>
      <c r="M2122" t="str">
        <f>VLOOKUP(fact_daily_prices[[#This Row],[Ticker]], dim_company[], 2, FALSE)</f>
        <v>Tesla Inc.</v>
      </c>
      <c r="N2122" t="str">
        <f>VLOOKUP(fact_daily_prices[[#This Row],[Ticker]], dim_company[], 3, FALSE)</f>
        <v>Consumer Discretionary</v>
      </c>
    </row>
    <row r="2123" spans="1:14" x14ac:dyDescent="0.3">
      <c r="A2123" s="1">
        <v>45646</v>
      </c>
      <c r="B2123">
        <v>421.05999755859375</v>
      </c>
      <c r="C2123">
        <v>447.07998657226563</v>
      </c>
      <c r="D2123">
        <v>417.6400146484375</v>
      </c>
      <c r="E2123">
        <v>425.510009765625</v>
      </c>
      <c r="F2123">
        <v>132216200</v>
      </c>
      <c r="G2123" s="2" t="s">
        <v>16</v>
      </c>
      <c r="H2123">
        <v>-3.4642491239586515</v>
      </c>
      <c r="I2123">
        <v>167.40616666914389</v>
      </c>
      <c r="J2123">
        <v>320.16940032958985</v>
      </c>
      <c r="K2123">
        <v>3.9409443365379975</v>
      </c>
      <c r="L2123">
        <v>0</v>
      </c>
      <c r="M2123" t="str">
        <f>VLOOKUP(fact_daily_prices[[#This Row],[Ticker]], dim_company[], 2, FALSE)</f>
        <v>Tesla Inc.</v>
      </c>
      <c r="N2123" t="str">
        <f>VLOOKUP(fact_daily_prices[[#This Row],[Ticker]], dim_company[], 3, FALSE)</f>
        <v>Consumer Discretionary</v>
      </c>
    </row>
    <row r="2124" spans="1:14" x14ac:dyDescent="0.3">
      <c r="A2124" s="1">
        <v>45649</v>
      </c>
      <c r="B2124">
        <v>430.60000610351563</v>
      </c>
      <c r="C2124">
        <v>434.510009765625</v>
      </c>
      <c r="D2124">
        <v>415.41000366210938</v>
      </c>
      <c r="E2124">
        <v>431</v>
      </c>
      <c r="F2124">
        <v>72698100</v>
      </c>
      <c r="G2124" s="2" t="s">
        <v>16</v>
      </c>
      <c r="H2124">
        <v>2.2657123925894362</v>
      </c>
      <c r="I2124">
        <v>171.19910893332565</v>
      </c>
      <c r="J2124">
        <v>324.42540039062499</v>
      </c>
      <c r="K2124">
        <v>3.7235496004578774</v>
      </c>
      <c r="L2124">
        <v>0</v>
      </c>
      <c r="M2124" t="str">
        <f>VLOOKUP(fact_daily_prices[[#This Row],[Ticker]], dim_company[], 2, FALSE)</f>
        <v>Tesla Inc.</v>
      </c>
      <c r="N2124" t="str">
        <f>VLOOKUP(fact_daily_prices[[#This Row],[Ticker]], dim_company[], 3, FALSE)</f>
        <v>Consumer Discretionary</v>
      </c>
    </row>
    <row r="2125" spans="1:14" x14ac:dyDescent="0.3">
      <c r="A2125" s="1">
        <v>45650</v>
      </c>
      <c r="B2125">
        <v>430.60000610351563</v>
      </c>
      <c r="C2125">
        <v>462.77999877929688</v>
      </c>
      <c r="D2125">
        <v>435.1400146484375</v>
      </c>
      <c r="E2125">
        <v>435.89999389648438</v>
      </c>
      <c r="F2125">
        <v>59551800</v>
      </c>
      <c r="G2125" s="2" t="s">
        <v>16</v>
      </c>
      <c r="H2125">
        <v>0</v>
      </c>
      <c r="I2125">
        <v>171.19910893332565</v>
      </c>
      <c r="J2125">
        <v>328.65420043945312</v>
      </c>
      <c r="K2125">
        <v>3.4135278783582801</v>
      </c>
      <c r="L2125">
        <v>0</v>
      </c>
      <c r="M2125" t="str">
        <f>VLOOKUP(fact_daily_prices[[#This Row],[Ticker]], dim_company[], 2, FALSE)</f>
        <v>Tesla Inc.</v>
      </c>
      <c r="N2125" t="str">
        <f>VLOOKUP(fact_daily_prices[[#This Row],[Ticker]], dim_company[], 3, FALSE)</f>
        <v>Consumer Discretionary</v>
      </c>
    </row>
    <row r="2126" spans="1:14" x14ac:dyDescent="0.3">
      <c r="A2126" s="1">
        <v>45652</v>
      </c>
      <c r="B2126">
        <v>454.1300048828125</v>
      </c>
      <c r="C2126">
        <v>465.32998657226563</v>
      </c>
      <c r="D2126">
        <v>451.01998901367188</v>
      </c>
      <c r="E2126">
        <v>465.16000366210938</v>
      </c>
      <c r="F2126">
        <v>76366400</v>
      </c>
      <c r="G2126" s="2" t="s">
        <v>16</v>
      </c>
      <c r="H2126">
        <v>5.464467822984731</v>
      </c>
      <c r="I2126">
        <v>180.55422915422378</v>
      </c>
      <c r="J2126">
        <v>333.345400390625</v>
      </c>
      <c r="K2126">
        <v>3.2594960502135568</v>
      </c>
      <c r="L2126">
        <v>0</v>
      </c>
      <c r="M2126" t="str">
        <f>VLOOKUP(fact_daily_prices[[#This Row],[Ticker]], dim_company[], 2, FALSE)</f>
        <v>Tesla Inc.</v>
      </c>
      <c r="N2126" t="str">
        <f>VLOOKUP(fact_daily_prices[[#This Row],[Ticker]], dim_company[], 3, FALSE)</f>
        <v>Consumer Discretionary</v>
      </c>
    </row>
    <row r="2127" spans="1:14" x14ac:dyDescent="0.3">
      <c r="A2127" s="1">
        <v>45653</v>
      </c>
      <c r="B2127">
        <v>431.66000366210938</v>
      </c>
      <c r="C2127">
        <v>450</v>
      </c>
      <c r="D2127">
        <v>426.5</v>
      </c>
      <c r="E2127">
        <v>449.51998901367188</v>
      </c>
      <c r="F2127">
        <v>82666800</v>
      </c>
      <c r="G2127" s="2" t="s">
        <v>16</v>
      </c>
      <c r="H2127">
        <v>-4.9479226166748163</v>
      </c>
      <c r="I2127">
        <v>171.62054561453905</v>
      </c>
      <c r="J2127">
        <v>337.55200042724607</v>
      </c>
      <c r="K2127">
        <v>3.4429355397963652</v>
      </c>
      <c r="L2127">
        <v>0</v>
      </c>
      <c r="M2127" t="str">
        <f>VLOOKUP(fact_daily_prices[[#This Row],[Ticker]], dim_company[], 2, FALSE)</f>
        <v>Tesla Inc.</v>
      </c>
      <c r="N2127" t="str">
        <f>VLOOKUP(fact_daily_prices[[#This Row],[Ticker]], dim_company[], 3, FALSE)</f>
        <v>Consumer Discretionary</v>
      </c>
    </row>
    <row r="2128" spans="1:14" x14ac:dyDescent="0.3">
      <c r="A2128" s="1">
        <v>45656</v>
      </c>
      <c r="B2128">
        <v>417.41000366210938</v>
      </c>
      <c r="C2128">
        <v>427</v>
      </c>
      <c r="D2128">
        <v>415.75</v>
      </c>
      <c r="E2128">
        <v>419.39999389648438</v>
      </c>
      <c r="F2128">
        <v>64941000</v>
      </c>
      <c r="G2128" s="2" t="s">
        <v>16</v>
      </c>
      <c r="H2128">
        <v>-3.301209257078741</v>
      </c>
      <c r="I2128">
        <v>165.95499227566285</v>
      </c>
      <c r="J2128">
        <v>341.48240051269534</v>
      </c>
      <c r="K2128">
        <v>3.3032437047851673</v>
      </c>
      <c r="L2128">
        <v>0</v>
      </c>
      <c r="M2128" t="str">
        <f>VLOOKUP(fact_daily_prices[[#This Row],[Ticker]], dim_company[], 2, FALSE)</f>
        <v>Tesla Inc.</v>
      </c>
      <c r="N2128" t="str">
        <f>VLOOKUP(fact_daily_prices[[#This Row],[Ticker]], dim_company[], 3, FALSE)</f>
        <v>Consumer Discretionary</v>
      </c>
    </row>
    <row r="2129" spans="1:14" x14ac:dyDescent="0.3">
      <c r="A2129" s="1">
        <v>45657</v>
      </c>
      <c r="B2129">
        <v>403.83999633789063</v>
      </c>
      <c r="C2129">
        <v>427.92999267578131</v>
      </c>
      <c r="D2129">
        <v>402.54000854492188</v>
      </c>
      <c r="E2129">
        <v>423.79000854492188</v>
      </c>
      <c r="F2129">
        <v>76825100</v>
      </c>
      <c r="G2129" s="2" t="s">
        <v>16</v>
      </c>
      <c r="H2129">
        <v>-3.2510019417751113</v>
      </c>
      <c r="I2129">
        <v>160.55979225430832</v>
      </c>
      <c r="J2129">
        <v>345.14520050048827</v>
      </c>
      <c r="K2129">
        <v>3.3700634510443597</v>
      </c>
      <c r="L2129">
        <v>0</v>
      </c>
      <c r="M2129" t="str">
        <f>VLOOKUP(fact_daily_prices[[#This Row],[Ticker]], dim_company[], 2, FALSE)</f>
        <v>Tesla Inc.</v>
      </c>
      <c r="N2129" t="str">
        <f>VLOOKUP(fact_daily_prices[[#This Row],[Ticker]], dim_company[], 3, FALSE)</f>
        <v>Consumer Discretionary</v>
      </c>
    </row>
    <row r="2130" spans="1:14" x14ac:dyDescent="0.3">
      <c r="A2130" s="1">
        <v>45659</v>
      </c>
      <c r="B2130">
        <v>379.27999877929688</v>
      </c>
      <c r="C2130">
        <v>392.73001098632813</v>
      </c>
      <c r="D2130">
        <v>373.04000854492188</v>
      </c>
      <c r="E2130">
        <v>390.10000610351563</v>
      </c>
      <c r="F2130">
        <v>109710700</v>
      </c>
      <c r="G2130" s="2" t="s">
        <v>16</v>
      </c>
      <c r="H2130">
        <v>-6.0816159323764829</v>
      </c>
      <c r="I2130">
        <v>150.79516234757972</v>
      </c>
      <c r="J2130">
        <v>348.35380035400391</v>
      </c>
      <c r="K2130">
        <v>3.4717467829452509</v>
      </c>
      <c r="L2130">
        <v>0</v>
      </c>
      <c r="M2130" t="str">
        <f>VLOOKUP(fact_daily_prices[[#This Row],[Ticker]], dim_company[], 2, FALSE)</f>
        <v>Tesla Inc.</v>
      </c>
      <c r="N2130" t="str">
        <f>VLOOKUP(fact_daily_prices[[#This Row],[Ticker]], dim_company[], 3, FALSE)</f>
        <v>Consumer Discretionary</v>
      </c>
    </row>
    <row r="2131" spans="1:14" x14ac:dyDescent="0.3">
      <c r="A2131" s="1">
        <v>45660</v>
      </c>
      <c r="B2131">
        <v>410.44000244140631</v>
      </c>
      <c r="C2131">
        <v>411.8800048828125</v>
      </c>
      <c r="D2131">
        <v>379.45001220703131</v>
      </c>
      <c r="E2131">
        <v>381.48001098632813</v>
      </c>
      <c r="F2131">
        <v>95423300</v>
      </c>
      <c r="G2131" s="2" t="s">
        <v>16</v>
      </c>
      <c r="H2131">
        <v>8.2155673282000343</v>
      </c>
      <c r="I2131">
        <v>163.18384043791369</v>
      </c>
      <c r="J2131">
        <v>352.20320037841799</v>
      </c>
      <c r="K2131">
        <v>3.7412874308946207</v>
      </c>
      <c r="L2131">
        <v>0</v>
      </c>
      <c r="M2131" t="str">
        <f>VLOOKUP(fact_daily_prices[[#This Row],[Ticker]], dim_company[], 2, FALSE)</f>
        <v>Tesla Inc.</v>
      </c>
      <c r="N2131" t="str">
        <f>VLOOKUP(fact_daily_prices[[#This Row],[Ticker]], dim_company[], 3, FALSE)</f>
        <v>Consumer Discretionary</v>
      </c>
    </row>
    <row r="2132" spans="1:14" x14ac:dyDescent="0.3">
      <c r="A2132" s="1">
        <v>45663</v>
      </c>
      <c r="B2132">
        <v>411.04998779296881</v>
      </c>
      <c r="C2132">
        <v>426.42999267578131</v>
      </c>
      <c r="D2132">
        <v>401.70001220703131</v>
      </c>
      <c r="E2132">
        <v>423.20001220703131</v>
      </c>
      <c r="F2132">
        <v>85516500</v>
      </c>
      <c r="G2132" s="2" t="s">
        <v>16</v>
      </c>
      <c r="H2132">
        <v>0.14861742226248698</v>
      </c>
      <c r="I2132">
        <v>163.42636005512145</v>
      </c>
      <c r="J2132">
        <v>356.15120025634764</v>
      </c>
      <c r="K2132">
        <v>3.7274164985496738</v>
      </c>
      <c r="L2132">
        <v>0</v>
      </c>
      <c r="M2132" t="str">
        <f>VLOOKUP(fact_daily_prices[[#This Row],[Ticker]], dim_company[], 2, FALSE)</f>
        <v>Tesla Inc.</v>
      </c>
      <c r="N2132" t="str">
        <f>VLOOKUP(fact_daily_prices[[#This Row],[Ticker]], dim_company[], 3, FALSE)</f>
        <v>Consumer Discretionary</v>
      </c>
    </row>
    <row r="2133" spans="1:14" x14ac:dyDescent="0.3">
      <c r="A2133" s="1">
        <v>45664</v>
      </c>
      <c r="B2133">
        <v>394.3599853515625</v>
      </c>
      <c r="C2133">
        <v>414.32998657226563</v>
      </c>
      <c r="D2133">
        <v>390</v>
      </c>
      <c r="E2133">
        <v>405.82998657226563</v>
      </c>
      <c r="F2133">
        <v>75699500</v>
      </c>
      <c r="G2133" s="2" t="s">
        <v>16</v>
      </c>
      <c r="H2133">
        <v>-4.0603340073111616</v>
      </c>
      <c r="I2133">
        <v>156.79070398089257</v>
      </c>
      <c r="J2133">
        <v>358.82879974365233</v>
      </c>
      <c r="K2133">
        <v>3.8197177172935635</v>
      </c>
      <c r="L2133">
        <v>0</v>
      </c>
      <c r="M2133" t="str">
        <f>VLOOKUP(fact_daily_prices[[#This Row],[Ticker]], dim_company[], 2, FALSE)</f>
        <v>Tesla Inc.</v>
      </c>
      <c r="N2133" t="str">
        <f>VLOOKUP(fact_daily_prices[[#This Row],[Ticker]], dim_company[], 3, FALSE)</f>
        <v>Consumer Discretionary</v>
      </c>
    </row>
    <row r="2134" spans="1:14" x14ac:dyDescent="0.3">
      <c r="A2134" s="1">
        <v>45665</v>
      </c>
      <c r="B2134">
        <v>394.94000244140631</v>
      </c>
      <c r="C2134">
        <v>402.5</v>
      </c>
      <c r="D2134">
        <v>387.39999389648438</v>
      </c>
      <c r="E2134">
        <v>392.95001220703131</v>
      </c>
      <c r="F2134">
        <v>73038800</v>
      </c>
      <c r="G2134" s="2" t="s">
        <v>16</v>
      </c>
      <c r="H2134">
        <v>0.14707807875760093</v>
      </c>
      <c r="I2134">
        <v>157.02130873597818</v>
      </c>
      <c r="J2134">
        <v>361.51799957275392</v>
      </c>
      <c r="K2134">
        <v>3.7709669782039317</v>
      </c>
      <c r="L2134">
        <v>0</v>
      </c>
      <c r="M2134" t="str">
        <f>VLOOKUP(fact_daily_prices[[#This Row],[Ticker]], dim_company[], 2, FALSE)</f>
        <v>Tesla Inc.</v>
      </c>
      <c r="N2134" t="str">
        <f>VLOOKUP(fact_daily_prices[[#This Row],[Ticker]], dim_company[], 3, FALSE)</f>
        <v>Consumer Discretionary</v>
      </c>
    </row>
    <row r="2135" spans="1:14" x14ac:dyDescent="0.3">
      <c r="A2135" s="1">
        <v>45667</v>
      </c>
      <c r="B2135">
        <v>394.739990234375</v>
      </c>
      <c r="C2135">
        <v>399.27999877929688</v>
      </c>
      <c r="D2135">
        <v>377.29000854492188</v>
      </c>
      <c r="E2135">
        <v>391.39999389648438</v>
      </c>
      <c r="F2135">
        <v>62287300</v>
      </c>
      <c r="G2135" s="2" t="s">
        <v>16</v>
      </c>
      <c r="H2135">
        <v>-5.0643694180096954E-2</v>
      </c>
      <c r="I2135">
        <v>156.94178734458433</v>
      </c>
      <c r="J2135">
        <v>364.16259918212893</v>
      </c>
      <c r="K2135">
        <v>3.6797553269577414</v>
      </c>
      <c r="L2135">
        <v>0</v>
      </c>
      <c r="M2135" t="str">
        <f>VLOOKUP(fact_daily_prices[[#This Row],[Ticker]], dim_company[], 2, FALSE)</f>
        <v>Tesla Inc.</v>
      </c>
      <c r="N2135" t="str">
        <f>VLOOKUP(fact_daily_prices[[#This Row],[Ticker]], dim_company[], 3, FALSE)</f>
        <v>Consumer Discretionary</v>
      </c>
    </row>
    <row r="2136" spans="1:14" x14ac:dyDescent="0.3">
      <c r="A2136" s="1">
        <v>45670</v>
      </c>
      <c r="B2136">
        <v>403.30999755859375</v>
      </c>
      <c r="C2136">
        <v>403.79000854492188</v>
      </c>
      <c r="D2136">
        <v>380.07000732421881</v>
      </c>
      <c r="E2136">
        <v>383.20999145507813</v>
      </c>
      <c r="F2136">
        <v>67580500</v>
      </c>
      <c r="G2136" s="2" t="s">
        <v>16</v>
      </c>
      <c r="H2136">
        <v>2.1710512074366584</v>
      </c>
      <c r="I2136">
        <v>160.3490739137016</v>
      </c>
      <c r="J2136">
        <v>367.03839935302733</v>
      </c>
      <c r="K2136">
        <v>3.6886372533663927</v>
      </c>
      <c r="L2136">
        <v>0</v>
      </c>
      <c r="M2136" t="str">
        <f>VLOOKUP(fact_daily_prices[[#This Row],[Ticker]], dim_company[], 2, FALSE)</f>
        <v>Tesla Inc.</v>
      </c>
      <c r="N2136" t="str">
        <f>VLOOKUP(fact_daily_prices[[#This Row],[Ticker]], dim_company[], 3, FALSE)</f>
        <v>Consumer Discretionary</v>
      </c>
    </row>
    <row r="2137" spans="1:14" x14ac:dyDescent="0.3">
      <c r="A2137" s="1">
        <v>45671</v>
      </c>
      <c r="B2137">
        <v>396.3599853515625</v>
      </c>
      <c r="C2137">
        <v>422.6400146484375</v>
      </c>
      <c r="D2137">
        <v>394.54000854492188</v>
      </c>
      <c r="E2137">
        <v>414.33999633789063</v>
      </c>
      <c r="F2137">
        <v>84565000</v>
      </c>
      <c r="G2137" s="2" t="s">
        <v>16</v>
      </c>
      <c r="H2137">
        <v>-1.7232432245921525</v>
      </c>
      <c r="I2137">
        <v>157.58586936178747</v>
      </c>
      <c r="J2137">
        <v>369.81459930419919</v>
      </c>
      <c r="K2137">
        <v>3.7125073377636393</v>
      </c>
      <c r="L2137">
        <v>0</v>
      </c>
      <c r="M2137" t="str">
        <f>VLOOKUP(fact_daily_prices[[#This Row],[Ticker]], dim_company[], 2, FALSE)</f>
        <v>Tesla Inc.</v>
      </c>
      <c r="N2137" t="str">
        <f>VLOOKUP(fact_daily_prices[[#This Row],[Ticker]], dim_company[], 3, FALSE)</f>
        <v>Consumer Discretionary</v>
      </c>
    </row>
    <row r="2138" spans="1:14" x14ac:dyDescent="0.3">
      <c r="A2138" s="1">
        <v>45672</v>
      </c>
      <c r="B2138">
        <v>428.22000122070313</v>
      </c>
      <c r="C2138">
        <v>429.79998779296881</v>
      </c>
      <c r="D2138">
        <v>405.66000366210938</v>
      </c>
      <c r="E2138">
        <v>409.89999389648438</v>
      </c>
      <c r="F2138">
        <v>81375500</v>
      </c>
      <c r="G2138" s="2" t="s">
        <v>16</v>
      </c>
      <c r="H2138">
        <v>8.0381514397527951</v>
      </c>
      <c r="I2138">
        <v>170.25286018873896</v>
      </c>
      <c r="J2138">
        <v>373.38199920654296</v>
      </c>
      <c r="K2138">
        <v>3.9469557710322221</v>
      </c>
      <c r="L2138">
        <v>0</v>
      </c>
      <c r="M2138" t="str">
        <f>VLOOKUP(fact_daily_prices[[#This Row],[Ticker]], dim_company[], 2, FALSE)</f>
        <v>Tesla Inc.</v>
      </c>
      <c r="N2138" t="str">
        <f>VLOOKUP(fact_daily_prices[[#This Row],[Ticker]], dim_company[], 3, FALSE)</f>
        <v>Consumer Discretionary</v>
      </c>
    </row>
    <row r="2139" spans="1:14" x14ac:dyDescent="0.3">
      <c r="A2139" s="1">
        <v>45673</v>
      </c>
      <c r="B2139">
        <v>413.82000732421881</v>
      </c>
      <c r="C2139">
        <v>424</v>
      </c>
      <c r="D2139">
        <v>409.1300048828125</v>
      </c>
      <c r="E2139">
        <v>423.489990234375</v>
      </c>
      <c r="F2139">
        <v>68335200</v>
      </c>
      <c r="G2139" s="2" t="s">
        <v>16</v>
      </c>
      <c r="H2139">
        <v>-3.3627560262096678</v>
      </c>
      <c r="I2139">
        <v>164.52767187294782</v>
      </c>
      <c r="J2139">
        <v>376.67879943847657</v>
      </c>
      <c r="K2139">
        <v>3.9846287738416302</v>
      </c>
      <c r="L2139">
        <v>0</v>
      </c>
      <c r="M2139" t="str">
        <f>VLOOKUP(fact_daily_prices[[#This Row],[Ticker]], dim_company[], 2, FALSE)</f>
        <v>Tesla Inc.</v>
      </c>
      <c r="N2139" t="str">
        <f>VLOOKUP(fact_daily_prices[[#This Row],[Ticker]], dim_company[], 3, FALSE)</f>
        <v>Consumer Discretionary</v>
      </c>
    </row>
    <row r="2140" spans="1:14" x14ac:dyDescent="0.3">
      <c r="A2140" s="1">
        <v>45674</v>
      </c>
      <c r="B2140">
        <v>426.5</v>
      </c>
      <c r="C2140">
        <v>439.739990234375</v>
      </c>
      <c r="D2140">
        <v>419.75</v>
      </c>
      <c r="E2140">
        <v>421.5</v>
      </c>
      <c r="F2140">
        <v>94991400</v>
      </c>
      <c r="G2140" s="2" t="s">
        <v>16</v>
      </c>
      <c r="H2140">
        <v>3.0641323404759113</v>
      </c>
      <c r="I2140">
        <v>169.5690174758389</v>
      </c>
      <c r="J2140">
        <v>380.35199951171876</v>
      </c>
      <c r="K2140">
        <v>3.9883344342846798</v>
      </c>
      <c r="L2140">
        <v>0</v>
      </c>
      <c r="M2140" t="str">
        <f>VLOOKUP(fact_daily_prices[[#This Row],[Ticker]], dim_company[], 2, FALSE)</f>
        <v>Tesla Inc.</v>
      </c>
      <c r="N2140" t="str">
        <f>VLOOKUP(fact_daily_prices[[#This Row],[Ticker]], dim_company[], 3, FALSE)</f>
        <v>Consumer Discretionary</v>
      </c>
    </row>
    <row r="2141" spans="1:14" x14ac:dyDescent="0.3">
      <c r="A2141" s="1">
        <v>45678</v>
      </c>
      <c r="B2141">
        <v>424.07000732421881</v>
      </c>
      <c r="C2141">
        <v>433.20001220703131</v>
      </c>
      <c r="D2141">
        <v>406.30999755859375</v>
      </c>
      <c r="E2141">
        <v>432.6400146484375</v>
      </c>
      <c r="F2141">
        <v>87320900</v>
      </c>
      <c r="G2141" s="2" t="s">
        <v>16</v>
      </c>
      <c r="H2141">
        <v>-0.56975209279747085</v>
      </c>
      <c r="I2141">
        <v>168.6028944500342</v>
      </c>
      <c r="J2141">
        <v>383.80459960937497</v>
      </c>
      <c r="K2141">
        <v>3.9892109687757373</v>
      </c>
      <c r="L2141">
        <v>0</v>
      </c>
      <c r="M2141" t="str">
        <f>VLOOKUP(fact_daily_prices[[#This Row],[Ticker]], dim_company[], 2, FALSE)</f>
        <v>Tesla Inc.</v>
      </c>
      <c r="N2141" t="str">
        <f>VLOOKUP(fact_daily_prices[[#This Row],[Ticker]], dim_company[], 3, FALSE)</f>
        <v>Consumer Discretionary</v>
      </c>
    </row>
    <row r="2142" spans="1:14" x14ac:dyDescent="0.3">
      <c r="A2142" s="1">
        <v>45679</v>
      </c>
      <c r="B2142">
        <v>415.1099853515625</v>
      </c>
      <c r="C2142">
        <v>428</v>
      </c>
      <c r="D2142">
        <v>414.58999633789063</v>
      </c>
      <c r="E2142">
        <v>416.80999755859375</v>
      </c>
      <c r="F2142">
        <v>60963300</v>
      </c>
      <c r="G2142" s="2" t="s">
        <v>16</v>
      </c>
      <c r="H2142">
        <v>-2.112863871036752</v>
      </c>
      <c r="I2142">
        <v>165.04054480767724</v>
      </c>
      <c r="J2142">
        <v>386.33619934082031</v>
      </c>
      <c r="K2142">
        <v>3.9889985625992517</v>
      </c>
      <c r="L2142">
        <v>0</v>
      </c>
      <c r="M2142" t="str">
        <f>VLOOKUP(fact_daily_prices[[#This Row],[Ticker]], dim_company[], 2, FALSE)</f>
        <v>Tesla Inc.</v>
      </c>
      <c r="N2142" t="str">
        <f>VLOOKUP(fact_daily_prices[[#This Row],[Ticker]], dim_company[], 3, FALSE)</f>
        <v>Consumer Discretionary</v>
      </c>
    </row>
    <row r="2143" spans="1:14" x14ac:dyDescent="0.3">
      <c r="A2143" s="1">
        <v>45680</v>
      </c>
      <c r="B2143">
        <v>412.3800048828125</v>
      </c>
      <c r="C2143">
        <v>420.73001098632813</v>
      </c>
      <c r="D2143">
        <v>408.95001220703131</v>
      </c>
      <c r="E2143">
        <v>416.05999755859375</v>
      </c>
      <c r="F2143">
        <v>50690600</v>
      </c>
      <c r="G2143" s="2" t="s">
        <v>16</v>
      </c>
      <c r="H2143">
        <v>-0.65765232470569313</v>
      </c>
      <c r="I2143">
        <v>163.9551518280426</v>
      </c>
      <c r="J2143">
        <v>388.64559936523438</v>
      </c>
      <c r="K2143">
        <v>3.8851890087230516</v>
      </c>
      <c r="L2143">
        <v>0</v>
      </c>
      <c r="M2143" t="str">
        <f>VLOOKUP(fact_daily_prices[[#This Row],[Ticker]], dim_company[], 2, FALSE)</f>
        <v>Tesla Inc.</v>
      </c>
      <c r="N2143" t="str">
        <f>VLOOKUP(fact_daily_prices[[#This Row],[Ticker]], dim_company[], 3, FALSE)</f>
        <v>Consumer Discretionary</v>
      </c>
    </row>
    <row r="2144" spans="1:14" x14ac:dyDescent="0.3">
      <c r="A2144" s="1">
        <v>45681</v>
      </c>
      <c r="B2144">
        <v>406.57998657226563</v>
      </c>
      <c r="C2144">
        <v>418.8800048828125</v>
      </c>
      <c r="D2144">
        <v>405.77999877929688</v>
      </c>
      <c r="E2144">
        <v>414.45001220703131</v>
      </c>
      <c r="F2144">
        <v>56427100</v>
      </c>
      <c r="G2144" s="2" t="s">
        <v>16</v>
      </c>
      <c r="H2144">
        <v>-1.4064741844588391</v>
      </c>
      <c r="I2144">
        <v>161.64916494349086</v>
      </c>
      <c r="J2144">
        <v>390.35279907226561</v>
      </c>
      <c r="K2144">
        <v>3.8971476817146122</v>
      </c>
      <c r="L2144">
        <v>0</v>
      </c>
      <c r="M2144" t="str">
        <f>VLOOKUP(fact_daily_prices[[#This Row],[Ticker]], dim_company[], 2, FALSE)</f>
        <v>Tesla Inc.</v>
      </c>
      <c r="N2144" t="str">
        <f>VLOOKUP(fact_daily_prices[[#This Row],[Ticker]], dim_company[], 3, FALSE)</f>
        <v>Consumer Discretionary</v>
      </c>
    </row>
    <row r="2145" spans="1:14" x14ac:dyDescent="0.3">
      <c r="A2145" s="1">
        <v>45684</v>
      </c>
      <c r="B2145">
        <v>397.14999389648438</v>
      </c>
      <c r="C2145">
        <v>406.69000244140631</v>
      </c>
      <c r="D2145">
        <v>389</v>
      </c>
      <c r="E2145">
        <v>394.79998779296881</v>
      </c>
      <c r="F2145">
        <v>58125500</v>
      </c>
      <c r="G2145" s="2" t="s">
        <v>16</v>
      </c>
      <c r="H2145">
        <v>-2.3193450212053546</v>
      </c>
      <c r="I2145">
        <v>157.89996308455397</v>
      </c>
      <c r="J2145">
        <v>391.29579895019532</v>
      </c>
      <c r="K2145">
        <v>3.8902288417259268</v>
      </c>
      <c r="L2145">
        <v>0</v>
      </c>
      <c r="M2145" t="str">
        <f>VLOOKUP(fact_daily_prices[[#This Row],[Ticker]], dim_company[], 2, FALSE)</f>
        <v>Tesla Inc.</v>
      </c>
      <c r="N2145" t="str">
        <f>VLOOKUP(fact_daily_prices[[#This Row],[Ticker]], dim_company[], 3, FALSE)</f>
        <v>Consumer Discretionary</v>
      </c>
    </row>
    <row r="2146" spans="1:14" x14ac:dyDescent="0.3">
      <c r="A2146" s="1">
        <v>45685</v>
      </c>
      <c r="B2146">
        <v>398.08999633789063</v>
      </c>
      <c r="C2146">
        <v>400.58999633789063</v>
      </c>
      <c r="D2146">
        <v>386.5</v>
      </c>
      <c r="E2146">
        <v>396.91000366210938</v>
      </c>
      <c r="F2146">
        <v>48910700</v>
      </c>
      <c r="G2146" s="2" t="s">
        <v>16</v>
      </c>
      <c r="H2146">
        <v>0.23668700890153715</v>
      </c>
      <c r="I2146">
        <v>158.27369178423544</v>
      </c>
      <c r="J2146">
        <v>392.68779907226565</v>
      </c>
      <c r="K2146">
        <v>3.7284771866724937</v>
      </c>
      <c r="L2146">
        <v>0</v>
      </c>
      <c r="M2146" t="str">
        <f>VLOOKUP(fact_daily_prices[[#This Row],[Ticker]], dim_company[], 2, FALSE)</f>
        <v>Tesla Inc.</v>
      </c>
      <c r="N2146" t="str">
        <f>VLOOKUP(fact_daily_prices[[#This Row],[Ticker]], dim_company[], 3, FALSE)</f>
        <v>Consumer Discretionary</v>
      </c>
    </row>
    <row r="2147" spans="1:14" x14ac:dyDescent="0.3">
      <c r="A2147" s="1">
        <v>45686</v>
      </c>
      <c r="B2147">
        <v>389.10000610351563</v>
      </c>
      <c r="C2147">
        <v>398.58999633789063</v>
      </c>
      <c r="D2147">
        <v>384.48001098632813</v>
      </c>
      <c r="E2147">
        <v>395.20999145507813</v>
      </c>
      <c r="F2147">
        <v>68033600</v>
      </c>
      <c r="G2147" s="2" t="s">
        <v>16</v>
      </c>
      <c r="H2147">
        <v>-2.2582808704252111</v>
      </c>
      <c r="I2147">
        <v>154.69942727975632</v>
      </c>
      <c r="J2147">
        <v>393.86499938964846</v>
      </c>
      <c r="K2147">
        <v>3.7396152721296279</v>
      </c>
      <c r="L2147">
        <v>0</v>
      </c>
      <c r="M2147" t="str">
        <f>VLOOKUP(fact_daily_prices[[#This Row],[Ticker]], dim_company[], 2, FALSE)</f>
        <v>Tesla Inc.</v>
      </c>
      <c r="N2147" t="str">
        <f>VLOOKUP(fact_daily_prices[[#This Row],[Ticker]], dim_company[], 3, FALSE)</f>
        <v>Consumer Discretionary</v>
      </c>
    </row>
    <row r="2148" spans="1:14" x14ac:dyDescent="0.3">
      <c r="A2148" s="1">
        <v>45687</v>
      </c>
      <c r="B2148">
        <v>400.27999877929688</v>
      </c>
      <c r="C2148">
        <v>412.5</v>
      </c>
      <c r="D2148">
        <v>384.41000366210938</v>
      </c>
      <c r="E2148">
        <v>410.77999877929688</v>
      </c>
      <c r="F2148">
        <v>98092900</v>
      </c>
      <c r="G2148" s="2" t="s">
        <v>16</v>
      </c>
      <c r="H2148">
        <v>2.8732954254456988</v>
      </c>
      <c r="I2148">
        <v>159.14439884697623</v>
      </c>
      <c r="J2148">
        <v>395.64699951171878</v>
      </c>
      <c r="K2148">
        <v>3.687970588088358</v>
      </c>
      <c r="L2148">
        <v>0</v>
      </c>
      <c r="M2148" t="str">
        <f>VLOOKUP(fact_daily_prices[[#This Row],[Ticker]], dim_company[], 2, FALSE)</f>
        <v>Tesla Inc.</v>
      </c>
      <c r="N2148" t="str">
        <f>VLOOKUP(fact_daily_prices[[#This Row],[Ticker]], dim_company[], 3, FALSE)</f>
        <v>Consumer Discretionary</v>
      </c>
    </row>
    <row r="2149" spans="1:14" x14ac:dyDescent="0.3">
      <c r="A2149" s="1">
        <v>45688</v>
      </c>
      <c r="B2149">
        <v>404.60000610351563</v>
      </c>
      <c r="C2149">
        <v>419.989990234375</v>
      </c>
      <c r="D2149">
        <v>401.33999633789063</v>
      </c>
      <c r="E2149">
        <v>401.52999877929688</v>
      </c>
      <c r="F2149">
        <v>83283600</v>
      </c>
      <c r="G2149" s="2" t="s">
        <v>16</v>
      </c>
      <c r="H2149">
        <v>1.0792463618949588</v>
      </c>
      <c r="I2149">
        <v>160.86195898169186</v>
      </c>
      <c r="J2149">
        <v>397.32459960937501</v>
      </c>
      <c r="K2149">
        <v>3.4977135637870753</v>
      </c>
      <c r="L2149">
        <v>0</v>
      </c>
      <c r="M2149" t="str">
        <f>VLOOKUP(fact_daily_prices[[#This Row],[Ticker]], dim_company[], 2, FALSE)</f>
        <v>Tesla Inc.</v>
      </c>
      <c r="N2149" t="str">
        <f>VLOOKUP(fact_daily_prices[[#This Row],[Ticker]], dim_company[], 3, FALSE)</f>
        <v>Consumer Discretionary</v>
      </c>
    </row>
    <row r="2150" spans="1:14" x14ac:dyDescent="0.3">
      <c r="A2150" s="1">
        <v>45691</v>
      </c>
      <c r="B2150">
        <v>383.67999267578131</v>
      </c>
      <c r="C2150">
        <v>389.17001342773438</v>
      </c>
      <c r="D2150">
        <v>374.3599853515625</v>
      </c>
      <c r="E2150">
        <v>386.67999267578131</v>
      </c>
      <c r="F2150">
        <v>93732100</v>
      </c>
      <c r="G2150" s="2" t="s">
        <v>16</v>
      </c>
      <c r="H2150">
        <v>-5.1705420445253285</v>
      </c>
      <c r="I2150">
        <v>152.54452375889639</v>
      </c>
      <c r="J2150">
        <v>398.22339965820311</v>
      </c>
      <c r="K2150">
        <v>3.6036094385297561</v>
      </c>
      <c r="L2150">
        <v>0</v>
      </c>
      <c r="M2150" t="str">
        <f>VLOOKUP(fact_daily_prices[[#This Row],[Ticker]], dim_company[], 2, FALSE)</f>
        <v>Tesla Inc.</v>
      </c>
      <c r="N2150" t="str">
        <f>VLOOKUP(fact_daily_prices[[#This Row],[Ticker]], dim_company[], 3, FALSE)</f>
        <v>Consumer Discretionary</v>
      </c>
    </row>
    <row r="2151" spans="1:14" x14ac:dyDescent="0.3">
      <c r="A2151" s="1">
        <v>45692</v>
      </c>
      <c r="B2151">
        <v>392.20999145507813</v>
      </c>
      <c r="C2151">
        <v>394</v>
      </c>
      <c r="D2151">
        <v>381.39999389648438</v>
      </c>
      <c r="E2151">
        <v>382.6300048828125</v>
      </c>
      <c r="F2151">
        <v>57072200</v>
      </c>
      <c r="G2151" s="2" t="s">
        <v>16</v>
      </c>
      <c r="H2151">
        <v>2.2232065633156051</v>
      </c>
      <c r="I2151">
        <v>155.93590362308271</v>
      </c>
      <c r="J2151">
        <v>399.14759948730466</v>
      </c>
      <c r="K2151">
        <v>3.5401581062286076</v>
      </c>
      <c r="L2151">
        <v>0</v>
      </c>
      <c r="M2151" t="str">
        <f>VLOOKUP(fact_daily_prices[[#This Row],[Ticker]], dim_company[], 2, FALSE)</f>
        <v>Tesla Inc.</v>
      </c>
      <c r="N2151" t="str">
        <f>VLOOKUP(fact_daily_prices[[#This Row],[Ticker]], dim_company[], 3, FALSE)</f>
        <v>Consumer Discretionary</v>
      </c>
    </row>
    <row r="2152" spans="1:14" x14ac:dyDescent="0.3">
      <c r="A2152" s="1">
        <v>45693</v>
      </c>
      <c r="B2152">
        <v>378.17001342773438</v>
      </c>
      <c r="C2152">
        <v>388.3900146484375</v>
      </c>
      <c r="D2152">
        <v>375.52999877929688</v>
      </c>
      <c r="E2152">
        <v>387.510009765625</v>
      </c>
      <c r="F2152">
        <v>57223300</v>
      </c>
      <c r="G2152" s="2" t="s">
        <v>16</v>
      </c>
      <c r="H2152">
        <v>-3.5797094243459227</v>
      </c>
      <c r="I2152">
        <v>150.35385138514823</v>
      </c>
      <c r="J2152">
        <v>399.87039978027343</v>
      </c>
      <c r="K2152">
        <v>3.5886763691160701</v>
      </c>
      <c r="L2152">
        <v>0</v>
      </c>
      <c r="M2152" t="str">
        <f>VLOOKUP(fact_daily_prices[[#This Row],[Ticker]], dim_company[], 2, FALSE)</f>
        <v>Tesla Inc.</v>
      </c>
      <c r="N2152" t="str">
        <f>VLOOKUP(fact_daily_prices[[#This Row],[Ticker]], dim_company[], 3, FALSE)</f>
        <v>Consumer Discretionary</v>
      </c>
    </row>
    <row r="2153" spans="1:14" x14ac:dyDescent="0.3">
      <c r="A2153" s="1">
        <v>45694</v>
      </c>
      <c r="B2153">
        <v>374.32000732421881</v>
      </c>
      <c r="C2153">
        <v>375.39999389648438</v>
      </c>
      <c r="D2153">
        <v>363.17999267578131</v>
      </c>
      <c r="E2153">
        <v>373.02999877929688</v>
      </c>
      <c r="F2153">
        <v>77918200</v>
      </c>
      <c r="G2153" s="2" t="s">
        <v>16</v>
      </c>
      <c r="H2153">
        <v>-1.0180622383618165</v>
      </c>
      <c r="I2153">
        <v>148.8231556002734</v>
      </c>
      <c r="J2153">
        <v>400.56399963378908</v>
      </c>
      <c r="K2153">
        <v>3.5444756667406532</v>
      </c>
      <c r="L2153">
        <v>0</v>
      </c>
      <c r="M2153" t="str">
        <f>VLOOKUP(fact_daily_prices[[#This Row],[Ticker]], dim_company[], 2, FALSE)</f>
        <v>Tesla Inc.</v>
      </c>
      <c r="N2153" t="str">
        <f>VLOOKUP(fact_daily_prices[[#This Row],[Ticker]], dim_company[], 3, FALSE)</f>
        <v>Consumer Discretionary</v>
      </c>
    </row>
    <row r="2154" spans="1:14" x14ac:dyDescent="0.3">
      <c r="A2154" s="1">
        <v>45695</v>
      </c>
      <c r="B2154">
        <v>361.6199951171875</v>
      </c>
      <c r="C2154">
        <v>380.54998779296881</v>
      </c>
      <c r="D2154">
        <v>360.33999633789063</v>
      </c>
      <c r="E2154">
        <v>370.19000244140631</v>
      </c>
      <c r="F2154">
        <v>70298300</v>
      </c>
      <c r="G2154" s="2" t="s">
        <v>16</v>
      </c>
      <c r="H2154">
        <v>-3.3928221731496011</v>
      </c>
      <c r="I2154">
        <v>143.77385057828639</v>
      </c>
      <c r="J2154">
        <v>400.74519958496091</v>
      </c>
      <c r="K2154">
        <v>3.5520519039902352</v>
      </c>
      <c r="L2154">
        <v>0</v>
      </c>
      <c r="M2154" t="str">
        <f>VLOOKUP(fact_daily_prices[[#This Row],[Ticker]], dim_company[], 2, FALSE)</f>
        <v>Tesla Inc.</v>
      </c>
      <c r="N2154" t="str">
        <f>VLOOKUP(fact_daily_prices[[#This Row],[Ticker]], dim_company[], 3, FALSE)</f>
        <v>Consumer Discretionary</v>
      </c>
    </row>
    <row r="2155" spans="1:14" x14ac:dyDescent="0.3">
      <c r="A2155" s="1">
        <v>45698</v>
      </c>
      <c r="B2155">
        <v>350.73001098632813</v>
      </c>
      <c r="C2155">
        <v>362.70001220703131</v>
      </c>
      <c r="D2155">
        <v>350.510009765625</v>
      </c>
      <c r="E2155">
        <v>356.20999145507813</v>
      </c>
      <c r="F2155">
        <v>77514900</v>
      </c>
      <c r="G2155" s="2" t="s">
        <v>16</v>
      </c>
      <c r="H2155">
        <v>-3.0114441341470455</v>
      </c>
      <c r="I2155">
        <v>139.44418138860925</v>
      </c>
      <c r="J2155">
        <v>400.98799987792967</v>
      </c>
      <c r="K2155">
        <v>3.5792946797965222</v>
      </c>
      <c r="L2155">
        <v>0</v>
      </c>
      <c r="M2155" t="str">
        <f>VLOOKUP(fact_daily_prices[[#This Row],[Ticker]], dim_company[], 2, FALSE)</f>
        <v>Tesla Inc.</v>
      </c>
      <c r="N2155" t="str">
        <f>VLOOKUP(fact_daily_prices[[#This Row],[Ticker]], dim_company[], 3, FALSE)</f>
        <v>Consumer Discretionary</v>
      </c>
    </row>
    <row r="2156" spans="1:14" x14ac:dyDescent="0.3">
      <c r="A2156" s="1">
        <v>45699</v>
      </c>
      <c r="B2156">
        <v>328.5</v>
      </c>
      <c r="C2156">
        <v>349.3699951171875</v>
      </c>
      <c r="D2156">
        <v>325.10000610351563</v>
      </c>
      <c r="E2156">
        <v>345.79998779296875</v>
      </c>
      <c r="F2156">
        <v>118543400</v>
      </c>
      <c r="G2156" s="2" t="s">
        <v>16</v>
      </c>
      <c r="H2156">
        <v>-6.3382118125028919</v>
      </c>
      <c r="I2156">
        <v>130.60591381198847</v>
      </c>
      <c r="J2156">
        <v>400.7933996582031</v>
      </c>
      <c r="K2156">
        <v>3.5357863341523714</v>
      </c>
      <c r="L2156">
        <v>0</v>
      </c>
      <c r="M2156" t="str">
        <f>VLOOKUP(fact_daily_prices[[#This Row],[Ticker]], dim_company[], 2, FALSE)</f>
        <v>Tesla Inc.</v>
      </c>
      <c r="N2156" t="str">
        <f>VLOOKUP(fact_daily_prices[[#This Row],[Ticker]], dim_company[], 3, FALSE)</f>
        <v>Consumer Discretionary</v>
      </c>
    </row>
    <row r="2157" spans="1:14" x14ac:dyDescent="0.3">
      <c r="A2157" s="1">
        <v>45700</v>
      </c>
      <c r="B2157">
        <v>336.510009765625</v>
      </c>
      <c r="C2157">
        <v>346.39999389648438</v>
      </c>
      <c r="D2157">
        <v>329.1199951171875</v>
      </c>
      <c r="E2157">
        <v>329.94000244140625</v>
      </c>
      <c r="F2157">
        <v>105382700</v>
      </c>
      <c r="G2157" s="2" t="s">
        <v>16</v>
      </c>
      <c r="H2157">
        <v>2.4383591371765601</v>
      </c>
      <c r="I2157">
        <v>133.79055504511604</v>
      </c>
      <c r="J2157">
        <v>400.75899963378907</v>
      </c>
      <c r="K2157">
        <v>3.509468376346816</v>
      </c>
      <c r="L2157">
        <v>0</v>
      </c>
      <c r="M2157" t="str">
        <f>VLOOKUP(fact_daily_prices[[#This Row],[Ticker]], dim_company[], 2, FALSE)</f>
        <v>Tesla Inc.</v>
      </c>
      <c r="N2157" t="str">
        <f>VLOOKUP(fact_daily_prices[[#This Row],[Ticker]], dim_company[], 3, FALSE)</f>
        <v>Consumer Discretionary</v>
      </c>
    </row>
    <row r="2158" spans="1:14" x14ac:dyDescent="0.3">
      <c r="A2158" s="1">
        <v>45701</v>
      </c>
      <c r="B2158">
        <v>355.94000244140625</v>
      </c>
      <c r="C2158">
        <v>358.69000244140625</v>
      </c>
      <c r="D2158">
        <v>342.85000610351563</v>
      </c>
      <c r="E2158">
        <v>345</v>
      </c>
      <c r="F2158">
        <v>89441500</v>
      </c>
      <c r="G2158" s="2" t="s">
        <v>16</v>
      </c>
      <c r="H2158">
        <v>5.7739716834319443</v>
      </c>
      <c r="I2158">
        <v>141.51558380852745</v>
      </c>
      <c r="J2158">
        <v>400.97459960937499</v>
      </c>
      <c r="K2158">
        <v>3.6709668160532853</v>
      </c>
      <c r="L2158">
        <v>0</v>
      </c>
      <c r="M2158" t="str">
        <f>VLOOKUP(fact_daily_prices[[#This Row],[Ticker]], dim_company[], 2, FALSE)</f>
        <v>Tesla Inc.</v>
      </c>
      <c r="N2158" t="str">
        <f>VLOOKUP(fact_daily_prices[[#This Row],[Ticker]], dim_company[], 3, FALSE)</f>
        <v>Consumer Discretionary</v>
      </c>
    </row>
    <row r="2159" spans="1:14" x14ac:dyDescent="0.3">
      <c r="A2159" s="1">
        <v>45702</v>
      </c>
      <c r="B2159">
        <v>355.83999633789063</v>
      </c>
      <c r="C2159">
        <v>362</v>
      </c>
      <c r="D2159">
        <v>347.5</v>
      </c>
      <c r="E2159">
        <v>360.6199951171875</v>
      </c>
      <c r="F2159">
        <v>68277300</v>
      </c>
      <c r="G2159" s="2" t="s">
        <v>16</v>
      </c>
      <c r="H2159">
        <v>-2.8096337256189319E-2</v>
      </c>
      <c r="I2159">
        <v>141.47582311283054</v>
      </c>
      <c r="J2159">
        <v>400.94959960937501</v>
      </c>
      <c r="K2159">
        <v>3.6335976402653793</v>
      </c>
      <c r="L2159">
        <v>0</v>
      </c>
      <c r="M2159" t="str">
        <f>VLOOKUP(fact_daily_prices[[#This Row],[Ticker]], dim_company[], 2, FALSE)</f>
        <v>Tesla Inc.</v>
      </c>
      <c r="N2159" t="str">
        <f>VLOOKUP(fact_daily_prices[[#This Row],[Ticker]], dim_company[], 3, FALSE)</f>
        <v>Consumer Discretionary</v>
      </c>
    </row>
    <row r="2160" spans="1:14" x14ac:dyDescent="0.3">
      <c r="A2160" s="1">
        <v>45706</v>
      </c>
      <c r="B2160">
        <v>354.1099853515625</v>
      </c>
      <c r="C2160">
        <v>359.10000610351563</v>
      </c>
      <c r="D2160">
        <v>350.01998901367188</v>
      </c>
      <c r="E2160">
        <v>355.010009765625</v>
      </c>
      <c r="F2160">
        <v>51631700</v>
      </c>
      <c r="G2160" s="2" t="s">
        <v>16</v>
      </c>
      <c r="H2160">
        <v>-0.48617665358937634</v>
      </c>
      <c r="I2160">
        <v>140.78800069038255</v>
      </c>
      <c r="J2160">
        <v>401.00339904785159</v>
      </c>
      <c r="K2160">
        <v>3.4695629155556662</v>
      </c>
      <c r="L2160">
        <v>0</v>
      </c>
      <c r="M2160" t="str">
        <f>VLOOKUP(fact_daily_prices[[#This Row],[Ticker]], dim_company[], 2, FALSE)</f>
        <v>Tesla Inc.</v>
      </c>
      <c r="N2160" t="str">
        <f>VLOOKUP(fact_daily_prices[[#This Row],[Ticker]], dim_company[], 3, FALSE)</f>
        <v>Consumer Discretionary</v>
      </c>
    </row>
    <row r="2161" spans="1:14" x14ac:dyDescent="0.3">
      <c r="A2161" s="1">
        <v>45707</v>
      </c>
      <c r="B2161">
        <v>360.55999755859375</v>
      </c>
      <c r="C2161">
        <v>367.33999633789063</v>
      </c>
      <c r="D2161">
        <v>353.67001342773438</v>
      </c>
      <c r="E2161">
        <v>354</v>
      </c>
      <c r="F2161">
        <v>67094400</v>
      </c>
      <c r="G2161" s="2" t="s">
        <v>16</v>
      </c>
      <c r="H2161">
        <v>1.8214714280444966</v>
      </c>
      <c r="I2161">
        <v>143.35241389707295</v>
      </c>
      <c r="J2161">
        <v>401.05599914550783</v>
      </c>
      <c r="K2161">
        <v>3.1148573320665713</v>
      </c>
      <c r="L2161">
        <v>0</v>
      </c>
      <c r="M2161" t="str">
        <f>VLOOKUP(fact_daily_prices[[#This Row],[Ticker]], dim_company[], 2, FALSE)</f>
        <v>Tesla Inc.</v>
      </c>
      <c r="N2161" t="str">
        <f>VLOOKUP(fact_daily_prices[[#This Row],[Ticker]], dim_company[], 3, FALSE)</f>
        <v>Consumer Discretionary</v>
      </c>
    </row>
    <row r="2162" spans="1:14" x14ac:dyDescent="0.3">
      <c r="A2162" s="1">
        <v>45708</v>
      </c>
      <c r="B2162">
        <v>354.39999389648438</v>
      </c>
      <c r="C2162">
        <v>362.29998779296881</v>
      </c>
      <c r="D2162">
        <v>348</v>
      </c>
      <c r="E2162">
        <v>361.510009765625</v>
      </c>
      <c r="F2162">
        <v>45965400</v>
      </c>
      <c r="G2162" s="2" t="s">
        <v>16</v>
      </c>
      <c r="H2162">
        <v>-1.708454543992588</v>
      </c>
      <c r="I2162">
        <v>140.90330306792535</v>
      </c>
      <c r="J2162">
        <v>400.75419921874999</v>
      </c>
      <c r="K2162">
        <v>3.1223439010041592</v>
      </c>
      <c r="L2162">
        <v>0</v>
      </c>
      <c r="M2162" t="str">
        <f>VLOOKUP(fact_daily_prices[[#This Row],[Ticker]], dim_company[], 2, FALSE)</f>
        <v>Tesla Inc.</v>
      </c>
      <c r="N2162" t="str">
        <f>VLOOKUP(fact_daily_prices[[#This Row],[Ticker]], dim_company[], 3, FALSE)</f>
        <v>Consumer Discretionary</v>
      </c>
    </row>
    <row r="2163" spans="1:14" x14ac:dyDescent="0.3">
      <c r="A2163" s="1">
        <v>45709</v>
      </c>
      <c r="B2163">
        <v>337.79998779296875</v>
      </c>
      <c r="C2163">
        <v>354.98001098632813</v>
      </c>
      <c r="D2163">
        <v>334.42001342773438</v>
      </c>
      <c r="E2163">
        <v>353.44000244140625</v>
      </c>
      <c r="F2163">
        <v>74058600</v>
      </c>
      <c r="G2163" s="2" t="s">
        <v>16</v>
      </c>
      <c r="H2163">
        <v>-4.6839747148427646</v>
      </c>
      <c r="I2163">
        <v>134.30342797984545</v>
      </c>
      <c r="J2163">
        <v>399.72579895019533</v>
      </c>
      <c r="K2163">
        <v>3.1491959852486384</v>
      </c>
      <c r="L2163">
        <v>0</v>
      </c>
      <c r="M2163" t="str">
        <f>VLOOKUP(fact_daily_prices[[#This Row],[Ticker]], dim_company[], 2, FALSE)</f>
        <v>Tesla Inc.</v>
      </c>
      <c r="N2163" t="str">
        <f>VLOOKUP(fact_daily_prices[[#This Row],[Ticker]], dim_company[], 3, FALSE)</f>
        <v>Consumer Discretionary</v>
      </c>
    </row>
    <row r="2164" spans="1:14" x14ac:dyDescent="0.3">
      <c r="A2164" s="1">
        <v>45712</v>
      </c>
      <c r="B2164">
        <v>330.52999877929688</v>
      </c>
      <c r="C2164">
        <v>342.39999389648438</v>
      </c>
      <c r="D2164">
        <v>324.70001220703125</v>
      </c>
      <c r="E2164">
        <v>338.1400146484375</v>
      </c>
      <c r="F2164">
        <v>76052300</v>
      </c>
      <c r="G2164" s="2" t="s">
        <v>16</v>
      </c>
      <c r="H2164">
        <v>-2.1521578674915554</v>
      </c>
      <c r="I2164">
        <v>131.41300618826637</v>
      </c>
      <c r="J2164">
        <v>398.54059875488281</v>
      </c>
      <c r="K2164">
        <v>3.16168762176315</v>
      </c>
      <c r="L2164">
        <v>0</v>
      </c>
      <c r="M2164" t="str">
        <f>VLOOKUP(fact_daily_prices[[#This Row],[Ticker]], dim_company[], 2, FALSE)</f>
        <v>Tesla Inc.</v>
      </c>
      <c r="N2164" t="str">
        <f>VLOOKUP(fact_daily_prices[[#This Row],[Ticker]], dim_company[], 3, FALSE)</f>
        <v>Consumer Discretionary</v>
      </c>
    </row>
    <row r="2165" spans="1:14" x14ac:dyDescent="0.3">
      <c r="A2165" s="1">
        <v>45713</v>
      </c>
      <c r="B2165">
        <v>302.79998779296875</v>
      </c>
      <c r="C2165">
        <v>328.8900146484375</v>
      </c>
      <c r="D2165">
        <v>297.25</v>
      </c>
      <c r="E2165">
        <v>327.01998901367188</v>
      </c>
      <c r="F2165">
        <v>134228800</v>
      </c>
      <c r="G2165" s="2" t="s">
        <v>16</v>
      </c>
      <c r="H2165">
        <v>-8.3895595222036601</v>
      </c>
      <c r="I2165">
        <v>120.3880338141846</v>
      </c>
      <c r="J2165">
        <v>396.57679870605466</v>
      </c>
      <c r="K2165">
        <v>3.4685196553817685</v>
      </c>
      <c r="L2165">
        <v>0</v>
      </c>
      <c r="M2165" t="str">
        <f>VLOOKUP(fact_daily_prices[[#This Row],[Ticker]], dim_company[], 2, FALSE)</f>
        <v>Tesla Inc.</v>
      </c>
      <c r="N2165" t="str">
        <f>VLOOKUP(fact_daily_prices[[#This Row],[Ticker]], dim_company[], 3, FALSE)</f>
        <v>Consumer Discretionary</v>
      </c>
    </row>
    <row r="2166" spans="1:14" x14ac:dyDescent="0.3">
      <c r="A2166" s="1">
        <v>45714</v>
      </c>
      <c r="B2166">
        <v>290.79998779296875</v>
      </c>
      <c r="C2166">
        <v>309</v>
      </c>
      <c r="D2166">
        <v>288.04000854492188</v>
      </c>
      <c r="E2166">
        <v>303.70999145507813</v>
      </c>
      <c r="F2166">
        <v>100118300</v>
      </c>
      <c r="G2166" s="2" t="s">
        <v>16</v>
      </c>
      <c r="H2166">
        <v>-3.9630120487999076</v>
      </c>
      <c r="I2166">
        <v>115.61704152881514</v>
      </c>
      <c r="J2166">
        <v>393.89739868164065</v>
      </c>
      <c r="K2166">
        <v>3.466816550629241</v>
      </c>
      <c r="L2166">
        <v>0</v>
      </c>
      <c r="M2166" t="str">
        <f>VLOOKUP(fact_daily_prices[[#This Row],[Ticker]], dim_company[], 2, FALSE)</f>
        <v>Tesla Inc.</v>
      </c>
      <c r="N2166" t="str">
        <f>VLOOKUP(fact_daily_prices[[#This Row],[Ticker]], dim_company[], 3, FALSE)</f>
        <v>Consumer Discretionary</v>
      </c>
    </row>
    <row r="2167" spans="1:14" x14ac:dyDescent="0.3">
      <c r="A2167" s="1">
        <v>45715</v>
      </c>
      <c r="B2167">
        <v>281.95001220703125</v>
      </c>
      <c r="C2167">
        <v>297.23001098632813</v>
      </c>
      <c r="D2167">
        <v>280.8800048828125</v>
      </c>
      <c r="E2167">
        <v>291.16000366210938</v>
      </c>
      <c r="F2167">
        <v>101748200</v>
      </c>
      <c r="G2167" s="2" t="s">
        <v>16</v>
      </c>
      <c r="H2167">
        <v>-3.0433204805490277</v>
      </c>
      <c r="I2167">
        <v>112.09844442496384</v>
      </c>
      <c r="J2167">
        <v>391.17439880371091</v>
      </c>
      <c r="K2167">
        <v>3.4843031348279938</v>
      </c>
      <c r="L2167">
        <v>0</v>
      </c>
      <c r="M2167" t="str">
        <f>VLOOKUP(fact_daily_prices[[#This Row],[Ticker]], dim_company[], 2, FALSE)</f>
        <v>Tesla Inc.</v>
      </c>
      <c r="N2167" t="str">
        <f>VLOOKUP(fact_daily_prices[[#This Row],[Ticker]], dim_company[], 3, FALSE)</f>
        <v>Consumer Discretionary</v>
      </c>
    </row>
    <row r="2168" spans="1:14" x14ac:dyDescent="0.3">
      <c r="A2168" s="1">
        <v>45716</v>
      </c>
      <c r="B2168">
        <v>292.98001098632813</v>
      </c>
      <c r="C2168">
        <v>293.8800048828125</v>
      </c>
      <c r="D2168">
        <v>273.60000610351563</v>
      </c>
      <c r="E2168">
        <v>279.5</v>
      </c>
      <c r="F2168">
        <v>115697000</v>
      </c>
      <c r="G2168" s="2" t="s">
        <v>16</v>
      </c>
      <c r="H2168">
        <v>3.9120405397243818</v>
      </c>
      <c r="I2168">
        <v>116.48378101526882</v>
      </c>
      <c r="J2168">
        <v>388.30939880371096</v>
      </c>
      <c r="K2168">
        <v>3.1805679022589408</v>
      </c>
      <c r="L2168">
        <v>0</v>
      </c>
      <c r="M2168" t="str">
        <f>VLOOKUP(fact_daily_prices[[#This Row],[Ticker]], dim_company[], 2, FALSE)</f>
        <v>Tesla Inc.</v>
      </c>
      <c r="N2168" t="str">
        <f>VLOOKUP(fact_daily_prices[[#This Row],[Ticker]], dim_company[], 3, FALSE)</f>
        <v>Consumer Discretionary</v>
      </c>
    </row>
    <row r="2169" spans="1:14" x14ac:dyDescent="0.3">
      <c r="A2169" s="1">
        <v>45719</v>
      </c>
      <c r="B2169">
        <v>284.64999389648438</v>
      </c>
      <c r="C2169">
        <v>303.94000244140625</v>
      </c>
      <c r="D2169">
        <v>277.29998779296875</v>
      </c>
      <c r="E2169">
        <v>300.33999633789063</v>
      </c>
      <c r="F2169">
        <v>115551400</v>
      </c>
      <c r="G2169" s="2" t="s">
        <v>16</v>
      </c>
      <c r="H2169">
        <v>-2.8432032143764441</v>
      </c>
      <c r="I2169">
        <v>113.17191040921546</v>
      </c>
      <c r="J2169">
        <v>384.7419989013672</v>
      </c>
      <c r="K2169">
        <v>3.1698250467989224</v>
      </c>
      <c r="L2169">
        <v>0</v>
      </c>
      <c r="M2169" t="str">
        <f>VLOOKUP(fact_daily_prices[[#This Row],[Ticker]], dim_company[], 2, FALSE)</f>
        <v>Tesla Inc.</v>
      </c>
      <c r="N2169" t="str">
        <f>VLOOKUP(fact_daily_prices[[#This Row],[Ticker]], dim_company[], 3, FALSE)</f>
        <v>Consumer Discretionary</v>
      </c>
    </row>
    <row r="2170" spans="1:14" x14ac:dyDescent="0.3">
      <c r="A2170" s="1">
        <v>45720</v>
      </c>
      <c r="B2170">
        <v>272.04000854492188</v>
      </c>
      <c r="C2170">
        <v>284.35000610351563</v>
      </c>
      <c r="D2170">
        <v>261.83999633789063</v>
      </c>
      <c r="E2170">
        <v>270.92999267578125</v>
      </c>
      <c r="F2170">
        <v>126706600</v>
      </c>
      <c r="G2170" s="2" t="s">
        <v>16</v>
      </c>
      <c r="H2170">
        <v>-4.4299967054094669</v>
      </c>
      <c r="I2170">
        <v>108.15839850663826</v>
      </c>
      <c r="J2170">
        <v>380.92239929199218</v>
      </c>
      <c r="K2170">
        <v>3.1178488198942529</v>
      </c>
      <c r="L2170">
        <v>0</v>
      </c>
      <c r="M2170" t="str">
        <f>VLOOKUP(fact_daily_prices[[#This Row],[Ticker]], dim_company[], 2, FALSE)</f>
        <v>Tesla Inc.</v>
      </c>
      <c r="N2170" t="str">
        <f>VLOOKUP(fact_daily_prices[[#This Row],[Ticker]], dim_company[], 3, FALSE)</f>
        <v>Consumer Discretionary</v>
      </c>
    </row>
    <row r="2171" spans="1:14" x14ac:dyDescent="0.3">
      <c r="A2171" s="1">
        <v>45721</v>
      </c>
      <c r="B2171">
        <v>279.10000610351563</v>
      </c>
      <c r="C2171">
        <v>279.54998779296875</v>
      </c>
      <c r="D2171">
        <v>267.70999145507813</v>
      </c>
      <c r="E2171">
        <v>272.92001342773438</v>
      </c>
      <c r="F2171">
        <v>94042900</v>
      </c>
      <c r="G2171" s="2" t="s">
        <v>16</v>
      </c>
      <c r="H2171">
        <v>2.5952056083059283</v>
      </c>
      <c r="I2171">
        <v>110.96533133053643</v>
      </c>
      <c r="J2171">
        <v>377.70179931640627</v>
      </c>
      <c r="K2171">
        <v>3.2007603134597766</v>
      </c>
      <c r="L2171">
        <v>0</v>
      </c>
      <c r="M2171" t="str">
        <f>VLOOKUP(fact_daily_prices[[#This Row],[Ticker]], dim_company[], 2, FALSE)</f>
        <v>Tesla Inc.</v>
      </c>
      <c r="N2171" t="str">
        <f>VLOOKUP(fact_daily_prices[[#This Row],[Ticker]], dim_company[], 3, FALSE)</f>
        <v>Consumer Discretionary</v>
      </c>
    </row>
    <row r="2172" spans="1:14" x14ac:dyDescent="0.3">
      <c r="A2172" s="1">
        <v>45722</v>
      </c>
      <c r="B2172">
        <v>263.45001220703125</v>
      </c>
      <c r="C2172">
        <v>272.64999389648438</v>
      </c>
      <c r="D2172">
        <v>260.01998901367188</v>
      </c>
      <c r="E2172">
        <v>272.05999755859369</v>
      </c>
      <c r="F2172">
        <v>98451600</v>
      </c>
      <c r="G2172" s="2" t="s">
        <v>16</v>
      </c>
      <c r="H2172">
        <v>-5.6073068986891901</v>
      </c>
      <c r="I2172">
        <v>104.74316465168594</v>
      </c>
      <c r="J2172">
        <v>374.24739929199217</v>
      </c>
      <c r="K2172">
        <v>3.2923316633160868</v>
      </c>
      <c r="L2172">
        <v>0</v>
      </c>
      <c r="M2172" t="str">
        <f>VLOOKUP(fact_daily_prices[[#This Row],[Ticker]], dim_company[], 2, FALSE)</f>
        <v>Tesla Inc.</v>
      </c>
      <c r="N2172" t="str">
        <f>VLOOKUP(fact_daily_prices[[#This Row],[Ticker]], dim_company[], 3, FALSE)</f>
        <v>Consumer Discretionary</v>
      </c>
    </row>
    <row r="2173" spans="1:14" x14ac:dyDescent="0.3">
      <c r="A2173" s="1">
        <v>45723</v>
      </c>
      <c r="B2173">
        <v>262.67001342773438</v>
      </c>
      <c r="C2173">
        <v>266.25</v>
      </c>
      <c r="D2173">
        <v>250.72999572753903</v>
      </c>
      <c r="E2173">
        <v>259.32000732421875</v>
      </c>
      <c r="F2173">
        <v>102369600</v>
      </c>
      <c r="G2173" s="2" t="s">
        <v>16</v>
      </c>
      <c r="H2173">
        <v>-0.29607088371812473</v>
      </c>
      <c r="I2173">
        <v>104.43305063846738</v>
      </c>
      <c r="J2173">
        <v>371.07959960937501</v>
      </c>
      <c r="K2173">
        <v>3.2959964872299721</v>
      </c>
      <c r="L2173">
        <v>0</v>
      </c>
      <c r="M2173" t="str">
        <f>VLOOKUP(fact_daily_prices[[#This Row],[Ticker]], dim_company[], 2, FALSE)</f>
        <v>Tesla Inc.</v>
      </c>
      <c r="N2173" t="str">
        <f>VLOOKUP(fact_daily_prices[[#This Row],[Ticker]], dim_company[], 3, FALSE)</f>
        <v>Consumer Discretionary</v>
      </c>
    </row>
    <row r="2174" spans="1:14" x14ac:dyDescent="0.3">
      <c r="A2174" s="1">
        <v>45726</v>
      </c>
      <c r="B2174">
        <v>222.1499938964844</v>
      </c>
      <c r="C2174">
        <v>253.3699951171875</v>
      </c>
      <c r="D2174">
        <v>220</v>
      </c>
      <c r="E2174">
        <v>252.53999328613281</v>
      </c>
      <c r="F2174">
        <v>189076900</v>
      </c>
      <c r="G2174" s="2" t="s">
        <v>16</v>
      </c>
      <c r="H2174">
        <v>-15.426206822195109</v>
      </c>
      <c r="I2174">
        <v>88.322992256249634</v>
      </c>
      <c r="J2174">
        <v>366.91059936523436</v>
      </c>
      <c r="K2174">
        <v>4.1693907878110874</v>
      </c>
      <c r="L2174">
        <v>1</v>
      </c>
      <c r="M2174" t="str">
        <f>VLOOKUP(fact_daily_prices[[#This Row],[Ticker]], dim_company[], 2, FALSE)</f>
        <v>Tesla Inc.</v>
      </c>
      <c r="N2174" t="str">
        <f>VLOOKUP(fact_daily_prices[[#This Row],[Ticker]], dim_company[], 3, FALSE)</f>
        <v>Consumer Discretionary</v>
      </c>
    </row>
    <row r="2175" spans="1:14" x14ac:dyDescent="0.3">
      <c r="A2175" s="1">
        <v>45727</v>
      </c>
      <c r="B2175">
        <v>230.58000183105469</v>
      </c>
      <c r="C2175">
        <v>237.05999755859369</v>
      </c>
      <c r="D2175">
        <v>217.02000427246091</v>
      </c>
      <c r="E2175">
        <v>225.30999755859369</v>
      </c>
      <c r="F2175">
        <v>174896400</v>
      </c>
      <c r="G2175" s="2" t="s">
        <v>16</v>
      </c>
      <c r="H2175">
        <v>3.7947369642955975</v>
      </c>
      <c r="I2175">
        <v>91.674617491369474</v>
      </c>
      <c r="J2175">
        <v>362.91019927978516</v>
      </c>
      <c r="K2175">
        <v>4.2960179277157895</v>
      </c>
      <c r="L2175">
        <v>0</v>
      </c>
      <c r="M2175" t="str">
        <f>VLOOKUP(fact_daily_prices[[#This Row],[Ticker]], dim_company[], 2, FALSE)</f>
        <v>Tesla Inc.</v>
      </c>
      <c r="N2175" t="str">
        <f>VLOOKUP(fact_daily_prices[[#This Row],[Ticker]], dim_company[], 3, FALSE)</f>
        <v>Consumer Discretionary</v>
      </c>
    </row>
    <row r="2176" spans="1:14" x14ac:dyDescent="0.3">
      <c r="A2176" s="1">
        <v>45728</v>
      </c>
      <c r="B2176">
        <v>248.08999633789065</v>
      </c>
      <c r="C2176">
        <v>251.83999633789065</v>
      </c>
      <c r="D2176">
        <v>241.1000061035156</v>
      </c>
      <c r="E2176">
        <v>247.22000122070313</v>
      </c>
      <c r="F2176">
        <v>142215700</v>
      </c>
      <c r="G2176" s="2" t="s">
        <v>16</v>
      </c>
      <c r="H2176">
        <v>7.5938912168391326</v>
      </c>
      <c r="I2176">
        <v>98.636288217117439</v>
      </c>
      <c r="J2176">
        <v>358.7893991088867</v>
      </c>
      <c r="K2176">
        <v>4.609125710749832</v>
      </c>
      <c r="L2176">
        <v>0</v>
      </c>
      <c r="M2176" t="str">
        <f>VLOOKUP(fact_daily_prices[[#This Row],[Ticker]], dim_company[], 2, FALSE)</f>
        <v>Tesla Inc.</v>
      </c>
      <c r="N2176" t="str">
        <f>VLOOKUP(fact_daily_prices[[#This Row],[Ticker]], dim_company[], 3, FALSE)</f>
        <v>Consumer Discretionary</v>
      </c>
    </row>
    <row r="2177" spans="1:14" x14ac:dyDescent="0.3">
      <c r="A2177" s="1">
        <v>45729</v>
      </c>
      <c r="B2177">
        <v>240.67999267578125</v>
      </c>
      <c r="C2177">
        <v>248.28999328613281</v>
      </c>
      <c r="D2177">
        <v>232.6000061035156</v>
      </c>
      <c r="E2177">
        <v>248.1300048828125</v>
      </c>
      <c r="F2177">
        <v>114813500</v>
      </c>
      <c r="G2177" s="2" t="s">
        <v>16</v>
      </c>
      <c r="H2177">
        <v>-2.9868208196582091</v>
      </c>
      <c r="I2177">
        <v>95.690199024910498</v>
      </c>
      <c r="J2177">
        <v>354.96979888916013</v>
      </c>
      <c r="K2177">
        <v>4.6154060599328899</v>
      </c>
      <c r="L2177">
        <v>0</v>
      </c>
      <c r="M2177" t="str">
        <f>VLOOKUP(fact_daily_prices[[#This Row],[Ticker]], dim_company[], 2, FALSE)</f>
        <v>Tesla Inc.</v>
      </c>
      <c r="N2177" t="str">
        <f>VLOOKUP(fact_daily_prices[[#This Row],[Ticker]], dim_company[], 3, FALSE)</f>
        <v>Consumer Discretionary</v>
      </c>
    </row>
    <row r="2178" spans="1:14" x14ac:dyDescent="0.3">
      <c r="A2178" s="1">
        <v>45730</v>
      </c>
      <c r="B2178">
        <v>249.97999572753903</v>
      </c>
      <c r="C2178">
        <v>251.58000183105469</v>
      </c>
      <c r="D2178">
        <v>240.72999572753903</v>
      </c>
      <c r="E2178">
        <v>247.30999755859369</v>
      </c>
      <c r="F2178">
        <v>100242300</v>
      </c>
      <c r="G2178" s="2" t="s">
        <v>16</v>
      </c>
      <c r="H2178">
        <v>3.8640532386444715</v>
      </c>
      <c r="I2178">
        <v>99.387719259397883</v>
      </c>
      <c r="J2178">
        <v>351.62119873046873</v>
      </c>
      <c r="K2178">
        <v>4.6510492256701754</v>
      </c>
      <c r="L2178">
        <v>0</v>
      </c>
      <c r="M2178" t="str">
        <f>VLOOKUP(fact_daily_prices[[#This Row],[Ticker]], dim_company[], 2, FALSE)</f>
        <v>Tesla Inc.</v>
      </c>
      <c r="N2178" t="str">
        <f>VLOOKUP(fact_daily_prices[[#This Row],[Ticker]], dim_company[], 3, FALSE)</f>
        <v>Consumer Discretionary</v>
      </c>
    </row>
    <row r="2179" spans="1:14" x14ac:dyDescent="0.3">
      <c r="A2179" s="1">
        <v>45733</v>
      </c>
      <c r="B2179">
        <v>238.00999450683599</v>
      </c>
      <c r="C2179">
        <v>245.3999938964844</v>
      </c>
      <c r="D2179">
        <v>232.80000305175781</v>
      </c>
      <c r="E2179">
        <v>245.05999755859369</v>
      </c>
      <c r="F2179">
        <v>111900600</v>
      </c>
      <c r="G2179" s="2" t="s">
        <v>16</v>
      </c>
      <c r="H2179">
        <v>-4.788383640805205</v>
      </c>
      <c r="I2179">
        <v>94.628653969411474</v>
      </c>
      <c r="J2179">
        <v>348.30459869384765</v>
      </c>
      <c r="K2179">
        <v>4.6644349232939604</v>
      </c>
      <c r="L2179">
        <v>0</v>
      </c>
      <c r="M2179" t="str">
        <f>VLOOKUP(fact_daily_prices[[#This Row],[Ticker]], dim_company[], 2, FALSE)</f>
        <v>Tesla Inc.</v>
      </c>
      <c r="N2179" t="str">
        <f>VLOOKUP(fact_daily_prices[[#This Row],[Ticker]], dim_company[], 3, FALSE)</f>
        <v>Consumer Discretionary</v>
      </c>
    </row>
    <row r="2180" spans="1:14" x14ac:dyDescent="0.3">
      <c r="A2180" s="1">
        <v>45734</v>
      </c>
      <c r="B2180">
        <v>225.30999755859369</v>
      </c>
      <c r="C2180">
        <v>230.1000061035156</v>
      </c>
      <c r="D2180">
        <v>222.27999877929688</v>
      </c>
      <c r="E2180">
        <v>228.16000366210929</v>
      </c>
      <c r="F2180">
        <v>111477600</v>
      </c>
      <c r="G2180" s="2" t="s">
        <v>16</v>
      </c>
      <c r="H2180">
        <v>-5.3359090968247314</v>
      </c>
      <c r="I2180">
        <v>89.579355014054855</v>
      </c>
      <c r="J2180">
        <v>345.22519866943361</v>
      </c>
      <c r="K2180">
        <v>4.6688415131667371</v>
      </c>
      <c r="L2180">
        <v>0</v>
      </c>
      <c r="M2180" t="str">
        <f>VLOOKUP(fact_daily_prices[[#This Row],[Ticker]], dim_company[], 2, FALSE)</f>
        <v>Tesla Inc.</v>
      </c>
      <c r="N2180" t="str">
        <f>VLOOKUP(fact_daily_prices[[#This Row],[Ticker]], dim_company[], 3, FALSE)</f>
        <v>Consumer Discretionary</v>
      </c>
    </row>
    <row r="2181" spans="1:14" x14ac:dyDescent="0.3">
      <c r="A2181" s="1">
        <v>45735</v>
      </c>
      <c r="B2181">
        <v>235.86000061035159</v>
      </c>
      <c r="C2181">
        <v>241.41000366210929</v>
      </c>
      <c r="D2181">
        <v>229.19999694824219</v>
      </c>
      <c r="E2181">
        <v>231.61000061035159</v>
      </c>
      <c r="F2181">
        <v>111993800</v>
      </c>
      <c r="G2181" s="2" t="s">
        <v>16</v>
      </c>
      <c r="H2181">
        <v>4.6824389357219998</v>
      </c>
      <c r="I2181">
        <v>93.773853611601595</v>
      </c>
      <c r="J2181">
        <v>341.73359863281252</v>
      </c>
      <c r="K2181">
        <v>4.75988805030335</v>
      </c>
      <c r="L2181">
        <v>0</v>
      </c>
      <c r="M2181" t="str">
        <f>VLOOKUP(fact_daily_prices[[#This Row],[Ticker]], dim_company[], 2, FALSE)</f>
        <v>Tesla Inc.</v>
      </c>
      <c r="N2181" t="str">
        <f>VLOOKUP(fact_daily_prices[[#This Row],[Ticker]], dim_company[], 3, FALSE)</f>
        <v>Consumer Discretionary</v>
      </c>
    </row>
    <row r="2182" spans="1:14" x14ac:dyDescent="0.3">
      <c r="A2182" s="1">
        <v>45736</v>
      </c>
      <c r="B2182">
        <v>236.25999450683599</v>
      </c>
      <c r="C2182">
        <v>238</v>
      </c>
      <c r="D2182">
        <v>230.05000305175781</v>
      </c>
      <c r="E2182">
        <v>233.3500061035156</v>
      </c>
      <c r="F2182">
        <v>99028300</v>
      </c>
      <c r="G2182" s="2" t="s">
        <v>16</v>
      </c>
      <c r="H2182">
        <v>0.16958954271573123</v>
      </c>
      <c r="I2182">
        <v>93.932884261128436</v>
      </c>
      <c r="J2182">
        <v>338.23779876708983</v>
      </c>
      <c r="K2182">
        <v>4.7544583226182082</v>
      </c>
      <c r="L2182">
        <v>0</v>
      </c>
      <c r="M2182" t="str">
        <f>VLOOKUP(fact_daily_prices[[#This Row],[Ticker]], dim_company[], 2, FALSE)</f>
        <v>Tesla Inc.</v>
      </c>
      <c r="N2182" t="str">
        <f>VLOOKUP(fact_daily_prices[[#This Row],[Ticker]], dim_company[], 3, FALSE)</f>
        <v>Consumer Discretionary</v>
      </c>
    </row>
    <row r="2183" spans="1:14" x14ac:dyDescent="0.3">
      <c r="A2183" s="1">
        <v>45737</v>
      </c>
      <c r="B2183">
        <v>248.71000671386719</v>
      </c>
      <c r="C2183">
        <v>249.52000427246091</v>
      </c>
      <c r="D2183">
        <v>234.55000305175781</v>
      </c>
      <c r="E2183">
        <v>234.99000549316409</v>
      </c>
      <c r="F2183">
        <v>132728700</v>
      </c>
      <c r="G2183" s="2" t="s">
        <v>16</v>
      </c>
      <c r="H2183">
        <v>5.2696235065183394</v>
      </c>
      <c r="I2183">
        <v>98.882793610503526</v>
      </c>
      <c r="J2183">
        <v>335.32479919433592</v>
      </c>
      <c r="K2183">
        <v>4.9098756934851995</v>
      </c>
      <c r="L2183">
        <v>0</v>
      </c>
      <c r="M2183" t="str">
        <f>VLOOKUP(fact_daily_prices[[#This Row],[Ticker]], dim_company[], 2, FALSE)</f>
        <v>Tesla Inc.</v>
      </c>
      <c r="N2183" t="str">
        <f>VLOOKUP(fact_daily_prices[[#This Row],[Ticker]], dim_company[], 3, FALSE)</f>
        <v>Consumer Discretionary</v>
      </c>
    </row>
    <row r="2184" spans="1:14" x14ac:dyDescent="0.3">
      <c r="A2184" s="1">
        <v>45740</v>
      </c>
      <c r="B2184">
        <v>278.3900146484375</v>
      </c>
      <c r="C2184">
        <v>278.6400146484375</v>
      </c>
      <c r="D2184">
        <v>256.32998657226563</v>
      </c>
      <c r="E2184">
        <v>258.07998657226563</v>
      </c>
      <c r="F2184">
        <v>169079900</v>
      </c>
      <c r="G2184" s="2" t="s">
        <v>16</v>
      </c>
      <c r="H2184">
        <v>11.933580126800525</v>
      </c>
      <c r="I2184">
        <v>110.68305101763175</v>
      </c>
      <c r="J2184">
        <v>332.99379943847663</v>
      </c>
      <c r="K2184">
        <v>5.4455594655350064</v>
      </c>
      <c r="L2184">
        <v>0</v>
      </c>
      <c r="M2184" t="str">
        <f>VLOOKUP(fact_daily_prices[[#This Row],[Ticker]], dim_company[], 2, FALSE)</f>
        <v>Tesla Inc.</v>
      </c>
      <c r="N2184" t="str">
        <f>VLOOKUP(fact_daily_prices[[#This Row],[Ticker]], dim_company[], 3, FALSE)</f>
        <v>Consumer Discretionary</v>
      </c>
    </row>
    <row r="2185" spans="1:14" x14ac:dyDescent="0.3">
      <c r="A2185" s="1">
        <v>45741</v>
      </c>
      <c r="B2185">
        <v>288.1400146484375</v>
      </c>
      <c r="C2185">
        <v>288.20001220703125</v>
      </c>
      <c r="D2185">
        <v>271.27999877929688</v>
      </c>
      <c r="E2185">
        <v>283.60000610351563</v>
      </c>
      <c r="F2185">
        <v>150361500</v>
      </c>
      <c r="G2185" s="2" t="s">
        <v>16</v>
      </c>
      <c r="H2185">
        <v>3.5022807884516727</v>
      </c>
      <c r="I2185">
        <v>114.55948224949444</v>
      </c>
      <c r="J2185">
        <v>330.86179992675784</v>
      </c>
      <c r="K2185">
        <v>5.4808827104266822</v>
      </c>
      <c r="L2185">
        <v>0</v>
      </c>
      <c r="M2185" t="str">
        <f>VLOOKUP(fact_daily_prices[[#This Row],[Ticker]], dim_company[], 2, FALSE)</f>
        <v>Tesla Inc.</v>
      </c>
      <c r="N2185" t="str">
        <f>VLOOKUP(fact_daily_prices[[#This Row],[Ticker]], dim_company[], 3, FALSE)</f>
        <v>Consumer Discretionary</v>
      </c>
    </row>
    <row r="2186" spans="1:14" x14ac:dyDescent="0.3">
      <c r="A2186" s="1">
        <v>45742</v>
      </c>
      <c r="B2186">
        <v>272.05999755859369</v>
      </c>
      <c r="C2186">
        <v>284.89999389648438</v>
      </c>
      <c r="D2186">
        <v>266.510009765625</v>
      </c>
      <c r="E2186">
        <v>282.66000366210938</v>
      </c>
      <c r="F2186">
        <v>153629800</v>
      </c>
      <c r="G2186" s="2" t="s">
        <v>16</v>
      </c>
      <c r="H2186">
        <v>-5.5806261790689486</v>
      </c>
      <c r="I2186">
        <v>108.16634579247331</v>
      </c>
      <c r="J2186">
        <v>328.23679992675784</v>
      </c>
      <c r="K2186">
        <v>5.4547636787763363</v>
      </c>
      <c r="L2186">
        <v>0</v>
      </c>
      <c r="M2186" t="str">
        <f>VLOOKUP(fact_daily_prices[[#This Row],[Ticker]], dim_company[], 2, FALSE)</f>
        <v>Tesla Inc.</v>
      </c>
      <c r="N2186" t="str">
        <f>VLOOKUP(fact_daily_prices[[#This Row],[Ticker]], dim_company[], 3, FALSE)</f>
        <v>Consumer Discretionary</v>
      </c>
    </row>
    <row r="2187" spans="1:14" x14ac:dyDescent="0.3">
      <c r="A2187" s="1">
        <v>45743</v>
      </c>
      <c r="B2187">
        <v>273.1300048828125</v>
      </c>
      <c r="C2187">
        <v>291.85000610351563</v>
      </c>
      <c r="D2187">
        <v>271.82000732421875</v>
      </c>
      <c r="E2187">
        <v>272.48001098632813</v>
      </c>
      <c r="F2187">
        <v>162572100</v>
      </c>
      <c r="G2187" s="2" t="s">
        <v>16</v>
      </c>
      <c r="H2187">
        <v>0.39329829222261026</v>
      </c>
      <c r="I2187">
        <v>108.59176218323469</v>
      </c>
      <c r="J2187">
        <v>325.77220031738284</v>
      </c>
      <c r="K2187">
        <v>5.4297572364323603</v>
      </c>
      <c r="L2187">
        <v>0</v>
      </c>
      <c r="M2187" t="str">
        <f>VLOOKUP(fact_daily_prices[[#This Row],[Ticker]], dim_company[], 2, FALSE)</f>
        <v>Tesla Inc.</v>
      </c>
      <c r="N2187" t="str">
        <f>VLOOKUP(fact_daily_prices[[#This Row],[Ticker]], dim_company[], 3, FALSE)</f>
        <v>Consumer Discretionary</v>
      </c>
    </row>
    <row r="2188" spans="1:14" x14ac:dyDescent="0.3">
      <c r="A2188" s="1">
        <v>45744</v>
      </c>
      <c r="B2188">
        <v>263.54998779296875</v>
      </c>
      <c r="C2188">
        <v>276.10000610351563</v>
      </c>
      <c r="D2188">
        <v>260.57000732421875</v>
      </c>
      <c r="E2188">
        <v>275.57998657226563</v>
      </c>
      <c r="F2188">
        <v>123809400</v>
      </c>
      <c r="G2188" s="2" t="s">
        <v>16</v>
      </c>
      <c r="H2188">
        <v>-3.5074934714529382</v>
      </c>
      <c r="I2188">
        <v>104.78291321412203</v>
      </c>
      <c r="J2188">
        <v>322.47880004882813</v>
      </c>
      <c r="K2188">
        <v>5.3204338906002366</v>
      </c>
      <c r="L2188">
        <v>0</v>
      </c>
      <c r="M2188" t="str">
        <f>VLOOKUP(fact_daily_prices[[#This Row],[Ticker]], dim_company[], 2, FALSE)</f>
        <v>Tesla Inc.</v>
      </c>
      <c r="N2188" t="str">
        <f>VLOOKUP(fact_daily_prices[[#This Row],[Ticker]], dim_company[], 3, FALSE)</f>
        <v>Consumer Discretionary</v>
      </c>
    </row>
    <row r="2189" spans="1:14" x14ac:dyDescent="0.3">
      <c r="A2189" s="1">
        <v>45747</v>
      </c>
      <c r="B2189">
        <v>259.16000366210938</v>
      </c>
      <c r="C2189">
        <v>260.55999755859369</v>
      </c>
      <c r="D2189">
        <v>243.36000061035159</v>
      </c>
      <c r="E2189">
        <v>249.30999755859369</v>
      </c>
      <c r="F2189">
        <v>134008900</v>
      </c>
      <c r="G2189" s="2" t="s">
        <v>16</v>
      </c>
      <c r="H2189">
        <v>-1.6657121359109794</v>
      </c>
      <c r="I2189">
        <v>103.03753151235333</v>
      </c>
      <c r="J2189">
        <v>319.38559997558593</v>
      </c>
      <c r="K2189">
        <v>5.3200318847307724</v>
      </c>
      <c r="L2189">
        <v>0</v>
      </c>
      <c r="M2189" t="str">
        <f>VLOOKUP(fact_daily_prices[[#This Row],[Ticker]], dim_company[], 2, FALSE)</f>
        <v>Tesla Inc.</v>
      </c>
      <c r="N2189" t="str">
        <f>VLOOKUP(fact_daily_prices[[#This Row],[Ticker]], dim_company[], 3, FALSE)</f>
        <v>Consumer Discretionary</v>
      </c>
    </row>
    <row r="2190" spans="1:14" x14ac:dyDescent="0.3">
      <c r="A2190" s="1">
        <v>45748</v>
      </c>
      <c r="B2190">
        <v>268.45999145507813</v>
      </c>
      <c r="C2190">
        <v>277.45001220703125</v>
      </c>
      <c r="D2190">
        <v>259.25</v>
      </c>
      <c r="E2190">
        <v>263.79998779296875</v>
      </c>
      <c r="F2190">
        <v>146486900</v>
      </c>
      <c r="G2190" s="2" t="s">
        <v>16</v>
      </c>
      <c r="H2190">
        <v>3.5885119854736525</v>
      </c>
      <c r="I2190">
        <v>106.73504568021033</v>
      </c>
      <c r="J2190">
        <v>316.22479980468751</v>
      </c>
      <c r="K2190">
        <v>5.3829227918567009</v>
      </c>
      <c r="L2190">
        <v>0</v>
      </c>
      <c r="M2190" t="str">
        <f>VLOOKUP(fact_daily_prices[[#This Row],[Ticker]], dim_company[], 2, FALSE)</f>
        <v>Tesla Inc.</v>
      </c>
      <c r="N2190" t="str">
        <f>VLOOKUP(fact_daily_prices[[#This Row],[Ticker]], dim_company[], 3, FALSE)</f>
        <v>Consumer Discretionary</v>
      </c>
    </row>
    <row r="2191" spans="1:14" x14ac:dyDescent="0.3">
      <c r="A2191" s="1">
        <v>45749</v>
      </c>
      <c r="B2191">
        <v>282.760009765625</v>
      </c>
      <c r="C2191">
        <v>284.989990234375</v>
      </c>
      <c r="D2191">
        <v>251.27000427246091</v>
      </c>
      <c r="E2191">
        <v>254.6000061035156</v>
      </c>
      <c r="F2191">
        <v>212787800</v>
      </c>
      <c r="G2191" s="2" t="s">
        <v>16</v>
      </c>
      <c r="H2191">
        <v>5.3266850799776222</v>
      </c>
      <c r="I2191">
        <v>112.4204854335654</v>
      </c>
      <c r="J2191">
        <v>313.39859985351563</v>
      </c>
      <c r="K2191">
        <v>5.4784467401540153</v>
      </c>
      <c r="L2191">
        <v>0</v>
      </c>
      <c r="M2191" t="str">
        <f>VLOOKUP(fact_daily_prices[[#This Row],[Ticker]], dim_company[], 2, FALSE)</f>
        <v>Tesla Inc.</v>
      </c>
      <c r="N2191" t="str">
        <f>VLOOKUP(fact_daily_prices[[#This Row],[Ticker]], dim_company[], 3, FALSE)</f>
        <v>Consumer Discretionary</v>
      </c>
    </row>
    <row r="2192" spans="1:14" x14ac:dyDescent="0.3">
      <c r="A2192" s="1">
        <v>45750</v>
      </c>
      <c r="B2192">
        <v>267.27999877929688</v>
      </c>
      <c r="C2192">
        <v>276.29998779296875</v>
      </c>
      <c r="D2192">
        <v>261.510009765625</v>
      </c>
      <c r="E2192">
        <v>265.29000854492188</v>
      </c>
      <c r="F2192">
        <v>136174300</v>
      </c>
      <c r="G2192" s="2" t="s">
        <v>16</v>
      </c>
      <c r="H2192">
        <v>-5.4746111372535484</v>
      </c>
      <c r="I2192">
        <v>106.26590101746494</v>
      </c>
      <c r="J2192">
        <v>310.44200012207034</v>
      </c>
      <c r="K2192">
        <v>5.5460481682987863</v>
      </c>
      <c r="L2192">
        <v>0</v>
      </c>
      <c r="M2192" t="str">
        <f>VLOOKUP(fact_daily_prices[[#This Row],[Ticker]], dim_company[], 2, FALSE)</f>
        <v>Tesla Inc.</v>
      </c>
      <c r="N2192" t="str">
        <f>VLOOKUP(fact_daily_prices[[#This Row],[Ticker]], dim_company[], 3, FALSE)</f>
        <v>Consumer Discretionary</v>
      </c>
    </row>
    <row r="2193" spans="1:14" x14ac:dyDescent="0.3">
      <c r="A2193" s="1">
        <v>45751</v>
      </c>
      <c r="B2193">
        <v>239.42999267578125</v>
      </c>
      <c r="C2193">
        <v>261</v>
      </c>
      <c r="D2193">
        <v>236</v>
      </c>
      <c r="E2193">
        <v>255.3800048828125</v>
      </c>
      <c r="F2193">
        <v>181229400</v>
      </c>
      <c r="G2193" s="2" t="s">
        <v>16</v>
      </c>
      <c r="H2193">
        <v>-10.419786826814681</v>
      </c>
      <c r="I2193">
        <v>95.193220661851186</v>
      </c>
      <c r="J2193">
        <v>306.98299987792973</v>
      </c>
      <c r="K2193">
        <v>5.7790702053293304</v>
      </c>
      <c r="L2193">
        <v>0</v>
      </c>
      <c r="M2193" t="str">
        <f>VLOOKUP(fact_daily_prices[[#This Row],[Ticker]], dim_company[], 2, FALSE)</f>
        <v>Tesla Inc.</v>
      </c>
      <c r="N2193" t="str">
        <f>VLOOKUP(fact_daily_prices[[#This Row],[Ticker]], dim_company[], 3, FALSE)</f>
        <v>Consumer Discretionary</v>
      </c>
    </row>
    <row r="2194" spans="1:14" x14ac:dyDescent="0.3">
      <c r="A2194" s="1">
        <v>45754</v>
      </c>
      <c r="B2194">
        <v>233.28999328613281</v>
      </c>
      <c r="C2194">
        <v>252</v>
      </c>
      <c r="D2194">
        <v>214.25</v>
      </c>
      <c r="E2194">
        <v>223.77999877929688</v>
      </c>
      <c r="F2194">
        <v>183453800</v>
      </c>
      <c r="G2194" s="2" t="s">
        <v>16</v>
      </c>
      <c r="H2194">
        <v>-2.5644236634809525</v>
      </c>
      <c r="I2194">
        <v>92.75206318516905</v>
      </c>
      <c r="J2194">
        <v>303.51720001220701</v>
      </c>
      <c r="K2194">
        <v>5.7824522929532716</v>
      </c>
      <c r="L2194">
        <v>0</v>
      </c>
      <c r="M2194" t="str">
        <f>VLOOKUP(fact_daily_prices[[#This Row],[Ticker]], dim_company[], 2, FALSE)</f>
        <v>Tesla Inc.</v>
      </c>
      <c r="N2194" t="str">
        <f>VLOOKUP(fact_daily_prices[[#This Row],[Ticker]], dim_company[], 3, FALSE)</f>
        <v>Consumer Discretionary</v>
      </c>
    </row>
    <row r="2195" spans="1:14" x14ac:dyDescent="0.3">
      <c r="A2195" s="1">
        <v>45755</v>
      </c>
      <c r="B2195">
        <v>221.86000061035159</v>
      </c>
      <c r="C2195">
        <v>250.44000244140625</v>
      </c>
      <c r="D2195">
        <v>217.80000305175781</v>
      </c>
      <c r="E2195">
        <v>245</v>
      </c>
      <c r="F2195">
        <v>171603500</v>
      </c>
      <c r="G2195" s="2" t="s">
        <v>16</v>
      </c>
      <c r="H2195">
        <v>-4.8994783337158454</v>
      </c>
      <c r="I2195">
        <v>88.20769594533725</v>
      </c>
      <c r="J2195">
        <v>300.01140014648439</v>
      </c>
      <c r="K2195">
        <v>5.6623060552252991</v>
      </c>
      <c r="L2195">
        <v>0</v>
      </c>
      <c r="M2195" t="str">
        <f>VLOOKUP(fact_daily_prices[[#This Row],[Ticker]], dim_company[], 2, FALSE)</f>
        <v>Tesla Inc.</v>
      </c>
      <c r="N2195" t="str">
        <f>VLOOKUP(fact_daily_prices[[#This Row],[Ticker]], dim_company[], 3, FALSE)</f>
        <v>Consumer Discretionary</v>
      </c>
    </row>
    <row r="2196" spans="1:14" x14ac:dyDescent="0.3">
      <c r="A2196" s="1">
        <v>45756</v>
      </c>
      <c r="B2196">
        <v>272.20001220703125</v>
      </c>
      <c r="C2196">
        <v>274.69000244140625</v>
      </c>
      <c r="D2196">
        <v>223.8800048828125</v>
      </c>
      <c r="E2196">
        <v>224.69000244140625</v>
      </c>
      <c r="F2196">
        <v>219433400</v>
      </c>
      <c r="G2196" s="2" t="s">
        <v>16</v>
      </c>
      <c r="H2196">
        <v>22.689989839624513</v>
      </c>
      <c r="I2196">
        <v>108.22201319310116</v>
      </c>
      <c r="J2196">
        <v>297.49360046386721</v>
      </c>
      <c r="K2196">
        <v>7.0754692119808054</v>
      </c>
      <c r="L2196">
        <v>0</v>
      </c>
      <c r="M2196" t="str">
        <f>VLOOKUP(fact_daily_prices[[#This Row],[Ticker]], dim_company[], 2, FALSE)</f>
        <v>Tesla Inc.</v>
      </c>
      <c r="N2196" t="str">
        <f>VLOOKUP(fact_daily_prices[[#This Row],[Ticker]], dim_company[], 3, FALSE)</f>
        <v>Consumer Discretionary</v>
      </c>
    </row>
    <row r="2197" spans="1:14" x14ac:dyDescent="0.3">
      <c r="A2197" s="1">
        <v>45757</v>
      </c>
      <c r="B2197">
        <v>252.3999938964844</v>
      </c>
      <c r="C2197">
        <v>262.489990234375</v>
      </c>
      <c r="D2197">
        <v>239.33000183105469</v>
      </c>
      <c r="E2197">
        <v>260</v>
      </c>
      <c r="F2197">
        <v>181722600</v>
      </c>
      <c r="G2197" s="2" t="s">
        <v>16</v>
      </c>
      <c r="H2197">
        <v>-7.2740695894926155</v>
      </c>
      <c r="I2197">
        <v>100.3498686422851</v>
      </c>
      <c r="J2197">
        <v>294.75960021972656</v>
      </c>
      <c r="K2197">
        <v>7.179917578653443</v>
      </c>
      <c r="L2197">
        <v>0</v>
      </c>
      <c r="M2197" t="str">
        <f>VLOOKUP(fact_daily_prices[[#This Row],[Ticker]], dim_company[], 2, FALSE)</f>
        <v>Tesla Inc.</v>
      </c>
      <c r="N2197" t="str">
        <f>VLOOKUP(fact_daily_prices[[#This Row],[Ticker]], dim_company[], 3, FALSE)</f>
        <v>Consumer Discretionary</v>
      </c>
    </row>
    <row r="2198" spans="1:14" x14ac:dyDescent="0.3">
      <c r="A2198" s="1">
        <v>45758</v>
      </c>
      <c r="B2198">
        <v>252.30999755859369</v>
      </c>
      <c r="C2198">
        <v>257.739990234375</v>
      </c>
      <c r="D2198">
        <v>241.36000061035159</v>
      </c>
      <c r="E2198">
        <v>251.83999633789065</v>
      </c>
      <c r="F2198">
        <v>128948100</v>
      </c>
      <c r="G2198" s="2" t="s">
        <v>16</v>
      </c>
      <c r="H2198">
        <v>-3.5656236159664623E-2</v>
      </c>
      <c r="I2198">
        <v>100.3140876561361</v>
      </c>
      <c r="J2198">
        <v>291.80020019531253</v>
      </c>
      <c r="K2198">
        <v>7.1394172750824163</v>
      </c>
      <c r="L2198">
        <v>0</v>
      </c>
      <c r="M2198" t="str">
        <f>VLOOKUP(fact_daily_prices[[#This Row],[Ticker]], dim_company[], 2, FALSE)</f>
        <v>Tesla Inc.</v>
      </c>
      <c r="N2198" t="str">
        <f>VLOOKUP(fact_daily_prices[[#This Row],[Ticker]], dim_company[], 3, FALSE)</f>
        <v>Consumer Discretionary</v>
      </c>
    </row>
    <row r="2199" spans="1:14" x14ac:dyDescent="0.3">
      <c r="A2199" s="1">
        <v>45761</v>
      </c>
      <c r="B2199">
        <v>252.3500061035156</v>
      </c>
      <c r="C2199">
        <v>261.79998779296875</v>
      </c>
      <c r="D2199">
        <v>245.92999267578125</v>
      </c>
      <c r="E2199">
        <v>258.3599853515625</v>
      </c>
      <c r="F2199">
        <v>100135200</v>
      </c>
      <c r="G2199" s="2" t="s">
        <v>16</v>
      </c>
      <c r="H2199">
        <v>1.5856900364252802E-2</v>
      </c>
      <c r="I2199">
        <v>100.32999436106704</v>
      </c>
      <c r="J2199">
        <v>288.75520019531251</v>
      </c>
      <c r="K2199">
        <v>7.1227774272816742</v>
      </c>
      <c r="L2199">
        <v>0</v>
      </c>
      <c r="M2199" t="str">
        <f>VLOOKUP(fact_daily_prices[[#This Row],[Ticker]], dim_company[], 2, FALSE)</f>
        <v>Tesla Inc.</v>
      </c>
      <c r="N2199" t="str">
        <f>VLOOKUP(fact_daily_prices[[#This Row],[Ticker]], dim_company[], 3, FALSE)</f>
        <v>Consumer Discretionary</v>
      </c>
    </row>
    <row r="2200" spans="1:14" x14ac:dyDescent="0.3">
      <c r="A2200" s="1">
        <v>45762</v>
      </c>
      <c r="B2200">
        <v>254.11000061035159</v>
      </c>
      <c r="C2200">
        <v>258.75</v>
      </c>
      <c r="D2200">
        <v>247.53999328613281</v>
      </c>
      <c r="E2200">
        <v>249.91000366210929</v>
      </c>
      <c r="F2200">
        <v>79594300</v>
      </c>
      <c r="G2200" s="2" t="s">
        <v>16</v>
      </c>
      <c r="H2200">
        <v>0.69744183248168223</v>
      </c>
      <c r="I2200">
        <v>101.02973771226762</v>
      </c>
      <c r="J2200">
        <v>286.16380035400391</v>
      </c>
      <c r="K2200">
        <v>7.0782222082239432</v>
      </c>
      <c r="L2200">
        <v>0</v>
      </c>
      <c r="M2200" t="str">
        <f>VLOOKUP(fact_daily_prices[[#This Row],[Ticker]], dim_company[], 2, FALSE)</f>
        <v>Tesla Inc.</v>
      </c>
      <c r="N2200" t="str">
        <f>VLOOKUP(fact_daily_prices[[#This Row],[Ticker]], dim_company[], 3, FALSE)</f>
        <v>Consumer Discretionary</v>
      </c>
    </row>
    <row r="2201" spans="1:14" x14ac:dyDescent="0.3">
      <c r="A2201" s="1">
        <v>45763</v>
      </c>
      <c r="B2201">
        <v>241.55000305175781</v>
      </c>
      <c r="C2201">
        <v>251.97000122070313</v>
      </c>
      <c r="D2201">
        <v>233.88999938964844</v>
      </c>
      <c r="E2201">
        <v>247.61000061035159</v>
      </c>
      <c r="F2201">
        <v>112378700</v>
      </c>
      <c r="G2201" s="2" t="s">
        <v>16</v>
      </c>
      <c r="H2201">
        <v>-4.9427403598542696</v>
      </c>
      <c r="I2201">
        <v>96.036100090908477</v>
      </c>
      <c r="J2201">
        <v>283.15060058593753</v>
      </c>
      <c r="K2201">
        <v>7.1169181304203555</v>
      </c>
      <c r="L2201">
        <v>0</v>
      </c>
      <c r="M2201" t="str">
        <f>VLOOKUP(fact_daily_prices[[#This Row],[Ticker]], dim_company[], 2, FALSE)</f>
        <v>Tesla Inc.</v>
      </c>
      <c r="N2201" t="str">
        <f>VLOOKUP(fact_daily_prices[[#This Row],[Ticker]], dim_company[], 3, FALSE)</f>
        <v>Consumer Discretionary</v>
      </c>
    </row>
    <row r="2202" spans="1:14" x14ac:dyDescent="0.3">
      <c r="A2202" s="1">
        <v>45764</v>
      </c>
      <c r="B2202">
        <v>241.3699951171875</v>
      </c>
      <c r="C2202">
        <v>244.33999633789065</v>
      </c>
      <c r="D2202">
        <v>237.67999267578125</v>
      </c>
      <c r="E2202">
        <v>243.47000122070313</v>
      </c>
      <c r="F2202">
        <v>83404800</v>
      </c>
      <c r="G2202" s="2" t="s">
        <v>16</v>
      </c>
      <c r="H2202">
        <v>-7.4522017096290138E-2</v>
      </c>
      <c r="I2202">
        <v>95.964532051980115</v>
      </c>
      <c r="J2202">
        <v>280.41460021972654</v>
      </c>
      <c r="K2202">
        <v>7.0444278000959653</v>
      </c>
      <c r="L2202">
        <v>0</v>
      </c>
      <c r="M2202" t="str">
        <f>VLOOKUP(fact_daily_prices[[#This Row],[Ticker]], dim_company[], 2, FALSE)</f>
        <v>Tesla Inc.</v>
      </c>
      <c r="N2202" t="str">
        <f>VLOOKUP(fact_daily_prices[[#This Row],[Ticker]], dim_company[], 3, FALSE)</f>
        <v>Consumer Discretionary</v>
      </c>
    </row>
    <row r="2203" spans="1:14" x14ac:dyDescent="0.3">
      <c r="A2203" s="1">
        <v>45768</v>
      </c>
      <c r="B2203">
        <v>227.5</v>
      </c>
      <c r="C2203">
        <v>232.21000671386719</v>
      </c>
      <c r="D2203">
        <v>222.78999328613281</v>
      </c>
      <c r="E2203">
        <v>230.25999450683599</v>
      </c>
      <c r="F2203">
        <v>97768000</v>
      </c>
      <c r="G2203" s="2" t="s">
        <v>16</v>
      </c>
      <c r="H2203">
        <v>-5.7463625959197966</v>
      </c>
      <c r="I2203">
        <v>90.45006207679566</v>
      </c>
      <c r="J2203">
        <v>277.47820007324219</v>
      </c>
      <c r="K2203">
        <v>7.1206395069803206</v>
      </c>
      <c r="L2203">
        <v>0</v>
      </c>
      <c r="M2203" t="str">
        <f>VLOOKUP(fact_daily_prices[[#This Row],[Ticker]], dim_company[], 2, FALSE)</f>
        <v>Tesla Inc.</v>
      </c>
      <c r="N2203" t="str">
        <f>VLOOKUP(fact_daily_prices[[#This Row],[Ticker]], dim_company[], 3, FALSE)</f>
        <v>Consumer Discretionary</v>
      </c>
    </row>
    <row r="2204" spans="1:14" x14ac:dyDescent="0.3">
      <c r="A2204" s="1">
        <v>45769</v>
      </c>
      <c r="B2204">
        <v>237.97000122070313</v>
      </c>
      <c r="C2204">
        <v>242.78999328613281</v>
      </c>
      <c r="D2204">
        <v>229.8500061035156</v>
      </c>
      <c r="E2204">
        <v>230.96000671386719</v>
      </c>
      <c r="F2204">
        <v>120858500</v>
      </c>
      <c r="G2204" s="2" t="s">
        <v>16</v>
      </c>
      <c r="H2204">
        <v>4.6021983387706022</v>
      </c>
      <c r="I2204">
        <v>94.612753331110937</v>
      </c>
      <c r="J2204">
        <v>275.00520019531251</v>
      </c>
      <c r="K2204">
        <v>6.5649476115274847</v>
      </c>
      <c r="L2204">
        <v>0</v>
      </c>
      <c r="M2204" t="str">
        <f>VLOOKUP(fact_daily_prices[[#This Row],[Ticker]], dim_company[], 2, FALSE)</f>
        <v>Tesla Inc.</v>
      </c>
      <c r="N2204" t="str">
        <f>VLOOKUP(fact_daily_prices[[#This Row],[Ticker]], dim_company[], 3, FALSE)</f>
        <v>Consumer Discretionary</v>
      </c>
    </row>
    <row r="2205" spans="1:14" x14ac:dyDescent="0.3">
      <c r="A2205" s="1">
        <v>45770</v>
      </c>
      <c r="B2205">
        <v>250.74000549316409</v>
      </c>
      <c r="C2205">
        <v>259.45001220703125</v>
      </c>
      <c r="D2205">
        <v>244.42999267578125</v>
      </c>
      <c r="E2205">
        <v>254.86000061035159</v>
      </c>
      <c r="F2205">
        <v>150381900</v>
      </c>
      <c r="G2205" s="2" t="s">
        <v>16</v>
      </c>
      <c r="H2205">
        <v>5.3662244009561322</v>
      </c>
      <c r="I2205">
        <v>99.689885986781448</v>
      </c>
      <c r="J2205">
        <v>273.0054000854492</v>
      </c>
      <c r="K2205">
        <v>6.5989228525857682</v>
      </c>
      <c r="L2205">
        <v>0</v>
      </c>
      <c r="M2205" t="str">
        <f>VLOOKUP(fact_daily_prices[[#This Row],[Ticker]], dim_company[], 2, FALSE)</f>
        <v>Tesla Inc.</v>
      </c>
      <c r="N2205" t="str">
        <f>VLOOKUP(fact_daily_prices[[#This Row],[Ticker]], dim_company[], 3, FALSE)</f>
        <v>Consumer Discretionary</v>
      </c>
    </row>
    <row r="2206" spans="1:14" x14ac:dyDescent="0.3">
      <c r="A2206" s="1">
        <v>45771</v>
      </c>
      <c r="B2206">
        <v>259.510009765625</v>
      </c>
      <c r="C2206">
        <v>259.54000854492188</v>
      </c>
      <c r="D2206">
        <v>249.19999694824219</v>
      </c>
      <c r="E2206">
        <v>250.5</v>
      </c>
      <c r="F2206">
        <v>94464200</v>
      </c>
      <c r="G2206" s="2" t="s">
        <v>16</v>
      </c>
      <c r="H2206">
        <v>3.4976485922985301</v>
      </c>
      <c r="I2206">
        <v>103.17668788066212</v>
      </c>
      <c r="J2206">
        <v>271.62560028076172</v>
      </c>
      <c r="K2206">
        <v>6.4880975774904828</v>
      </c>
      <c r="L2206">
        <v>0</v>
      </c>
      <c r="M2206" t="str">
        <f>VLOOKUP(fact_daily_prices[[#This Row],[Ticker]], dim_company[], 2, FALSE)</f>
        <v>Tesla Inc.</v>
      </c>
      <c r="N2206" t="str">
        <f>VLOOKUP(fact_daily_prices[[#This Row],[Ticker]], dim_company[], 3, FALSE)</f>
        <v>Consumer Discretionary</v>
      </c>
    </row>
    <row r="2207" spans="1:14" x14ac:dyDescent="0.3">
      <c r="A2207" s="1">
        <v>45772</v>
      </c>
      <c r="B2207">
        <v>284.95001220703125</v>
      </c>
      <c r="C2207">
        <v>286.85000610351563</v>
      </c>
      <c r="D2207">
        <v>259.6300048828125</v>
      </c>
      <c r="E2207">
        <v>261.69000244140625</v>
      </c>
      <c r="F2207">
        <v>167560700</v>
      </c>
      <c r="G2207" s="2" t="s">
        <v>16</v>
      </c>
      <c r="H2207">
        <v>9.8030910115499026</v>
      </c>
      <c r="I2207">
        <v>113.29119249630619</v>
      </c>
      <c r="J2207">
        <v>270.59440032958986</v>
      </c>
      <c r="K2207">
        <v>6.6791204421679282</v>
      </c>
      <c r="L2207">
        <v>0</v>
      </c>
      <c r="M2207" t="str">
        <f>VLOOKUP(fact_daily_prices[[#This Row],[Ticker]], dim_company[], 2, FALSE)</f>
        <v>Tesla Inc.</v>
      </c>
      <c r="N2207" t="str">
        <f>VLOOKUP(fact_daily_prices[[#This Row],[Ticker]], dim_company[], 3, FALSE)</f>
        <v>Consumer Discretionary</v>
      </c>
    </row>
    <row r="2208" spans="1:14" x14ac:dyDescent="0.3">
      <c r="A2208" s="1">
        <v>45775</v>
      </c>
      <c r="B2208">
        <v>285.8800048828125</v>
      </c>
      <c r="C2208">
        <v>294.8599853515625</v>
      </c>
      <c r="D2208">
        <v>272.42001342773438</v>
      </c>
      <c r="E2208">
        <v>288.98001098632813</v>
      </c>
      <c r="F2208">
        <v>151731800</v>
      </c>
      <c r="G2208" s="2" t="s">
        <v>16</v>
      </c>
      <c r="H2208">
        <v>0.32637046356942534</v>
      </c>
      <c r="I2208">
        <v>113.66094148643973</v>
      </c>
      <c r="J2208">
        <v>269.19320037841794</v>
      </c>
      <c r="K2208">
        <v>6.6537871042739409</v>
      </c>
      <c r="L2208">
        <v>0</v>
      </c>
      <c r="M2208" t="str">
        <f>VLOOKUP(fact_daily_prices[[#This Row],[Ticker]], dim_company[], 2, FALSE)</f>
        <v>Tesla Inc.</v>
      </c>
      <c r="N2208" t="str">
        <f>VLOOKUP(fact_daily_prices[[#This Row],[Ticker]], dim_company[], 3, FALSE)</f>
        <v>Consumer Discretionary</v>
      </c>
    </row>
    <row r="2209" spans="1:14" x14ac:dyDescent="0.3">
      <c r="A2209" s="1">
        <v>45776</v>
      </c>
      <c r="B2209">
        <v>292.02999877929688</v>
      </c>
      <c r="C2209">
        <v>293.32000732421875</v>
      </c>
      <c r="D2209">
        <v>279.47000122070313</v>
      </c>
      <c r="E2209">
        <v>285.5</v>
      </c>
      <c r="F2209">
        <v>108906600</v>
      </c>
      <c r="G2209" s="2" t="s">
        <v>16</v>
      </c>
      <c r="H2209">
        <v>2.1512501019458785</v>
      </c>
      <c r="I2209">
        <v>116.1060726060394</v>
      </c>
      <c r="J2209">
        <v>267.91700042724608</v>
      </c>
      <c r="K2209">
        <v>6.5783358731318744</v>
      </c>
      <c r="L2209">
        <v>0</v>
      </c>
      <c r="M2209" t="str">
        <f>VLOOKUP(fact_daily_prices[[#This Row],[Ticker]], dim_company[], 2, FALSE)</f>
        <v>Tesla Inc.</v>
      </c>
      <c r="N2209" t="str">
        <f>VLOOKUP(fact_daily_prices[[#This Row],[Ticker]], dim_company[], 3, FALSE)</f>
        <v>Consumer Discretionary</v>
      </c>
    </row>
    <row r="2210" spans="1:14" x14ac:dyDescent="0.3">
      <c r="A2210" s="1">
        <v>45777</v>
      </c>
      <c r="B2210">
        <v>282.16000366210938</v>
      </c>
      <c r="C2210">
        <v>284.45001220703125</v>
      </c>
      <c r="D2210">
        <v>270.77999877929688</v>
      </c>
      <c r="E2210">
        <v>279.89999389648438</v>
      </c>
      <c r="F2210">
        <v>128961100</v>
      </c>
      <c r="G2210" s="2" t="s">
        <v>16</v>
      </c>
      <c r="H2210">
        <v>-3.3797880897321053</v>
      </c>
      <c r="I2210">
        <v>112.18193339264477</v>
      </c>
      <c r="J2210">
        <v>266.47800079345706</v>
      </c>
      <c r="K2210">
        <v>6.524037665936711</v>
      </c>
      <c r="L2210">
        <v>0</v>
      </c>
      <c r="M2210" t="str">
        <f>VLOOKUP(fact_daily_prices[[#This Row],[Ticker]], dim_company[], 2, FALSE)</f>
        <v>Tesla Inc.</v>
      </c>
      <c r="N2210" t="str">
        <f>VLOOKUP(fact_daily_prices[[#This Row],[Ticker]], dim_company[], 3, FALSE)</f>
        <v>Consumer Discretionary</v>
      </c>
    </row>
    <row r="2211" spans="1:14" x14ac:dyDescent="0.3">
      <c r="A2211" s="1">
        <v>45778</v>
      </c>
      <c r="B2211">
        <v>280.51998901367188</v>
      </c>
      <c r="C2211">
        <v>290.8699951171875</v>
      </c>
      <c r="D2211">
        <v>279.80999755859369</v>
      </c>
      <c r="E2211">
        <v>280.010009765625</v>
      </c>
      <c r="F2211">
        <v>99659000</v>
      </c>
      <c r="G2211" s="2" t="s">
        <v>16</v>
      </c>
      <c r="H2211">
        <v>-0.58123569150553278</v>
      </c>
      <c r="I2211">
        <v>111.52989195634575</v>
      </c>
      <c r="J2211">
        <v>264.87720062255858</v>
      </c>
      <c r="K2211">
        <v>6.4908469636317729</v>
      </c>
      <c r="L2211">
        <v>0</v>
      </c>
      <c r="M2211" t="str">
        <f>VLOOKUP(fact_daily_prices[[#This Row],[Ticker]], dim_company[], 2, FALSE)</f>
        <v>Tesla Inc.</v>
      </c>
      <c r="N2211" t="str">
        <f>VLOOKUP(fact_daily_prices[[#This Row],[Ticker]], dim_company[], 3, FALSE)</f>
        <v>Consumer Discretionary</v>
      </c>
    </row>
    <row r="2212" spans="1:14" x14ac:dyDescent="0.3">
      <c r="A2212" s="1">
        <v>45779</v>
      </c>
      <c r="B2212">
        <v>287.20999145507813</v>
      </c>
      <c r="C2212">
        <v>294.77999877929688</v>
      </c>
      <c r="D2212">
        <v>279.80999755859369</v>
      </c>
      <c r="E2212">
        <v>284.89999389648438</v>
      </c>
      <c r="F2212">
        <v>114454700</v>
      </c>
      <c r="G2212" s="2" t="s">
        <v>16</v>
      </c>
      <c r="H2212">
        <v>2.3848576584252656</v>
      </c>
      <c r="I2212">
        <v>114.18972112610008</v>
      </c>
      <c r="J2212">
        <v>263.53340057373049</v>
      </c>
      <c r="K2212">
        <v>6.4963452816935678</v>
      </c>
      <c r="L2212">
        <v>0</v>
      </c>
      <c r="M2212" t="str">
        <f>VLOOKUP(fact_daily_prices[[#This Row],[Ticker]], dim_company[], 2, FALSE)</f>
        <v>Tesla Inc.</v>
      </c>
      <c r="N2212" t="str">
        <f>VLOOKUP(fact_daily_prices[[#This Row],[Ticker]], dim_company[], 3, FALSE)</f>
        <v>Consumer Discretionary</v>
      </c>
    </row>
    <row r="2213" spans="1:14" x14ac:dyDescent="0.3">
      <c r="A2213" s="1">
        <v>45782</v>
      </c>
      <c r="B2213">
        <v>280.260009765625</v>
      </c>
      <c r="C2213">
        <v>284.85000610351563</v>
      </c>
      <c r="D2213">
        <v>274.39999389648438</v>
      </c>
      <c r="E2213">
        <v>284.57000732421875</v>
      </c>
      <c r="F2213">
        <v>94618900</v>
      </c>
      <c r="G2213" s="2" t="s">
        <v>16</v>
      </c>
      <c r="H2213">
        <v>-2.4198258752220814</v>
      </c>
      <c r="I2213">
        <v>111.42652870744678</v>
      </c>
      <c r="J2213">
        <v>262.3826010131836</v>
      </c>
      <c r="K2213">
        <v>6.4674524522739949</v>
      </c>
      <c r="L2213">
        <v>0</v>
      </c>
      <c r="M2213" t="str">
        <f>VLOOKUP(fact_daily_prices[[#This Row],[Ticker]], dim_company[], 2, FALSE)</f>
        <v>Tesla Inc.</v>
      </c>
      <c r="N2213" t="str">
        <f>VLOOKUP(fact_daily_prices[[#This Row],[Ticker]], dim_company[], 3, FALSE)</f>
        <v>Consumer Discretionary</v>
      </c>
    </row>
    <row r="2214" spans="1:14" x14ac:dyDescent="0.3">
      <c r="A2214" s="1">
        <v>45783</v>
      </c>
      <c r="B2214">
        <v>275.35000610351563</v>
      </c>
      <c r="C2214">
        <v>277.73001098632813</v>
      </c>
      <c r="D2214">
        <v>271.35000610351563</v>
      </c>
      <c r="E2214">
        <v>273.1099853515625</v>
      </c>
      <c r="F2214">
        <v>76715800</v>
      </c>
      <c r="G2214" s="2" t="s">
        <v>16</v>
      </c>
      <c r="H2214">
        <v>-1.7519458684867262</v>
      </c>
      <c r="I2214">
        <v>109.47439624135849</v>
      </c>
      <c r="J2214">
        <v>261.27900115966798</v>
      </c>
      <c r="K2214">
        <v>6.112697054667839</v>
      </c>
      <c r="L2214">
        <v>0</v>
      </c>
      <c r="M2214" t="str">
        <f>VLOOKUP(fact_daily_prices[[#This Row],[Ticker]], dim_company[], 2, FALSE)</f>
        <v>Tesla Inc.</v>
      </c>
      <c r="N2214" t="str">
        <f>VLOOKUP(fact_daily_prices[[#This Row],[Ticker]], dim_company[], 3, FALSE)</f>
        <v>Consumer Discretionary</v>
      </c>
    </row>
    <row r="2215" spans="1:14" x14ac:dyDescent="0.3">
      <c r="A2215" s="1">
        <v>45784</v>
      </c>
      <c r="B2215">
        <v>276.22000122070313</v>
      </c>
      <c r="C2215">
        <v>277.92001342773438</v>
      </c>
      <c r="D2215">
        <v>271</v>
      </c>
      <c r="E2215">
        <v>276.8800048828125</v>
      </c>
      <c r="F2215">
        <v>71592600</v>
      </c>
      <c r="G2215" s="2" t="s">
        <v>16</v>
      </c>
      <c r="H2215">
        <v>0.3159597232260225</v>
      </c>
      <c r="I2215">
        <v>109.82029124072604</v>
      </c>
      <c r="J2215">
        <v>260.74740142822264</v>
      </c>
      <c r="K2215">
        <v>6.0797511387220347</v>
      </c>
      <c r="L2215">
        <v>0</v>
      </c>
      <c r="M2215" t="str">
        <f>VLOOKUP(fact_daily_prices[[#This Row],[Ticker]], dim_company[], 2, FALSE)</f>
        <v>Tesla Inc.</v>
      </c>
      <c r="N2215" t="str">
        <f>VLOOKUP(fact_daily_prices[[#This Row],[Ticker]], dim_company[], 3, FALSE)</f>
        <v>Consumer Discretionary</v>
      </c>
    </row>
    <row r="2216" spans="1:14" x14ac:dyDescent="0.3">
      <c r="A2216" s="1">
        <v>45785</v>
      </c>
      <c r="B2216">
        <v>284.82000732421875</v>
      </c>
      <c r="C2216">
        <v>289.79998779296875</v>
      </c>
      <c r="D2216">
        <v>279.41000366210938</v>
      </c>
      <c r="E2216">
        <v>279.6300048828125</v>
      </c>
      <c r="F2216">
        <v>97539400</v>
      </c>
      <c r="G2216" s="2" t="s">
        <v>16</v>
      </c>
      <c r="H2216">
        <v>3.1134624811778533</v>
      </c>
      <c r="I2216">
        <v>113.23950480522629</v>
      </c>
      <c r="J2216">
        <v>260.62780181884767</v>
      </c>
      <c r="K2216">
        <v>6.0099946088177285</v>
      </c>
      <c r="L2216">
        <v>0</v>
      </c>
      <c r="M2216" t="str">
        <f>VLOOKUP(fact_daily_prices[[#This Row],[Ticker]], dim_company[], 2, FALSE)</f>
        <v>Tesla Inc.</v>
      </c>
      <c r="N2216" t="str">
        <f>VLOOKUP(fact_daily_prices[[#This Row],[Ticker]], dim_company[], 3, FALSE)</f>
        <v>Consumer Discretionary</v>
      </c>
    </row>
    <row r="2217" spans="1:14" x14ac:dyDescent="0.3">
      <c r="A2217" s="1">
        <v>45786</v>
      </c>
      <c r="B2217">
        <v>298.260009765625</v>
      </c>
      <c r="C2217">
        <v>307.04000854492188</v>
      </c>
      <c r="D2217">
        <v>290</v>
      </c>
      <c r="E2217">
        <v>290.20999145507813</v>
      </c>
      <c r="F2217">
        <v>132387800</v>
      </c>
      <c r="G2217" s="2" t="s">
        <v>16</v>
      </c>
      <c r="H2217">
        <v>4.7187704851461287</v>
      </c>
      <c r="I2217">
        <v>118.58301713550092</v>
      </c>
      <c r="J2217">
        <v>260.95400177001954</v>
      </c>
      <c r="K2217">
        <v>6.0635140045864047</v>
      </c>
      <c r="L2217">
        <v>0</v>
      </c>
      <c r="M2217" t="str">
        <f>VLOOKUP(fact_daily_prices[[#This Row],[Ticker]], dim_company[], 2, FALSE)</f>
        <v>Tesla Inc.</v>
      </c>
      <c r="N2217" t="str">
        <f>VLOOKUP(fact_daily_prices[[#This Row],[Ticker]], dim_company[], 3, FALSE)</f>
        <v>Consumer Discretionary</v>
      </c>
    </row>
    <row r="2218" spans="1:14" x14ac:dyDescent="0.3">
      <c r="A2218" s="1">
        <v>45789</v>
      </c>
      <c r="B2218">
        <v>318.3800048828125</v>
      </c>
      <c r="C2218">
        <v>322.20999145507813</v>
      </c>
      <c r="D2218">
        <v>311.5</v>
      </c>
      <c r="E2218">
        <v>321.989990234375</v>
      </c>
      <c r="F2218">
        <v>112826700</v>
      </c>
      <c r="G2218" s="2" t="s">
        <v>16</v>
      </c>
      <c r="H2218">
        <v>6.7457904038150884</v>
      </c>
      <c r="I2218">
        <v>126.58237892598197</v>
      </c>
      <c r="J2218">
        <v>261.46200164794919</v>
      </c>
      <c r="K2218">
        <v>6.1207510814871577</v>
      </c>
      <c r="L2218">
        <v>0</v>
      </c>
      <c r="M2218" t="str">
        <f>VLOOKUP(fact_daily_prices[[#This Row],[Ticker]], dim_company[], 2, FALSE)</f>
        <v>Tesla Inc.</v>
      </c>
      <c r="N2218" t="str">
        <f>VLOOKUP(fact_daily_prices[[#This Row],[Ticker]], dim_company[], 3, FALSE)</f>
        <v>Consumer Discretionary</v>
      </c>
    </row>
    <row r="2219" spans="1:14" x14ac:dyDescent="0.3">
      <c r="A2219" s="1">
        <v>45790</v>
      </c>
      <c r="B2219">
        <v>334.07000732421875</v>
      </c>
      <c r="C2219">
        <v>337.58999633789063</v>
      </c>
      <c r="D2219">
        <v>316.79998779296875</v>
      </c>
      <c r="E2219">
        <v>320</v>
      </c>
      <c r="F2219">
        <v>136992600</v>
      </c>
      <c r="G2219" s="2" t="s">
        <v>16</v>
      </c>
      <c r="H2219">
        <v>4.9280740626853614</v>
      </c>
      <c r="I2219">
        <v>132.82045230976337</v>
      </c>
      <c r="J2219">
        <v>262.45040191650389</v>
      </c>
      <c r="K2219">
        <v>6.1473462762898414</v>
      </c>
      <c r="L2219">
        <v>0</v>
      </c>
      <c r="M2219" t="str">
        <f>VLOOKUP(fact_daily_prices[[#This Row],[Ticker]], dim_company[], 2, FALSE)</f>
        <v>Tesla Inc.</v>
      </c>
      <c r="N2219" t="str">
        <f>VLOOKUP(fact_daily_prices[[#This Row],[Ticker]], dim_company[], 3, FALSE)</f>
        <v>Consumer Discretionary</v>
      </c>
    </row>
    <row r="2220" spans="1:14" x14ac:dyDescent="0.3">
      <c r="A2220" s="1">
        <v>45791</v>
      </c>
      <c r="B2220">
        <v>347.67999267578125</v>
      </c>
      <c r="C2220">
        <v>350</v>
      </c>
      <c r="D2220">
        <v>337</v>
      </c>
      <c r="E2220">
        <v>342.5</v>
      </c>
      <c r="F2220">
        <v>136997300</v>
      </c>
      <c r="G2220" s="2" t="s">
        <v>16</v>
      </c>
      <c r="H2220">
        <v>4.0739919936463753</v>
      </c>
      <c r="I2220">
        <v>138.23154690278804</v>
      </c>
      <c r="J2220">
        <v>263.96320159912108</v>
      </c>
      <c r="K2220">
        <v>6.154965449769465</v>
      </c>
      <c r="L2220">
        <v>0</v>
      </c>
      <c r="M2220" t="str">
        <f>VLOOKUP(fact_daily_prices[[#This Row],[Ticker]], dim_company[], 2, FALSE)</f>
        <v>Tesla Inc.</v>
      </c>
      <c r="N2220" t="str">
        <f>VLOOKUP(fact_daily_prices[[#This Row],[Ticker]], dim_company[], 3, FALSE)</f>
        <v>Consumer Discretionary</v>
      </c>
    </row>
    <row r="2221" spans="1:14" x14ac:dyDescent="0.3">
      <c r="A2221" s="1">
        <v>45792</v>
      </c>
      <c r="B2221">
        <v>342.82000732421875</v>
      </c>
      <c r="C2221">
        <v>346.1400146484375</v>
      </c>
      <c r="D2221">
        <v>334.72000122070313</v>
      </c>
      <c r="E2221">
        <v>340.33999633789063</v>
      </c>
      <c r="F2221">
        <v>97882600</v>
      </c>
      <c r="G2221" s="2" t="s">
        <v>16</v>
      </c>
      <c r="H2221">
        <v>-1.3978329078298546</v>
      </c>
      <c r="I2221">
        <v>136.29930085117857</v>
      </c>
      <c r="J2221">
        <v>265.23760162353517</v>
      </c>
      <c r="K2221">
        <v>6.1157834407531091</v>
      </c>
      <c r="L2221">
        <v>0</v>
      </c>
      <c r="M2221" t="str">
        <f>VLOOKUP(fact_daily_prices[[#This Row],[Ticker]], dim_company[], 2, FALSE)</f>
        <v>Tesla Inc.</v>
      </c>
      <c r="N2221" t="str">
        <f>VLOOKUP(fact_daily_prices[[#This Row],[Ticker]], dim_company[], 3, FALSE)</f>
        <v>Consumer Discretionary</v>
      </c>
    </row>
    <row r="2222" spans="1:14" x14ac:dyDescent="0.3">
      <c r="A2222" s="1">
        <v>45793</v>
      </c>
      <c r="B2222">
        <v>349.98001098632813</v>
      </c>
      <c r="C2222">
        <v>351.6199951171875</v>
      </c>
      <c r="D2222">
        <v>342.32998657226563</v>
      </c>
      <c r="E2222">
        <v>346.239990234375</v>
      </c>
      <c r="F2222">
        <v>95895700</v>
      </c>
      <c r="G2222" s="2" t="s">
        <v>16</v>
      </c>
      <c r="H2222">
        <v>2.0885606175656601</v>
      </c>
      <c r="I2222">
        <v>139.14599437077365</v>
      </c>
      <c r="J2222">
        <v>266.96820159912107</v>
      </c>
      <c r="K2222">
        <v>6.0023788586538247</v>
      </c>
      <c r="L2222">
        <v>0</v>
      </c>
      <c r="M2222" t="str">
        <f>VLOOKUP(fact_daily_prices[[#This Row],[Ticker]], dim_company[], 2, FALSE)</f>
        <v>Tesla Inc.</v>
      </c>
      <c r="N2222" t="str">
        <f>VLOOKUP(fact_daily_prices[[#This Row],[Ticker]], dim_company[], 3, FALSE)</f>
        <v>Consumer Discretionary</v>
      </c>
    </row>
    <row r="2223" spans="1:14" x14ac:dyDescent="0.3">
      <c r="A2223" s="1">
        <v>45796</v>
      </c>
      <c r="B2223">
        <v>342.08999633789063</v>
      </c>
      <c r="C2223">
        <v>343</v>
      </c>
      <c r="D2223">
        <v>333.3699951171875</v>
      </c>
      <c r="E2223">
        <v>336.29998779296875</v>
      </c>
      <c r="F2223">
        <v>88869900</v>
      </c>
      <c r="G2223" s="2" t="s">
        <v>16</v>
      </c>
      <c r="H2223">
        <v>-2.2544186527114873</v>
      </c>
      <c r="I2223">
        <v>136.00906111917806</v>
      </c>
      <c r="J2223">
        <v>268.55660125732425</v>
      </c>
      <c r="K2223">
        <v>5.6375563621792004</v>
      </c>
      <c r="L2223">
        <v>0</v>
      </c>
      <c r="M2223" t="str">
        <f>VLOOKUP(fact_daily_prices[[#This Row],[Ticker]], dim_company[], 2, FALSE)</f>
        <v>Tesla Inc.</v>
      </c>
      <c r="N2223" t="str">
        <f>VLOOKUP(fact_daily_prices[[#This Row],[Ticker]], dim_company[], 3, FALSE)</f>
        <v>Consumer Discretionary</v>
      </c>
    </row>
    <row r="2224" spans="1:14" x14ac:dyDescent="0.3">
      <c r="A2224" s="1">
        <v>45797</v>
      </c>
      <c r="B2224">
        <v>343.82000732421875</v>
      </c>
      <c r="C2224">
        <v>354.989990234375</v>
      </c>
      <c r="D2224">
        <v>341.6300048828125</v>
      </c>
      <c r="E2224">
        <v>347.8699951171875</v>
      </c>
      <c r="F2224">
        <v>131715500</v>
      </c>
      <c r="G2224" s="2" t="s">
        <v>16</v>
      </c>
      <c r="H2224">
        <v>0.50571808730102141</v>
      </c>
      <c r="I2224">
        <v>136.69688354162605</v>
      </c>
      <c r="J2224">
        <v>270.99000152587888</v>
      </c>
      <c r="K2224">
        <v>5.5919186926509052</v>
      </c>
      <c r="L2224">
        <v>0</v>
      </c>
      <c r="M2224" t="str">
        <f>VLOOKUP(fact_daily_prices[[#This Row],[Ticker]], dim_company[], 2, FALSE)</f>
        <v>Tesla Inc.</v>
      </c>
      <c r="N2224" t="str">
        <f>VLOOKUP(fact_daily_prices[[#This Row],[Ticker]], dim_company[], 3, FALSE)</f>
        <v>Consumer Discretionary</v>
      </c>
    </row>
    <row r="2225" spans="1:14" x14ac:dyDescent="0.3">
      <c r="A2225" s="1">
        <v>45798</v>
      </c>
      <c r="B2225">
        <v>334.6199951171875</v>
      </c>
      <c r="C2225">
        <v>347.35000610351563</v>
      </c>
      <c r="D2225">
        <v>332.20001220703125</v>
      </c>
      <c r="E2225">
        <v>344.42999267578125</v>
      </c>
      <c r="F2225">
        <v>102354800</v>
      </c>
      <c r="G2225" s="2" t="s">
        <v>16</v>
      </c>
      <c r="H2225">
        <v>-2.6758222357769146</v>
      </c>
      <c r="I2225">
        <v>133.03911793620514</v>
      </c>
      <c r="J2225">
        <v>273.07080139160155</v>
      </c>
      <c r="K2225">
        <v>5.5192243398612488</v>
      </c>
      <c r="L2225">
        <v>0</v>
      </c>
      <c r="M2225" t="str">
        <f>VLOOKUP(fact_daily_prices[[#This Row],[Ticker]], dim_company[], 2, FALSE)</f>
        <v>Tesla Inc.</v>
      </c>
      <c r="N2225" t="str">
        <f>VLOOKUP(fact_daily_prices[[#This Row],[Ticker]], dim_company[], 3, FALSE)</f>
        <v>Consumer Discretionary</v>
      </c>
    </row>
    <row r="2226" spans="1:14" x14ac:dyDescent="0.3">
      <c r="A2226" s="1">
        <v>45799</v>
      </c>
      <c r="B2226">
        <v>341.04000854492188</v>
      </c>
      <c r="C2226">
        <v>347.26998901367188</v>
      </c>
      <c r="D2226">
        <v>331.3900146484375</v>
      </c>
      <c r="E2226">
        <v>331.89999389648438</v>
      </c>
      <c r="F2226">
        <v>97113400</v>
      </c>
      <c r="G2226" s="2" t="s">
        <v>16</v>
      </c>
      <c r="H2226">
        <v>1.9185982671137136</v>
      </c>
      <c r="I2226">
        <v>135.59160414751256</v>
      </c>
      <c r="J2226">
        <v>274.92980163574219</v>
      </c>
      <c r="K2226">
        <v>3.8094760020175991</v>
      </c>
      <c r="L2226">
        <v>0</v>
      </c>
      <c r="M2226" t="str">
        <f>VLOOKUP(fact_daily_prices[[#This Row],[Ticker]], dim_company[], 2, FALSE)</f>
        <v>Tesla Inc.</v>
      </c>
      <c r="N2226" t="str">
        <f>VLOOKUP(fact_daily_prices[[#This Row],[Ticker]], dim_company[], 3, FALSE)</f>
        <v>Consumer Discretionary</v>
      </c>
    </row>
    <row r="2227" spans="1:14" x14ac:dyDescent="0.3">
      <c r="A2227" s="1">
        <v>45800</v>
      </c>
      <c r="B2227">
        <v>339.33999633789063</v>
      </c>
      <c r="C2227">
        <v>343.17999267578125</v>
      </c>
      <c r="D2227">
        <v>333.20999145507813</v>
      </c>
      <c r="E2227">
        <v>337.92001342773438</v>
      </c>
      <c r="F2227">
        <v>84654800</v>
      </c>
      <c r="G2227" s="2" t="s">
        <v>16</v>
      </c>
      <c r="H2227">
        <v>-0.49847881903489766</v>
      </c>
      <c r="I2227">
        <v>134.91570872044755</v>
      </c>
      <c r="J2227">
        <v>276.90300170898439</v>
      </c>
      <c r="K2227">
        <v>3.5011880081394811</v>
      </c>
      <c r="L2227">
        <v>0</v>
      </c>
      <c r="M2227" t="str">
        <f>VLOOKUP(fact_daily_prices[[#This Row],[Ticker]], dim_company[], 2, FALSE)</f>
        <v>Tesla Inc.</v>
      </c>
      <c r="N2227" t="str">
        <f>VLOOKUP(fact_daily_prices[[#This Row],[Ticker]], dim_company[], 3, FALSE)</f>
        <v>Consumer Discretionary</v>
      </c>
    </row>
    <row r="2228" spans="1:14" x14ac:dyDescent="0.3">
      <c r="A2228" s="1">
        <v>45804</v>
      </c>
      <c r="B2228">
        <v>362.8900146484375</v>
      </c>
      <c r="C2228">
        <v>363.79000854492188</v>
      </c>
      <c r="D2228">
        <v>347.32000732421875</v>
      </c>
      <c r="E2228">
        <v>347.35000610351563</v>
      </c>
      <c r="F2228">
        <v>120146400</v>
      </c>
      <c r="G2228" s="2" t="s">
        <v>16</v>
      </c>
      <c r="H2228">
        <v>6.9399477116447672</v>
      </c>
      <c r="I2228">
        <v>144.27878836044158</v>
      </c>
      <c r="J2228">
        <v>279.16120208740233</v>
      </c>
      <c r="K2228">
        <v>3.6548705728995343</v>
      </c>
      <c r="L2228">
        <v>0</v>
      </c>
      <c r="M2228" t="str">
        <f>VLOOKUP(fact_daily_prices[[#This Row],[Ticker]], dim_company[], 2, FALSE)</f>
        <v>Tesla Inc.</v>
      </c>
      <c r="N2228" t="str">
        <f>VLOOKUP(fact_daily_prices[[#This Row],[Ticker]], dim_company[], 3, FALSE)</f>
        <v>Consumer Discretionary</v>
      </c>
    </row>
    <row r="2229" spans="1:14" x14ac:dyDescent="0.3">
      <c r="A2229" s="1">
        <v>45805</v>
      </c>
      <c r="B2229">
        <v>356.89999389648438</v>
      </c>
      <c r="C2229">
        <v>365</v>
      </c>
      <c r="D2229">
        <v>355.91000366210938</v>
      </c>
      <c r="E2229">
        <v>364.83999633789063</v>
      </c>
      <c r="F2229">
        <v>91404300</v>
      </c>
      <c r="G2229" s="2" t="s">
        <v>16</v>
      </c>
      <c r="H2229">
        <v>-1.6506435862546853</v>
      </c>
      <c r="I2229">
        <v>141.89725979404398</v>
      </c>
      <c r="J2229">
        <v>281.5390020751953</v>
      </c>
      <c r="K2229">
        <v>3.6873044003649689</v>
      </c>
      <c r="L2229">
        <v>0</v>
      </c>
      <c r="M2229" t="str">
        <f>VLOOKUP(fact_daily_prices[[#This Row],[Ticker]], dim_company[], 2, FALSE)</f>
        <v>Tesla Inc.</v>
      </c>
      <c r="N2229" t="str">
        <f>VLOOKUP(fact_daily_prices[[#This Row],[Ticker]], dim_company[], 3, FALSE)</f>
        <v>Consumer Discretionary</v>
      </c>
    </row>
    <row r="2230" spans="1:14" x14ac:dyDescent="0.3">
      <c r="A2230" s="1">
        <v>45806</v>
      </c>
      <c r="B2230">
        <v>358.42999267578125</v>
      </c>
      <c r="C2230">
        <v>367.70999145507813</v>
      </c>
      <c r="D2230">
        <v>356</v>
      </c>
      <c r="E2230">
        <v>365.29000854492188</v>
      </c>
      <c r="F2230">
        <v>88087800</v>
      </c>
      <c r="G2230" s="2" t="s">
        <v>16</v>
      </c>
      <c r="H2230">
        <v>0.42869117552875036</v>
      </c>
      <c r="I2230">
        <v>142.50556082509814</v>
      </c>
      <c r="J2230">
        <v>284.20140197753904</v>
      </c>
      <c r="K2230">
        <v>3.6889609537629044</v>
      </c>
      <c r="L2230">
        <v>0</v>
      </c>
      <c r="M2230" t="str">
        <f>VLOOKUP(fact_daily_prices[[#This Row],[Ticker]], dim_company[], 2, FALSE)</f>
        <v>Tesla Inc.</v>
      </c>
      <c r="N2230" t="str">
        <f>VLOOKUP(fact_daily_prices[[#This Row],[Ticker]], dim_company[], 3, FALSE)</f>
        <v>Consumer Discretionary</v>
      </c>
    </row>
    <row r="2231" spans="1:14" x14ac:dyDescent="0.3">
      <c r="A2231" s="1">
        <v>45807</v>
      </c>
      <c r="B2231">
        <v>346.45999145507813</v>
      </c>
      <c r="C2231">
        <v>363.67999267578131</v>
      </c>
      <c r="D2231">
        <v>345.29000854492188</v>
      </c>
      <c r="E2231">
        <v>355.51998901367188</v>
      </c>
      <c r="F2231">
        <v>123474900</v>
      </c>
      <c r="G2231" s="2" t="s">
        <v>16</v>
      </c>
      <c r="H2231">
        <v>-3.3395646193957407</v>
      </c>
      <c r="I2231">
        <v>137.74649553511168</v>
      </c>
      <c r="J2231">
        <v>286.41340179443358</v>
      </c>
      <c r="K2231">
        <v>3.6073489508855694</v>
      </c>
      <c r="L2231">
        <v>0</v>
      </c>
      <c r="M2231" t="str">
        <f>VLOOKUP(fact_daily_prices[[#This Row],[Ticker]], dim_company[], 2, FALSE)</f>
        <v>Tesla Inc.</v>
      </c>
      <c r="N2231" t="str">
        <f>VLOOKUP(fact_daily_prices[[#This Row],[Ticker]], dim_company[], 3, FALSE)</f>
        <v>Consumer Discretionary</v>
      </c>
    </row>
    <row r="2232" spans="1:14" x14ac:dyDescent="0.3">
      <c r="A2232" s="1">
        <v>45810</v>
      </c>
      <c r="B2232">
        <v>342.69000244140625</v>
      </c>
      <c r="C2232">
        <v>348.01998901367188</v>
      </c>
      <c r="D2232">
        <v>333.32998657226563</v>
      </c>
      <c r="E2232">
        <v>343.5</v>
      </c>
      <c r="F2232">
        <v>81873800</v>
      </c>
      <c r="G2232" s="2" t="s">
        <v>16</v>
      </c>
      <c r="H2232">
        <v>-1.088145559849063</v>
      </c>
      <c r="I2232">
        <v>136.24761316009869</v>
      </c>
      <c r="J2232">
        <v>288.54200195312501</v>
      </c>
      <c r="K2232">
        <v>3.6250921982863549</v>
      </c>
      <c r="L2232">
        <v>0</v>
      </c>
      <c r="M2232" t="str">
        <f>VLOOKUP(fact_daily_prices[[#This Row],[Ticker]], dim_company[], 2, FALSE)</f>
        <v>Tesla Inc.</v>
      </c>
      <c r="N2232" t="str">
        <f>VLOOKUP(fact_daily_prices[[#This Row],[Ticker]], dim_company[], 3, FALSE)</f>
        <v>Consumer Discretionary</v>
      </c>
    </row>
    <row r="2233" spans="1:14" x14ac:dyDescent="0.3">
      <c r="A2233" s="1">
        <v>45811</v>
      </c>
      <c r="B2233">
        <v>344.26998901367188</v>
      </c>
      <c r="C2233">
        <v>355.39999389648438</v>
      </c>
      <c r="D2233">
        <v>343.04000854492188</v>
      </c>
      <c r="E2233">
        <v>346.60000610351563</v>
      </c>
      <c r="F2233">
        <v>99324500</v>
      </c>
      <c r="G2233" s="2" t="s">
        <v>16</v>
      </c>
      <c r="H2233">
        <v>0.46105417753929956</v>
      </c>
      <c r="I2233">
        <v>136.87578847237091</v>
      </c>
      <c r="J2233">
        <v>290.45320159912109</v>
      </c>
      <c r="K2233">
        <v>3.3817032137233296</v>
      </c>
      <c r="L2233">
        <v>0</v>
      </c>
      <c r="M2233" t="str">
        <f>VLOOKUP(fact_daily_prices[[#This Row],[Ticker]], dim_company[], 2, FALSE)</f>
        <v>Tesla Inc.</v>
      </c>
      <c r="N2233" t="str">
        <f>VLOOKUP(fact_daily_prices[[#This Row],[Ticker]], dim_company[], 3, FALSE)</f>
        <v>Consumer Discretionary</v>
      </c>
    </row>
    <row r="2234" spans="1:14" x14ac:dyDescent="0.3">
      <c r="A2234" s="1">
        <v>45812</v>
      </c>
      <c r="B2234">
        <v>332.04998779296875</v>
      </c>
      <c r="C2234">
        <v>345.60000610351563</v>
      </c>
      <c r="D2234">
        <v>327.32998657226563</v>
      </c>
      <c r="E2234">
        <v>345.10000610351563</v>
      </c>
      <c r="F2234">
        <v>98912100</v>
      </c>
      <c r="G2234" s="2" t="s">
        <v>16</v>
      </c>
      <c r="H2234">
        <v>-3.5495400733921767</v>
      </c>
      <c r="I2234">
        <v>132.0173275097726</v>
      </c>
      <c r="J2234">
        <v>291.5264010620117</v>
      </c>
      <c r="K2234">
        <v>3.4461102732399227</v>
      </c>
      <c r="L2234">
        <v>0</v>
      </c>
      <c r="M2234" t="str">
        <f>VLOOKUP(fact_daily_prices[[#This Row],[Ticker]], dim_company[], 2, FALSE)</f>
        <v>Tesla Inc.</v>
      </c>
      <c r="N2234" t="str">
        <f>VLOOKUP(fact_daily_prices[[#This Row],[Ticker]], dim_company[], 3, FALSE)</f>
        <v>Consumer Discretionary</v>
      </c>
    </row>
    <row r="2235" spans="1:14" x14ac:dyDescent="0.3">
      <c r="A2235" s="1">
        <v>45813</v>
      </c>
      <c r="B2235">
        <v>284.70001220703125</v>
      </c>
      <c r="C2235">
        <v>324.54998779296875</v>
      </c>
      <c r="D2235">
        <v>273.20999145507813</v>
      </c>
      <c r="E2235">
        <v>322.489990234375</v>
      </c>
      <c r="F2235">
        <v>287499800</v>
      </c>
      <c r="G2235" s="2" t="s">
        <v>16</v>
      </c>
      <c r="H2235">
        <v>-14.259893789082124</v>
      </c>
      <c r="I2235">
        <v>113.19179682369433</v>
      </c>
      <c r="J2235">
        <v>291.45760101318359</v>
      </c>
      <c r="K2235">
        <v>4.3633828560680099</v>
      </c>
      <c r="L2235">
        <v>1</v>
      </c>
      <c r="M2235" t="str">
        <f>VLOOKUP(fact_daily_prices[[#This Row],[Ticker]], dim_company[], 2, FALSE)</f>
        <v>Tesla Inc.</v>
      </c>
      <c r="N2235" t="str">
        <f>VLOOKUP(fact_daily_prices[[#This Row],[Ticker]], dim_company[], 3, FALSE)</f>
        <v>Consumer Discretionary</v>
      </c>
    </row>
    <row r="2236" spans="1:14" x14ac:dyDescent="0.3">
      <c r="A2236" s="1">
        <v>45814</v>
      </c>
      <c r="B2236">
        <v>295.1400146484375</v>
      </c>
      <c r="C2236">
        <v>305.5</v>
      </c>
      <c r="D2236">
        <v>291.1400146484375</v>
      </c>
      <c r="E2236">
        <v>298.82998657226563</v>
      </c>
      <c r="F2236">
        <v>164747700</v>
      </c>
      <c r="G2236" s="2" t="s">
        <v>16</v>
      </c>
      <c r="H2236">
        <v>3.6670186138995975</v>
      </c>
      <c r="I2236">
        <v>117.34256108262662</v>
      </c>
      <c r="J2236">
        <v>291.91920135498049</v>
      </c>
      <c r="K2236">
        <v>4.3674780808080396</v>
      </c>
      <c r="L2236">
        <v>0</v>
      </c>
      <c r="M2236" t="str">
        <f>VLOOKUP(fact_daily_prices[[#This Row],[Ticker]], dim_company[], 2, FALSE)</f>
        <v>Tesla Inc.</v>
      </c>
      <c r="N2236" t="str">
        <f>VLOOKUP(fact_daily_prices[[#This Row],[Ticker]], dim_company[], 3, FALSE)</f>
        <v>Consumer Discretionary</v>
      </c>
    </row>
    <row r="2237" spans="1:14" x14ac:dyDescent="0.3">
      <c r="A2237" s="1">
        <v>45817</v>
      </c>
      <c r="B2237">
        <v>308.57998657226563</v>
      </c>
      <c r="C2237">
        <v>309.82998657226563</v>
      </c>
      <c r="D2237">
        <v>281.85000610351563</v>
      </c>
      <c r="E2237">
        <v>285.95999145507813</v>
      </c>
      <c r="F2237">
        <v>140908900</v>
      </c>
      <c r="G2237" s="2" t="s">
        <v>16</v>
      </c>
      <c r="H2237">
        <v>4.5537613528404242</v>
      </c>
      <c r="I2237">
        <v>122.68606127964044</v>
      </c>
      <c r="J2237">
        <v>292.62820098876955</v>
      </c>
      <c r="K2237">
        <v>4.0785030837906255</v>
      </c>
      <c r="L2237">
        <v>0</v>
      </c>
      <c r="M2237" t="str">
        <f>VLOOKUP(fact_daily_prices[[#This Row],[Ticker]], dim_company[], 2, FALSE)</f>
        <v>Tesla Inc.</v>
      </c>
      <c r="N2237" t="str">
        <f>VLOOKUP(fact_daily_prices[[#This Row],[Ticker]], dim_company[], 3, FALSE)</f>
        <v>Consumer Discretionary</v>
      </c>
    </row>
    <row r="2238" spans="1:14" x14ac:dyDescent="0.3">
      <c r="A2238" s="1">
        <v>45818</v>
      </c>
      <c r="B2238">
        <v>326.08999633789063</v>
      </c>
      <c r="C2238">
        <v>327.82998657226563</v>
      </c>
      <c r="D2238">
        <v>310.67001342773438</v>
      </c>
      <c r="E2238">
        <v>314.94000244140625</v>
      </c>
      <c r="F2238">
        <v>151256500</v>
      </c>
      <c r="G2238" s="2" t="s">
        <v>16</v>
      </c>
      <c r="H2238">
        <v>5.674382827003055</v>
      </c>
      <c r="I2238">
        <v>129.64773807201883</v>
      </c>
      <c r="J2238">
        <v>293.87900115966795</v>
      </c>
      <c r="K2238">
        <v>4.1927505571567423</v>
      </c>
      <c r="L2238">
        <v>0</v>
      </c>
      <c r="M2238" t="str">
        <f>VLOOKUP(fact_daily_prices[[#This Row],[Ticker]], dim_company[], 2, FALSE)</f>
        <v>Tesla Inc.</v>
      </c>
      <c r="N2238" t="str">
        <f>VLOOKUP(fact_daily_prices[[#This Row],[Ticker]], dim_company[], 3, FALSE)</f>
        <v>Consumer Discretionary</v>
      </c>
    </row>
    <row r="2239" spans="1:14" x14ac:dyDescent="0.3">
      <c r="A2239" s="1">
        <v>45819</v>
      </c>
      <c r="B2239">
        <v>326.42999267578125</v>
      </c>
      <c r="C2239">
        <v>335.5</v>
      </c>
      <c r="D2239">
        <v>322.5</v>
      </c>
      <c r="E2239">
        <v>334.39999389648438</v>
      </c>
      <c r="F2239">
        <v>122611400</v>
      </c>
      <c r="G2239" s="2" t="s">
        <v>16</v>
      </c>
      <c r="H2239">
        <v>0.10426457165473302</v>
      </c>
      <c r="I2239">
        <v>129.78291473077962</v>
      </c>
      <c r="J2239">
        <v>295.2244009399414</v>
      </c>
      <c r="K2239">
        <v>4.1820558608357992</v>
      </c>
      <c r="L2239">
        <v>0</v>
      </c>
      <c r="M2239" t="str">
        <f>VLOOKUP(fact_daily_prices[[#This Row],[Ticker]], dim_company[], 2, FALSE)</f>
        <v>Tesla Inc.</v>
      </c>
      <c r="N2239" t="str">
        <f>VLOOKUP(fact_daily_prices[[#This Row],[Ticker]], dim_company[], 3, FALSE)</f>
        <v>Consumer Discretionary</v>
      </c>
    </row>
    <row r="2240" spans="1:14" x14ac:dyDescent="0.3">
      <c r="A2240" s="1">
        <v>45820</v>
      </c>
      <c r="B2240">
        <v>319.1099853515625</v>
      </c>
      <c r="C2240">
        <v>332.55999755859369</v>
      </c>
      <c r="D2240">
        <v>316.8599853515625</v>
      </c>
      <c r="E2240">
        <v>323.07998657226563</v>
      </c>
      <c r="F2240">
        <v>105127500</v>
      </c>
      <c r="G2240" s="2" t="s">
        <v>16</v>
      </c>
      <c r="H2240">
        <v>-2.2424432461661592</v>
      </c>
      <c r="I2240">
        <v>126.87260652472168</v>
      </c>
      <c r="J2240">
        <v>296.23740081787111</v>
      </c>
      <c r="K2240">
        <v>4.151094958425694</v>
      </c>
      <c r="L2240">
        <v>0</v>
      </c>
      <c r="M2240" t="str">
        <f>VLOOKUP(fact_daily_prices[[#This Row],[Ticker]], dim_company[], 2, FALSE)</f>
        <v>Tesla Inc.</v>
      </c>
      <c r="N2240" t="str">
        <f>VLOOKUP(fact_daily_prices[[#This Row],[Ticker]], dim_company[], 3, FALSE)</f>
        <v>Consumer Discretionary</v>
      </c>
    </row>
    <row r="2241" spans="1:14" x14ac:dyDescent="0.3">
      <c r="A2241" s="1">
        <v>45821</v>
      </c>
      <c r="B2241">
        <v>325.30999755859369</v>
      </c>
      <c r="C2241">
        <v>332.989990234375</v>
      </c>
      <c r="D2241">
        <v>313.29998779296875</v>
      </c>
      <c r="E2241">
        <v>313.97000122070313</v>
      </c>
      <c r="F2241">
        <v>128964300</v>
      </c>
      <c r="G2241" s="2" t="s">
        <v>16</v>
      </c>
      <c r="H2241">
        <v>1.9429076154419578</v>
      </c>
      <c r="I2241">
        <v>129.3376240588002</v>
      </c>
      <c r="J2241">
        <v>297.0884005737305</v>
      </c>
      <c r="K2241">
        <v>4.154064263894468</v>
      </c>
      <c r="L2241">
        <v>0</v>
      </c>
      <c r="M2241" t="str">
        <f>VLOOKUP(fact_daily_prices[[#This Row],[Ticker]], dim_company[], 2, FALSE)</f>
        <v>Tesla Inc.</v>
      </c>
      <c r="N2241" t="str">
        <f>VLOOKUP(fact_daily_prices[[#This Row],[Ticker]], dim_company[], 3, FALSE)</f>
        <v>Consumer Discretionary</v>
      </c>
    </row>
    <row r="2242" spans="1:14" x14ac:dyDescent="0.3">
      <c r="A2242" s="1">
        <v>45824</v>
      </c>
      <c r="B2242">
        <v>329.1300048828125</v>
      </c>
      <c r="C2242">
        <v>332.04998779296875</v>
      </c>
      <c r="D2242">
        <v>326.41000366210938</v>
      </c>
      <c r="E2242">
        <v>331.29000854492188</v>
      </c>
      <c r="F2242">
        <v>83925900</v>
      </c>
      <c r="G2242" s="2" t="s">
        <v>16</v>
      </c>
      <c r="H2242">
        <v>1.1742668079331775</v>
      </c>
      <c r="I2242">
        <v>130.8563928482921</v>
      </c>
      <c r="J2242">
        <v>298.32540069580079</v>
      </c>
      <c r="K2242">
        <v>4.1418013948871097</v>
      </c>
      <c r="L2242">
        <v>0</v>
      </c>
      <c r="M2242" t="str">
        <f>VLOOKUP(fact_daily_prices[[#This Row],[Ticker]], dim_company[], 2, FALSE)</f>
        <v>Tesla Inc.</v>
      </c>
      <c r="N2242" t="str">
        <f>VLOOKUP(fact_daily_prices[[#This Row],[Ticker]], dim_company[], 3, FALSE)</f>
        <v>Consumer Discretionary</v>
      </c>
    </row>
    <row r="2243" spans="1:14" x14ac:dyDescent="0.3">
      <c r="A2243" s="1">
        <v>45825</v>
      </c>
      <c r="B2243">
        <v>316.35000610351563</v>
      </c>
      <c r="C2243">
        <v>327.260009765625</v>
      </c>
      <c r="D2243">
        <v>314.739990234375</v>
      </c>
      <c r="E2243">
        <v>326.08999633789063</v>
      </c>
      <c r="F2243">
        <v>88282700</v>
      </c>
      <c r="G2243" s="2" t="s">
        <v>16</v>
      </c>
      <c r="H2243">
        <v>-3.8829637497946212</v>
      </c>
      <c r="I2243">
        <v>125.77528654970406</v>
      </c>
      <c r="J2243">
        <v>299.86380096435545</v>
      </c>
      <c r="K2243">
        <v>4.1862431768204855</v>
      </c>
      <c r="L2243">
        <v>0</v>
      </c>
      <c r="M2243" t="str">
        <f>VLOOKUP(fact_daily_prices[[#This Row],[Ticker]], dim_company[], 2, FALSE)</f>
        <v>Tesla Inc.</v>
      </c>
      <c r="N2243" t="str">
        <f>VLOOKUP(fact_daily_prices[[#This Row],[Ticker]], dim_company[], 3, FALSE)</f>
        <v>Consumer Discretionary</v>
      </c>
    </row>
    <row r="2244" spans="1:14" x14ac:dyDescent="0.3">
      <c r="A2244" s="1">
        <v>45826</v>
      </c>
      <c r="B2244">
        <v>316.35000610351563</v>
      </c>
      <c r="C2244">
        <v>329.32000732421875</v>
      </c>
      <c r="D2244">
        <v>315.45001220703125</v>
      </c>
      <c r="E2244">
        <v>317.30999755859369</v>
      </c>
      <c r="F2244">
        <v>95137700</v>
      </c>
      <c r="G2244" s="2" t="s">
        <v>16</v>
      </c>
      <c r="H2244">
        <v>0</v>
      </c>
      <c r="I2244">
        <v>125.77528654970406</v>
      </c>
      <c r="J2244">
        <v>301.52500122070313</v>
      </c>
      <c r="K2244">
        <v>4.1660300069622664</v>
      </c>
      <c r="L2244">
        <v>0</v>
      </c>
      <c r="M2244" t="str">
        <f>VLOOKUP(fact_daily_prices[[#This Row],[Ticker]], dim_company[], 2, FALSE)</f>
        <v>Tesla Inc.</v>
      </c>
      <c r="N2244" t="str">
        <f>VLOOKUP(fact_daily_prices[[#This Row],[Ticker]], dim_company[], 3, FALSE)</f>
        <v>Consumer Discretionary</v>
      </c>
    </row>
    <row r="2245" spans="1:14" x14ac:dyDescent="0.3">
      <c r="A2245" s="1">
        <v>45828</v>
      </c>
      <c r="B2245">
        <v>322.16000366210938</v>
      </c>
      <c r="C2245">
        <v>332.3599853515625</v>
      </c>
      <c r="D2245">
        <v>317.77999877929688</v>
      </c>
      <c r="E2245">
        <v>327.95001220703125</v>
      </c>
      <c r="F2245">
        <v>108688000</v>
      </c>
      <c r="G2245" s="2" t="s">
        <v>16</v>
      </c>
      <c r="H2245">
        <v>1.8365726083446443</v>
      </c>
      <c r="I2245">
        <v>128.08524101054292</v>
      </c>
      <c r="J2245">
        <v>303.53100128173827</v>
      </c>
      <c r="K2245">
        <v>4.172323526504055</v>
      </c>
      <c r="L2245">
        <v>0</v>
      </c>
      <c r="M2245" t="str">
        <f>VLOOKUP(fact_daily_prices[[#This Row],[Ticker]], dim_company[], 2, FALSE)</f>
        <v>Tesla Inc.</v>
      </c>
      <c r="N2245" t="str">
        <f>VLOOKUP(fact_daily_prices[[#This Row],[Ticker]], dim_company[], 3, FALSE)</f>
        <v>Consumer Discretionary</v>
      </c>
    </row>
    <row r="2246" spans="1:14" x14ac:dyDescent="0.3">
      <c r="A2246" s="1">
        <v>45831</v>
      </c>
      <c r="B2246">
        <v>348.67999267578125</v>
      </c>
      <c r="C2246">
        <v>357.54000854492188</v>
      </c>
      <c r="D2246">
        <v>327.48001098632813</v>
      </c>
      <c r="E2246">
        <v>327.54000854492188</v>
      </c>
      <c r="F2246">
        <v>190716800</v>
      </c>
      <c r="G2246" s="2" t="s">
        <v>16</v>
      </c>
      <c r="H2246">
        <v>8.2319309387290716</v>
      </c>
      <c r="I2246">
        <v>138.62912959323549</v>
      </c>
      <c r="J2246">
        <v>305.06060089111327</v>
      </c>
      <c r="K2246">
        <v>4.3781727268855182</v>
      </c>
      <c r="L2246">
        <v>0</v>
      </c>
      <c r="M2246" t="str">
        <f>VLOOKUP(fact_daily_prices[[#This Row],[Ticker]], dim_company[], 2, FALSE)</f>
        <v>Tesla Inc.</v>
      </c>
      <c r="N2246" t="str">
        <f>VLOOKUP(fact_daily_prices[[#This Row],[Ticker]], dim_company[], 3, FALSE)</f>
        <v>Consumer Discretionary</v>
      </c>
    </row>
    <row r="2247" spans="1:14" x14ac:dyDescent="0.3">
      <c r="A2247" s="1">
        <v>45832</v>
      </c>
      <c r="B2247">
        <v>340.47000122070313</v>
      </c>
      <c r="C2247">
        <v>356.260009765625</v>
      </c>
      <c r="D2247">
        <v>340.44000244140625</v>
      </c>
      <c r="E2247">
        <v>356.17001342773438</v>
      </c>
      <c r="F2247">
        <v>114736200</v>
      </c>
      <c r="G2247" s="2" t="s">
        <v>16</v>
      </c>
      <c r="H2247">
        <v>-2.3545920693855638</v>
      </c>
      <c r="I2247">
        <v>135.36497910197491</v>
      </c>
      <c r="J2247">
        <v>306.82200103759766</v>
      </c>
      <c r="K2247">
        <v>4.3486492587174652</v>
      </c>
      <c r="L2247">
        <v>0</v>
      </c>
      <c r="M2247" t="str">
        <f>VLOOKUP(fact_daily_prices[[#This Row],[Ticker]], dim_company[], 2, FALSE)</f>
        <v>Tesla Inc.</v>
      </c>
      <c r="N2247" t="str">
        <f>VLOOKUP(fact_daily_prices[[#This Row],[Ticker]], dim_company[], 3, FALSE)</f>
        <v>Consumer Discretionary</v>
      </c>
    </row>
    <row r="2248" spans="1:14" x14ac:dyDescent="0.3">
      <c r="A2248" s="1">
        <v>45833</v>
      </c>
      <c r="B2248">
        <v>327.54998779296875</v>
      </c>
      <c r="C2248">
        <v>343</v>
      </c>
      <c r="D2248">
        <v>320.39999389648438</v>
      </c>
      <c r="E2248">
        <v>342.70001220703125</v>
      </c>
      <c r="F2248">
        <v>119845100</v>
      </c>
      <c r="G2248" s="2" t="s">
        <v>16</v>
      </c>
      <c r="H2248">
        <v>-3.7947582404945002</v>
      </c>
      <c r="I2248">
        <v>130.22820540275904</v>
      </c>
      <c r="J2248">
        <v>308.32680084228514</v>
      </c>
      <c r="K2248">
        <v>4.2544221622161738</v>
      </c>
      <c r="L2248">
        <v>0</v>
      </c>
      <c r="M2248" t="str">
        <f>VLOOKUP(fact_daily_prices[[#This Row],[Ticker]], dim_company[], 2, FALSE)</f>
        <v>Tesla Inc.</v>
      </c>
      <c r="N2248" t="str">
        <f>VLOOKUP(fact_daily_prices[[#This Row],[Ticker]], dim_company[], 3, FALSE)</f>
        <v>Consumer Discretionary</v>
      </c>
    </row>
    <row r="2249" spans="1:14" x14ac:dyDescent="0.3">
      <c r="A2249" s="1">
        <v>45834</v>
      </c>
      <c r="B2249">
        <v>325.77999877929688</v>
      </c>
      <c r="C2249">
        <v>331.04998779296875</v>
      </c>
      <c r="D2249">
        <v>323.6099853515625</v>
      </c>
      <c r="E2249">
        <v>324.6099853515625</v>
      </c>
      <c r="F2249">
        <v>80440900</v>
      </c>
      <c r="G2249" s="2" t="s">
        <v>16</v>
      </c>
      <c r="H2249">
        <v>-0.54037218123500486</v>
      </c>
      <c r="I2249">
        <v>129.52448840864096</v>
      </c>
      <c r="J2249">
        <v>309.79540069580077</v>
      </c>
      <c r="K2249">
        <v>4.1602898424670665</v>
      </c>
      <c r="L2249">
        <v>0</v>
      </c>
      <c r="M2249" t="str">
        <f>VLOOKUP(fact_daily_prices[[#This Row],[Ticker]], dim_company[], 2, FALSE)</f>
        <v>Tesla Inc.</v>
      </c>
      <c r="N2249" t="str">
        <f>VLOOKUP(fact_daily_prices[[#This Row],[Ticker]], dim_company[], 3, FALSE)</f>
        <v>Consumer Discretionary</v>
      </c>
    </row>
    <row r="2250" spans="1:14" x14ac:dyDescent="0.3">
      <c r="A2250" s="1">
        <v>45835</v>
      </c>
      <c r="B2250">
        <v>323.6300048828125</v>
      </c>
      <c r="C2250">
        <v>329.33999633789063</v>
      </c>
      <c r="D2250">
        <v>317.5</v>
      </c>
      <c r="E2250">
        <v>324.510009765625</v>
      </c>
      <c r="F2250">
        <v>89067000</v>
      </c>
      <c r="G2250" s="2" t="s">
        <v>16</v>
      </c>
      <c r="H2250">
        <v>-0.65995269953356139</v>
      </c>
      <c r="I2250">
        <v>128.6696880508311</v>
      </c>
      <c r="J2250">
        <v>311.18580078125001</v>
      </c>
      <c r="K2250">
        <v>4.0897105537510292</v>
      </c>
      <c r="L2250">
        <v>0</v>
      </c>
      <c r="M2250" t="str">
        <f>VLOOKUP(fact_daily_prices[[#This Row],[Ticker]], dim_company[], 2, FALSE)</f>
        <v>Tesla Inc.</v>
      </c>
      <c r="N2250" t="str">
        <f>VLOOKUP(fact_daily_prices[[#This Row],[Ticker]], dim_company[], 3, FALSE)</f>
        <v>Consumer Discretionary</v>
      </c>
    </row>
    <row r="2251" spans="1:14" x14ac:dyDescent="0.3">
      <c r="A2251" s="1">
        <v>45838</v>
      </c>
      <c r="B2251">
        <v>317.66000366210938</v>
      </c>
      <c r="C2251">
        <v>325.57998657226563</v>
      </c>
      <c r="D2251">
        <v>316.60000610351563</v>
      </c>
      <c r="E2251">
        <v>319.89999389648438</v>
      </c>
      <c r="F2251">
        <v>76695100</v>
      </c>
      <c r="G2251" s="2" t="s">
        <v>16</v>
      </c>
      <c r="H2251">
        <v>-1.8446995428822777</v>
      </c>
      <c r="I2251">
        <v>126.29611890352936</v>
      </c>
      <c r="J2251">
        <v>312.70800079345702</v>
      </c>
      <c r="K2251">
        <v>4.0952019217391342</v>
      </c>
      <c r="L2251">
        <v>0</v>
      </c>
      <c r="M2251" t="str">
        <f>VLOOKUP(fact_daily_prices[[#This Row],[Ticker]], dim_company[], 2, FALSE)</f>
        <v>Tesla Inc.</v>
      </c>
      <c r="N2251" t="str">
        <f>VLOOKUP(fact_daily_prices[[#This Row],[Ticker]], dim_company[], 3, FALSE)</f>
        <v>Consumer Discretionary</v>
      </c>
    </row>
    <row r="2252" spans="1:14" x14ac:dyDescent="0.3">
      <c r="A2252" s="1">
        <v>45839</v>
      </c>
      <c r="B2252">
        <v>300.70999145507813</v>
      </c>
      <c r="C2252">
        <v>305.8900146484375</v>
      </c>
      <c r="D2252">
        <v>293.20999145507813</v>
      </c>
      <c r="E2252">
        <v>298.45999145507813</v>
      </c>
      <c r="F2252">
        <v>145085700</v>
      </c>
      <c r="G2252" s="2" t="s">
        <v>16</v>
      </c>
      <c r="H2252">
        <v>-5.3358975041317258</v>
      </c>
      <c r="I2252">
        <v>119.5570874471407</v>
      </c>
      <c r="J2252">
        <v>313.89480072021485</v>
      </c>
      <c r="K2252">
        <v>4.1774988508965505</v>
      </c>
      <c r="L2252">
        <v>0</v>
      </c>
      <c r="M2252" t="str">
        <f>VLOOKUP(fact_daily_prices[[#This Row],[Ticker]], dim_company[], 2, FALSE)</f>
        <v>Tesla Inc.</v>
      </c>
      <c r="N2252" t="str">
        <f>VLOOKUP(fact_daily_prices[[#This Row],[Ticker]], dim_company[], 3, FALSE)</f>
        <v>Consumer Discretionary</v>
      </c>
    </row>
    <row r="2253" spans="1:14" x14ac:dyDescent="0.3">
      <c r="A2253" s="1">
        <v>45840</v>
      </c>
      <c r="B2253">
        <v>315.64999389648438</v>
      </c>
      <c r="C2253">
        <v>316.82998657226563</v>
      </c>
      <c r="D2253">
        <v>303.82000732421875</v>
      </c>
      <c r="E2253">
        <v>312.6300048828125</v>
      </c>
      <c r="F2253">
        <v>119483700</v>
      </c>
      <c r="G2253" s="2" t="s">
        <v>16</v>
      </c>
      <c r="H2253">
        <v>4.9682427807318463</v>
      </c>
      <c r="I2253">
        <v>125.49697381308653</v>
      </c>
      <c r="J2253">
        <v>315.65780059814455</v>
      </c>
      <c r="K2253">
        <v>4.2749888084179153</v>
      </c>
      <c r="L2253">
        <v>0</v>
      </c>
      <c r="M2253" t="str">
        <f>VLOOKUP(fact_daily_prices[[#This Row],[Ticker]], dim_company[], 2, FALSE)</f>
        <v>Tesla Inc.</v>
      </c>
      <c r="N2253" t="str">
        <f>VLOOKUP(fact_daily_prices[[#This Row],[Ticker]], dim_company[], 3, FALSE)</f>
        <v>Consumer Discretionary</v>
      </c>
    </row>
    <row r="2254" spans="1:14" x14ac:dyDescent="0.3">
      <c r="A2254" s="1">
        <v>45841</v>
      </c>
      <c r="B2254">
        <v>315.35000610351563</v>
      </c>
      <c r="C2254">
        <v>318.45001220703125</v>
      </c>
      <c r="D2254">
        <v>312.760009765625</v>
      </c>
      <c r="E2254">
        <v>317.989990234375</v>
      </c>
      <c r="F2254">
        <v>58042300</v>
      </c>
      <c r="G2254" s="2" t="s">
        <v>16</v>
      </c>
      <c r="H2254">
        <v>-9.5038111442868889E-2</v>
      </c>
      <c r="I2254">
        <v>125.37770385925661</v>
      </c>
      <c r="J2254">
        <v>317.20540069580079</v>
      </c>
      <c r="K2254">
        <v>4.2730870578394473</v>
      </c>
      <c r="L2254">
        <v>0</v>
      </c>
      <c r="M2254" t="str">
        <f>VLOOKUP(fact_daily_prices[[#This Row],[Ticker]], dim_company[], 2, FALSE)</f>
        <v>Tesla Inc.</v>
      </c>
      <c r="N2254" t="str">
        <f>VLOOKUP(fact_daily_prices[[#This Row],[Ticker]], dim_company[], 3, FALSE)</f>
        <v>Consumer Discretionary</v>
      </c>
    </row>
    <row r="2255" spans="1:14" x14ac:dyDescent="0.3">
      <c r="A2255" s="1">
        <v>45845</v>
      </c>
      <c r="B2255">
        <v>293.94000244140625</v>
      </c>
      <c r="C2255">
        <v>296.14999389648438</v>
      </c>
      <c r="D2255">
        <v>288.76998901367188</v>
      </c>
      <c r="E2255">
        <v>291.3699951171875</v>
      </c>
      <c r="F2255">
        <v>131177900</v>
      </c>
      <c r="G2255" s="2" t="s">
        <v>16</v>
      </c>
      <c r="H2255">
        <v>-6.7892827803153422</v>
      </c>
      <c r="I2255">
        <v>116.86545700078534</v>
      </c>
      <c r="J2255">
        <v>318.0694006347656</v>
      </c>
      <c r="K2255">
        <v>4.4188788217232382</v>
      </c>
      <c r="L2255">
        <v>0</v>
      </c>
      <c r="M2255" t="str">
        <f>VLOOKUP(fact_daily_prices[[#This Row],[Ticker]], dim_company[], 2, FALSE)</f>
        <v>Tesla Inc.</v>
      </c>
      <c r="N2255" t="str">
        <f>VLOOKUP(fact_daily_prices[[#This Row],[Ticker]], dim_company[], 3, FALSE)</f>
        <v>Consumer Discretionary</v>
      </c>
    </row>
    <row r="2256" spans="1:14" x14ac:dyDescent="0.3">
      <c r="A2256" s="1">
        <v>45846</v>
      </c>
      <c r="B2256">
        <v>297.80999755859369</v>
      </c>
      <c r="C2256">
        <v>304.04998779296875</v>
      </c>
      <c r="D2256">
        <v>294.35000610351563</v>
      </c>
      <c r="E2256">
        <v>297</v>
      </c>
      <c r="F2256">
        <v>103246700</v>
      </c>
      <c r="G2256" s="2" t="s">
        <v>16</v>
      </c>
      <c r="H2256">
        <v>1.3165935514200422</v>
      </c>
      <c r="I2256">
        <v>118.40410007149522</v>
      </c>
      <c r="J2256">
        <v>318.83540039062501</v>
      </c>
      <c r="K2256">
        <v>4.4096532246338267</v>
      </c>
      <c r="L2256">
        <v>0</v>
      </c>
      <c r="M2256" t="str">
        <f>VLOOKUP(fact_daily_prices[[#This Row],[Ticker]], dim_company[], 2, FALSE)</f>
        <v>Tesla Inc.</v>
      </c>
      <c r="N2256" t="str">
        <f>VLOOKUP(fact_daily_prices[[#This Row],[Ticker]], dim_company[], 3, FALSE)</f>
        <v>Consumer Discretionary</v>
      </c>
    </row>
    <row r="2257" spans="1:14" x14ac:dyDescent="0.3">
      <c r="A2257" s="1">
        <v>45847</v>
      </c>
      <c r="B2257">
        <v>295.8800048828125</v>
      </c>
      <c r="C2257">
        <v>300.14999389648438</v>
      </c>
      <c r="D2257">
        <v>293.54998779296875</v>
      </c>
      <c r="E2257">
        <v>297.54998779296875</v>
      </c>
      <c r="F2257">
        <v>75586800</v>
      </c>
      <c r="G2257" s="2" t="s">
        <v>16</v>
      </c>
      <c r="H2257">
        <v>-0.64806174796112614</v>
      </c>
      <c r="I2257">
        <v>117.63676839091426</v>
      </c>
      <c r="J2257">
        <v>319.05400024414064</v>
      </c>
      <c r="K2257">
        <v>4.4099065260934172</v>
      </c>
      <c r="L2257">
        <v>0</v>
      </c>
      <c r="M2257" t="str">
        <f>VLOOKUP(fact_daily_prices[[#This Row],[Ticker]], dim_company[], 2, FALSE)</f>
        <v>Tesla Inc.</v>
      </c>
      <c r="N2257" t="str">
        <f>VLOOKUP(fact_daily_prices[[#This Row],[Ticker]], dim_company[], 3, FALSE)</f>
        <v>Consumer Discretionary</v>
      </c>
    </row>
    <row r="2258" spans="1:14" x14ac:dyDescent="0.3">
      <c r="A2258" s="1">
        <v>45848</v>
      </c>
      <c r="B2258">
        <v>309.8699951171875</v>
      </c>
      <c r="C2258">
        <v>310.48001098632813</v>
      </c>
      <c r="D2258">
        <v>300</v>
      </c>
      <c r="E2258">
        <v>300.04998779296875</v>
      </c>
      <c r="F2258">
        <v>104365300</v>
      </c>
      <c r="G2258" s="2" t="s">
        <v>16</v>
      </c>
      <c r="H2258">
        <v>4.7282648382799497</v>
      </c>
      <c r="I2258">
        <v>123.19894634763067</v>
      </c>
      <c r="J2258">
        <v>319.53380004882814</v>
      </c>
      <c r="K2258">
        <v>4.3008124718561795</v>
      </c>
      <c r="L2258">
        <v>0</v>
      </c>
      <c r="M2258" t="str">
        <f>VLOOKUP(fact_daily_prices[[#This Row],[Ticker]], dim_company[], 2, FALSE)</f>
        <v>Tesla Inc.</v>
      </c>
      <c r="N2258" t="str">
        <f>VLOOKUP(fact_daily_prices[[#This Row],[Ticker]], dim_company[], 3, FALSE)</f>
        <v>Consumer Discretionary</v>
      </c>
    </row>
    <row r="2259" spans="1:14" x14ac:dyDescent="0.3">
      <c r="A2259" s="1">
        <v>45849</v>
      </c>
      <c r="B2259">
        <v>313.510009765625</v>
      </c>
      <c r="C2259">
        <v>314.08999633789063</v>
      </c>
      <c r="D2259">
        <v>305.64999389648438</v>
      </c>
      <c r="E2259">
        <v>307.8900146484375</v>
      </c>
      <c r="F2259">
        <v>79236400</v>
      </c>
      <c r="G2259" s="2" t="s">
        <v>16</v>
      </c>
      <c r="H2259">
        <v>1.174690904506881</v>
      </c>
      <c r="I2259">
        <v>124.6461531648246</v>
      </c>
      <c r="J2259">
        <v>319.96340026855466</v>
      </c>
      <c r="K2259">
        <v>4.3041607133403925</v>
      </c>
      <c r="L2259">
        <v>0</v>
      </c>
      <c r="M2259" t="str">
        <f>VLOOKUP(fact_daily_prices[[#This Row],[Ticker]], dim_company[], 2, FALSE)</f>
        <v>Tesla Inc.</v>
      </c>
      <c r="N2259" t="str">
        <f>VLOOKUP(fact_daily_prices[[#This Row],[Ticker]], dim_company[], 3, FALSE)</f>
        <v>Consumer Discretionary</v>
      </c>
    </row>
    <row r="2260" spans="1:14" x14ac:dyDescent="0.3">
      <c r="A2260" s="1">
        <v>45852</v>
      </c>
      <c r="B2260">
        <v>316.89999389648438</v>
      </c>
      <c r="C2260">
        <v>322.60000610351563</v>
      </c>
      <c r="D2260">
        <v>312.67001342773438</v>
      </c>
      <c r="E2260">
        <v>317.73001098632813</v>
      </c>
      <c r="F2260">
        <v>78043400</v>
      </c>
      <c r="G2260" s="2" t="s">
        <v>16</v>
      </c>
      <c r="H2260">
        <v>1.0813001260769006</v>
      </c>
      <c r="I2260">
        <v>125.99395217614584</v>
      </c>
      <c r="J2260">
        <v>320.6582000732422</v>
      </c>
      <c r="K2260">
        <v>4.3098186475850753</v>
      </c>
      <c r="L2260">
        <v>0</v>
      </c>
      <c r="M2260" t="str">
        <f>VLOOKUP(fact_daily_prices[[#This Row],[Ticker]], dim_company[], 2, FALSE)</f>
        <v>Tesla Inc.</v>
      </c>
      <c r="N2260" t="str">
        <f>VLOOKUP(fact_daily_prices[[#This Row],[Ticker]], dim_company[], 3, FALSE)</f>
        <v>Consumer Discretionary</v>
      </c>
    </row>
    <row r="2261" spans="1:14" x14ac:dyDescent="0.3">
      <c r="A2261" s="1">
        <v>45853</v>
      </c>
      <c r="B2261">
        <v>310.77999877929688</v>
      </c>
      <c r="C2261">
        <v>321.20001220703125</v>
      </c>
      <c r="D2261">
        <v>310.5</v>
      </c>
      <c r="E2261">
        <v>319.67999267578125</v>
      </c>
      <c r="F2261">
        <v>77556300</v>
      </c>
      <c r="G2261" s="2" t="s">
        <v>16</v>
      </c>
      <c r="H2261">
        <v>-1.9312070795389769</v>
      </c>
      <c r="I2261">
        <v>123.56074805192915</v>
      </c>
      <c r="J2261">
        <v>321.26340026855468</v>
      </c>
      <c r="K2261">
        <v>4.2833487306219844</v>
      </c>
      <c r="L2261">
        <v>0</v>
      </c>
      <c r="M2261" t="str">
        <f>VLOOKUP(fact_daily_prices[[#This Row],[Ticker]], dim_company[], 2, FALSE)</f>
        <v>Tesla Inc.</v>
      </c>
      <c r="N2261" t="str">
        <f>VLOOKUP(fact_daily_prices[[#This Row],[Ticker]], dim_company[], 3, FALSE)</f>
        <v>Consumer Discretionary</v>
      </c>
    </row>
    <row r="2262" spans="1:14" x14ac:dyDescent="0.3">
      <c r="A2262" s="1">
        <v>45854</v>
      </c>
      <c r="B2262">
        <v>321.67001342773438</v>
      </c>
      <c r="C2262">
        <v>323.5</v>
      </c>
      <c r="D2262">
        <v>312.6199951171875</v>
      </c>
      <c r="E2262">
        <v>312.79998779296875</v>
      </c>
      <c r="F2262">
        <v>97284800</v>
      </c>
      <c r="G2262" s="2" t="s">
        <v>16</v>
      </c>
      <c r="H2262">
        <v>3.5040912192586537</v>
      </c>
      <c r="I2262">
        <v>127.89042937486713</v>
      </c>
      <c r="J2262">
        <v>321.95260070800782</v>
      </c>
      <c r="K2262">
        <v>4.3348513503718964</v>
      </c>
      <c r="L2262">
        <v>0</v>
      </c>
      <c r="M2262" t="str">
        <f>VLOOKUP(fact_daily_prices[[#This Row],[Ticker]], dim_company[], 2, FALSE)</f>
        <v>Tesla Inc.</v>
      </c>
      <c r="N2262" t="str">
        <f>VLOOKUP(fact_daily_prices[[#This Row],[Ticker]], dim_company[], 3, FALSE)</f>
        <v>Consumer Discretionary</v>
      </c>
    </row>
    <row r="2263" spans="1:14" x14ac:dyDescent="0.3">
      <c r="A2263" s="1">
        <v>45855</v>
      </c>
      <c r="B2263">
        <v>319.41000366210938</v>
      </c>
      <c r="C2263">
        <v>324.33999633789063</v>
      </c>
      <c r="D2263">
        <v>317.05999755859369</v>
      </c>
      <c r="E2263">
        <v>323.14999389648438</v>
      </c>
      <c r="F2263">
        <v>73922900</v>
      </c>
      <c r="G2263" s="2" t="s">
        <v>16</v>
      </c>
      <c r="H2263">
        <v>-0.70258639950370183</v>
      </c>
      <c r="I2263">
        <v>126.99188861181241</v>
      </c>
      <c r="J2263">
        <v>322.7356005859375</v>
      </c>
      <c r="K2263">
        <v>4.334706885881241</v>
      </c>
      <c r="L2263">
        <v>0</v>
      </c>
      <c r="M2263" t="str">
        <f>VLOOKUP(fact_daily_prices[[#This Row],[Ticker]], dim_company[], 2, FALSE)</f>
        <v>Tesla Inc.</v>
      </c>
      <c r="N2263" t="str">
        <f>VLOOKUP(fact_daily_prices[[#This Row],[Ticker]], dim_company[], 3, FALSE)</f>
        <v>Consumer Discretionary</v>
      </c>
    </row>
    <row r="2264" spans="1:14" x14ac:dyDescent="0.3">
      <c r="A2264" s="1">
        <v>45856</v>
      </c>
      <c r="B2264">
        <v>329.64999389648438</v>
      </c>
      <c r="C2264">
        <v>330.89999389648438</v>
      </c>
      <c r="D2264">
        <v>321.42001342773438</v>
      </c>
      <c r="E2264">
        <v>321.66000366210938</v>
      </c>
      <c r="F2264">
        <v>94255000</v>
      </c>
      <c r="G2264" s="2" t="s">
        <v>16</v>
      </c>
      <c r="H2264">
        <v>3.2059078040672429</v>
      </c>
      <c r="I2264">
        <v>131.06313147935086</v>
      </c>
      <c r="J2264">
        <v>323.82160034179685</v>
      </c>
      <c r="K2264">
        <v>4.3277882572657731</v>
      </c>
      <c r="L2264">
        <v>0</v>
      </c>
      <c r="M2264" t="str">
        <f>VLOOKUP(fact_daily_prices[[#This Row],[Ticker]], dim_company[], 2, FALSE)</f>
        <v>Tesla Inc.</v>
      </c>
      <c r="N2264" t="str">
        <f>VLOOKUP(fact_daily_prices[[#This Row],[Ticker]], dim_company[], 3, FALSE)</f>
        <v>Consumer Discretionary</v>
      </c>
    </row>
    <row r="2265" spans="1:14" x14ac:dyDescent="0.3">
      <c r="A2265" s="1">
        <v>45859</v>
      </c>
      <c r="B2265">
        <v>328.489990234375</v>
      </c>
      <c r="C2265">
        <v>338</v>
      </c>
      <c r="D2265">
        <v>326.8800048828125</v>
      </c>
      <c r="E2265">
        <v>334.39999389648438</v>
      </c>
      <c r="F2265">
        <v>75768800</v>
      </c>
      <c r="G2265" s="2" t="s">
        <v>16</v>
      </c>
      <c r="H2265">
        <v>-0.35188948387289143</v>
      </c>
      <c r="I2265">
        <v>130.60193410244051</v>
      </c>
      <c r="J2265">
        <v>324.86700012207029</v>
      </c>
      <c r="K2265">
        <v>3.3813047955350202</v>
      </c>
      <c r="L2265">
        <v>0</v>
      </c>
      <c r="M2265" t="str">
        <f>VLOOKUP(fact_daily_prices[[#This Row],[Ticker]], dim_company[], 2, FALSE)</f>
        <v>Tesla Inc.</v>
      </c>
      <c r="N2265" t="str">
        <f>VLOOKUP(fact_daily_prices[[#This Row],[Ticker]], dim_company[], 3, FALSE)</f>
        <v>Consumer Discretionary</v>
      </c>
    </row>
    <row r="2266" spans="1:14" x14ac:dyDescent="0.3">
      <c r="A2266" s="1">
        <v>45860</v>
      </c>
      <c r="B2266">
        <v>332.1099853515625</v>
      </c>
      <c r="C2266">
        <v>335.41000366210938</v>
      </c>
      <c r="D2266">
        <v>321.54998779296875</v>
      </c>
      <c r="E2266">
        <v>329.739990234375</v>
      </c>
      <c r="F2266">
        <v>77370400</v>
      </c>
      <c r="G2266" s="2" t="s">
        <v>16</v>
      </c>
      <c r="H2266">
        <v>1.10201078413521</v>
      </c>
      <c r="I2266">
        <v>132.04118150053858</v>
      </c>
      <c r="J2266">
        <v>325.8127996826172</v>
      </c>
      <c r="K2266">
        <v>3.3313863247399418</v>
      </c>
      <c r="L2266">
        <v>0</v>
      </c>
      <c r="M2266" t="str">
        <f>VLOOKUP(fact_daily_prices[[#This Row],[Ticker]], dim_company[], 2, FALSE)</f>
        <v>Tesla Inc.</v>
      </c>
      <c r="N2266" t="str">
        <f>VLOOKUP(fact_daily_prices[[#This Row],[Ticker]], dim_company[], 3, FALSE)</f>
        <v>Consumer Discretionary</v>
      </c>
    </row>
    <row r="2267" spans="1:14" x14ac:dyDescent="0.3">
      <c r="A2267" s="1">
        <v>45861</v>
      </c>
      <c r="B2267">
        <v>332.55999755859369</v>
      </c>
      <c r="C2267">
        <v>336.20001220703125</v>
      </c>
      <c r="D2267">
        <v>328.67001342773438</v>
      </c>
      <c r="E2267">
        <v>330.89999389648438</v>
      </c>
      <c r="F2267">
        <v>92553800</v>
      </c>
      <c r="G2267" s="2" t="s">
        <v>16</v>
      </c>
      <c r="H2267">
        <v>0.13550095657461902</v>
      </c>
      <c r="I2267">
        <v>132.22009856454423</v>
      </c>
      <c r="J2267">
        <v>326.49879943847657</v>
      </c>
      <c r="K2267">
        <v>3.2400047973511339</v>
      </c>
      <c r="L2267">
        <v>0</v>
      </c>
      <c r="M2267" t="str">
        <f>VLOOKUP(fact_daily_prices[[#This Row],[Ticker]], dim_company[], 2, FALSE)</f>
        <v>Tesla Inc.</v>
      </c>
      <c r="N2267" t="str">
        <f>VLOOKUP(fact_daily_prices[[#This Row],[Ticker]], dim_company[], 3, FALSE)</f>
        <v>Consumer Discretionary</v>
      </c>
    </row>
    <row r="2268" spans="1:14" x14ac:dyDescent="0.3">
      <c r="A2268" s="1">
        <v>45862</v>
      </c>
      <c r="B2268">
        <v>305.29998779296875</v>
      </c>
      <c r="C2268">
        <v>310.14999389648438</v>
      </c>
      <c r="D2268">
        <v>300.41000366210938</v>
      </c>
      <c r="E2268">
        <v>310</v>
      </c>
      <c r="F2268">
        <v>156966000</v>
      </c>
      <c r="G2268" s="2" t="s">
        <v>16</v>
      </c>
      <c r="H2268">
        <v>-8.1970200763012748</v>
      </c>
      <c r="I2268">
        <v>121.38199054030321</v>
      </c>
      <c r="J2268">
        <v>326.23719909667966</v>
      </c>
      <c r="K2268">
        <v>3.430790817253726</v>
      </c>
      <c r="L2268">
        <v>0</v>
      </c>
      <c r="M2268" t="str">
        <f>VLOOKUP(fact_daily_prices[[#This Row],[Ticker]], dim_company[], 2, FALSE)</f>
        <v>Tesla Inc.</v>
      </c>
      <c r="N2268" t="str">
        <f>VLOOKUP(fact_daily_prices[[#This Row],[Ticker]], dim_company[], 3, FALSE)</f>
        <v>Consumer Discretionary</v>
      </c>
    </row>
    <row r="2269" spans="1:14" x14ac:dyDescent="0.3">
      <c r="A2269" s="1">
        <v>45863</v>
      </c>
      <c r="B2269">
        <v>316.05999755859369</v>
      </c>
      <c r="C2269">
        <v>323.6300048828125</v>
      </c>
      <c r="D2269">
        <v>308.010009765625</v>
      </c>
      <c r="E2269">
        <v>308.739990234375</v>
      </c>
      <c r="F2269">
        <v>148227000</v>
      </c>
      <c r="G2269" s="2" t="s">
        <v>16</v>
      </c>
      <c r="H2269">
        <v>3.52440556693423</v>
      </c>
      <c r="I2269">
        <v>125.65998417216126</v>
      </c>
      <c r="J2269">
        <v>325.87699890136719</v>
      </c>
      <c r="K2269">
        <v>3.496151492117042</v>
      </c>
      <c r="L2269">
        <v>0</v>
      </c>
      <c r="M2269" t="str">
        <f>VLOOKUP(fact_daily_prices[[#This Row],[Ticker]], dim_company[], 2, FALSE)</f>
        <v>Tesla Inc.</v>
      </c>
      <c r="N2269" t="str">
        <f>VLOOKUP(fact_daily_prices[[#This Row],[Ticker]], dim_company[], 3, FALSE)</f>
        <v>Consumer Discretionary</v>
      </c>
    </row>
    <row r="2270" spans="1:14" x14ac:dyDescent="0.3">
      <c r="A2270" s="1">
        <v>45866</v>
      </c>
      <c r="B2270">
        <v>325.58999633789063</v>
      </c>
      <c r="C2270">
        <v>330.489990234375</v>
      </c>
      <c r="D2270">
        <v>315.69000244140625</v>
      </c>
      <c r="E2270">
        <v>318.45001220703125</v>
      </c>
      <c r="F2270">
        <v>112673800</v>
      </c>
      <c r="G2270" s="2" t="s">
        <v>16</v>
      </c>
      <c r="H2270">
        <v>3.0152499060024818</v>
      </c>
      <c r="I2270">
        <v>129.44894672679507</v>
      </c>
      <c r="J2270">
        <v>325.43519897460936</v>
      </c>
      <c r="K2270">
        <v>3.5140951952853574</v>
      </c>
      <c r="L2270">
        <v>0</v>
      </c>
      <c r="M2270" t="str">
        <f>VLOOKUP(fact_daily_prices[[#This Row],[Ticker]], dim_company[], 2, FALSE)</f>
        <v>Tesla Inc.</v>
      </c>
      <c r="N2270" t="str">
        <f>VLOOKUP(fact_daily_prices[[#This Row],[Ticker]], dim_company[], 3, FALSE)</f>
        <v>Consumer Discretionary</v>
      </c>
    </row>
    <row r="2271" spans="1:14" x14ac:dyDescent="0.3">
      <c r="A2271" s="1">
        <v>45867</v>
      </c>
      <c r="B2271">
        <v>321.20001220703125</v>
      </c>
      <c r="C2271">
        <v>326.25</v>
      </c>
      <c r="D2271">
        <v>318.25</v>
      </c>
      <c r="E2271">
        <v>325.54998779296875</v>
      </c>
      <c r="F2271">
        <v>87358900</v>
      </c>
      <c r="G2271" s="2" t="s">
        <v>16</v>
      </c>
      <c r="H2271">
        <v>-1.3483166498468035</v>
      </c>
      <c r="I2271">
        <v>127.70356502502638</v>
      </c>
      <c r="J2271">
        <v>325.00279907226565</v>
      </c>
      <c r="K2271">
        <v>3.5068201834708832</v>
      </c>
      <c r="L2271">
        <v>0</v>
      </c>
      <c r="M2271" t="str">
        <f>VLOOKUP(fact_daily_prices[[#This Row],[Ticker]], dim_company[], 2, FALSE)</f>
        <v>Tesla Inc.</v>
      </c>
      <c r="N2271" t="str">
        <f>VLOOKUP(fact_daily_prices[[#This Row],[Ticker]], dim_company[], 3, FALSE)</f>
        <v>Consumer Discretionary</v>
      </c>
    </row>
    <row r="2272" spans="1:14" x14ac:dyDescent="0.3">
      <c r="A2272" s="1">
        <v>45868</v>
      </c>
      <c r="B2272">
        <v>319.04000854492188</v>
      </c>
      <c r="C2272">
        <v>324.45001220703125</v>
      </c>
      <c r="D2272">
        <v>311.6199951171875</v>
      </c>
      <c r="E2272">
        <v>322.17999267578125</v>
      </c>
      <c r="F2272">
        <v>83931900</v>
      </c>
      <c r="G2272" s="2" t="s">
        <v>16</v>
      </c>
      <c r="H2272">
        <v>-0.67247932130124477</v>
      </c>
      <c r="I2272">
        <v>126.84478495766858</v>
      </c>
      <c r="J2272">
        <v>324.38399902343753</v>
      </c>
      <c r="K2272">
        <v>3.5020181597335007</v>
      </c>
      <c r="L2272">
        <v>0</v>
      </c>
      <c r="M2272" t="str">
        <f>VLOOKUP(fact_daily_prices[[#This Row],[Ticker]], dim_company[], 2, FALSE)</f>
        <v>Tesla Inc.</v>
      </c>
      <c r="N2272" t="str">
        <f>VLOOKUP(fact_daily_prices[[#This Row],[Ticker]], dim_company[], 3, FALSE)</f>
        <v>Consumer Discretionary</v>
      </c>
    </row>
    <row r="2273" spans="1:14" x14ac:dyDescent="0.3">
      <c r="A2273" s="1">
        <v>45869</v>
      </c>
      <c r="B2273">
        <v>308.26998901367188</v>
      </c>
      <c r="C2273">
        <v>321.3699951171875</v>
      </c>
      <c r="D2273">
        <v>306.10000610351563</v>
      </c>
      <c r="E2273">
        <v>319.6099853515625</v>
      </c>
      <c r="F2273">
        <v>85270900</v>
      </c>
      <c r="G2273" s="2" t="s">
        <v>16</v>
      </c>
      <c r="H2273">
        <v>-3.3757582882378623</v>
      </c>
      <c r="I2273">
        <v>122.56281161626261</v>
      </c>
      <c r="J2273">
        <v>323.70759887695311</v>
      </c>
      <c r="K2273">
        <v>3.4840243634867338</v>
      </c>
      <c r="L2273">
        <v>0</v>
      </c>
      <c r="M2273" t="str">
        <f>VLOOKUP(fact_daily_prices[[#This Row],[Ticker]], dim_company[], 2, FALSE)</f>
        <v>Tesla Inc.</v>
      </c>
      <c r="N2273" t="str">
        <f>VLOOKUP(fact_daily_prices[[#This Row],[Ticker]], dim_company[], 3, FALSE)</f>
        <v>Consumer Discretionary</v>
      </c>
    </row>
    <row r="2274" spans="1:14" x14ac:dyDescent="0.3">
      <c r="A2274" s="1">
        <v>45870</v>
      </c>
      <c r="B2274">
        <v>308.26998901367188</v>
      </c>
      <c r="C2274">
        <v>309.30999755859369</v>
      </c>
      <c r="D2274">
        <v>297.82000732421875</v>
      </c>
      <c r="E2274">
        <v>306.20999145507813</v>
      </c>
      <c r="F2274">
        <v>89121400</v>
      </c>
      <c r="G2274" s="2" t="s">
        <v>16</v>
      </c>
      <c r="H2274">
        <v>0</v>
      </c>
      <c r="I2274">
        <v>122.56281161626261</v>
      </c>
      <c r="J2274">
        <v>322.99659851074216</v>
      </c>
      <c r="K2274">
        <v>3.4840243634867338</v>
      </c>
      <c r="L2274">
        <v>0</v>
      </c>
      <c r="M2274" t="str">
        <f>VLOOKUP(fact_daily_prices[[#This Row],[Ticker]], dim_company[], 2, FALSE)</f>
        <v>Tesla Inc.</v>
      </c>
      <c r="N2274" t="str">
        <f>VLOOKUP(fact_daily_prices[[#This Row],[Ticker]], dim_company[], 3, FALSE)</f>
        <v>Consumer Discretionary</v>
      </c>
    </row>
    <row r="2275" spans="1:14" x14ac:dyDescent="0.3">
      <c r="A2275" s="1">
        <v>45873</v>
      </c>
      <c r="B2275">
        <v>309.260009765625</v>
      </c>
      <c r="C2275">
        <v>312.1199951171875</v>
      </c>
      <c r="D2275">
        <v>303</v>
      </c>
      <c r="E2275">
        <v>309.07998657226563</v>
      </c>
      <c r="F2275">
        <v>78683900</v>
      </c>
      <c r="G2275" s="2" t="s">
        <v>16</v>
      </c>
      <c r="H2275">
        <v>0.32115378961175001</v>
      </c>
      <c r="I2275">
        <v>122.95642673042293</v>
      </c>
      <c r="J2275">
        <v>322.48939880371091</v>
      </c>
      <c r="K2275">
        <v>3.4670139353771892</v>
      </c>
      <c r="L2275">
        <v>0</v>
      </c>
      <c r="M2275" t="str">
        <f>VLOOKUP(fact_daily_prices[[#This Row],[Ticker]], dim_company[], 2, FALSE)</f>
        <v>Tesla Inc.</v>
      </c>
      <c r="N2275" t="str">
        <f>VLOOKUP(fact_daily_prices[[#This Row],[Ticker]], dim_company[], 3, FALSE)</f>
        <v>Consumer Discretionary</v>
      </c>
    </row>
    <row r="2276" spans="1:14" x14ac:dyDescent="0.3">
      <c r="A2276" s="1">
        <v>45874</v>
      </c>
      <c r="B2276">
        <v>308.72000122070313</v>
      </c>
      <c r="C2276">
        <v>312.45001220703125</v>
      </c>
      <c r="D2276">
        <v>305.5</v>
      </c>
      <c r="E2276">
        <v>308.95001220703125</v>
      </c>
      <c r="F2276">
        <v>57961300</v>
      </c>
      <c r="G2276" s="2" t="s">
        <v>16</v>
      </c>
      <c r="H2276">
        <v>-0.17461311772288823</v>
      </c>
      <c r="I2276">
        <v>122.74172868026827</v>
      </c>
      <c r="J2276">
        <v>321.84299865722659</v>
      </c>
      <c r="K2276">
        <v>3.0916364576417572</v>
      </c>
      <c r="L2276">
        <v>0</v>
      </c>
      <c r="M2276" t="str">
        <f>VLOOKUP(fact_daily_prices[[#This Row],[Ticker]], dim_company[], 2, FALSE)</f>
        <v>Tesla Inc.</v>
      </c>
      <c r="N2276" t="str">
        <f>VLOOKUP(fact_daily_prices[[#This Row],[Ticker]], dim_company[], 3, FALSE)</f>
        <v>Consumer Discretionary</v>
      </c>
    </row>
    <row r="2277" spans="1:14" x14ac:dyDescent="0.3">
      <c r="A2277" s="1">
        <v>45875</v>
      </c>
      <c r="B2277">
        <v>319.91000366210938</v>
      </c>
      <c r="C2277">
        <v>320.47000122070313</v>
      </c>
      <c r="D2277">
        <v>306.92999267578125</v>
      </c>
      <c r="E2277">
        <v>307.8900146484375</v>
      </c>
      <c r="F2277">
        <v>78523600</v>
      </c>
      <c r="G2277" s="2" t="s">
        <v>16</v>
      </c>
      <c r="H2277">
        <v>3.6246444665587241</v>
      </c>
      <c r="I2277">
        <v>127.19067995703614</v>
      </c>
      <c r="J2277">
        <v>321.45439880371094</v>
      </c>
      <c r="K2277">
        <v>3.1506500594974103</v>
      </c>
      <c r="L2277">
        <v>0</v>
      </c>
      <c r="M2277" t="str">
        <f>VLOOKUP(fact_daily_prices[[#This Row],[Ticker]], dim_company[], 2, FALSE)</f>
        <v>Tesla Inc.</v>
      </c>
      <c r="N2277" t="str">
        <f>VLOOKUP(fact_daily_prices[[#This Row],[Ticker]], dim_company[], 3, FALSE)</f>
        <v>Consumer Discretionary</v>
      </c>
    </row>
    <row r="2278" spans="1:14" x14ac:dyDescent="0.3">
      <c r="A2278" s="1">
        <v>45876</v>
      </c>
      <c r="B2278">
        <v>322.26998901367188</v>
      </c>
      <c r="C2278">
        <v>322.39999389648438</v>
      </c>
      <c r="D2278">
        <v>316.16000366210938</v>
      </c>
      <c r="E2278">
        <v>319.79000854492188</v>
      </c>
      <c r="F2278">
        <v>66658700</v>
      </c>
      <c r="G2278" s="2" t="s">
        <v>16</v>
      </c>
      <c r="H2278">
        <v>0.7377028928595486</v>
      </c>
      <c r="I2278">
        <v>128.12896928252692</v>
      </c>
      <c r="J2278">
        <v>320.64199829101563</v>
      </c>
      <c r="K2278">
        <v>3.0781139758791598</v>
      </c>
      <c r="L2278">
        <v>0</v>
      </c>
      <c r="M2278" t="str">
        <f>VLOOKUP(fact_daily_prices[[#This Row],[Ticker]], dim_company[], 2, FALSE)</f>
        <v>Tesla Inc.</v>
      </c>
      <c r="N2278" t="str">
        <f>VLOOKUP(fact_daily_prices[[#This Row],[Ticker]], dim_company[], 3, FALSE)</f>
        <v>Consumer Discretionary</v>
      </c>
    </row>
    <row r="2279" spans="1:14" x14ac:dyDescent="0.3">
      <c r="A2279" s="1">
        <v>45877</v>
      </c>
      <c r="B2279">
        <v>329.64999389648438</v>
      </c>
      <c r="C2279">
        <v>335.14999389648438</v>
      </c>
      <c r="D2279">
        <v>320.98001098632813</v>
      </c>
      <c r="E2279">
        <v>321.42999267578125</v>
      </c>
      <c r="F2279">
        <v>91200300</v>
      </c>
      <c r="G2279" s="2" t="s">
        <v>16</v>
      </c>
      <c r="H2279">
        <v>2.2900068682782049</v>
      </c>
      <c r="I2279">
        <v>131.06313147935086</v>
      </c>
      <c r="J2279">
        <v>320.09699829101561</v>
      </c>
      <c r="K2279">
        <v>3.1044839082926821</v>
      </c>
      <c r="L2279">
        <v>0</v>
      </c>
      <c r="M2279" t="str">
        <f>VLOOKUP(fact_daily_prices[[#This Row],[Ticker]], dim_company[], 2, FALSE)</f>
        <v>Tesla Inc.</v>
      </c>
      <c r="N2279" t="str">
        <f>VLOOKUP(fact_daily_prices[[#This Row],[Ticker]], dim_company[], 3, FALSE)</f>
        <v>Consumer Discretionary</v>
      </c>
    </row>
    <row r="2280" spans="1:14" x14ac:dyDescent="0.3">
      <c r="A2280" s="1">
        <v>45880</v>
      </c>
      <c r="B2280">
        <v>339.02999877929688</v>
      </c>
      <c r="C2280">
        <v>346.6400146484375</v>
      </c>
      <c r="D2280">
        <v>334.14999389648438</v>
      </c>
      <c r="E2280">
        <v>335</v>
      </c>
      <c r="F2280">
        <v>105320200</v>
      </c>
      <c r="G2280" s="2" t="s">
        <v>16</v>
      </c>
      <c r="H2280">
        <v>2.8454436694932861</v>
      </c>
      <c r="I2280">
        <v>134.79245905706972</v>
      </c>
      <c r="J2280">
        <v>319.70899841308596</v>
      </c>
      <c r="K2280">
        <v>3.1411611832743529</v>
      </c>
      <c r="L2280">
        <v>0</v>
      </c>
      <c r="M2280" t="str">
        <f>VLOOKUP(fact_daily_prices[[#This Row],[Ticker]], dim_company[], 2, FALSE)</f>
        <v>Tesla Inc.</v>
      </c>
      <c r="N2280" t="str">
        <f>VLOOKUP(fact_daily_prices[[#This Row],[Ticker]], dim_company[], 3, FALSE)</f>
        <v>Consumer Discretionary</v>
      </c>
    </row>
    <row r="2281" spans="1:14" x14ac:dyDescent="0.3">
      <c r="A2281" s="1">
        <v>45881</v>
      </c>
      <c r="B2281">
        <v>340.83999633789063</v>
      </c>
      <c r="C2281">
        <v>345.260009765625</v>
      </c>
      <c r="D2281">
        <v>332.94000244140625</v>
      </c>
      <c r="E2281">
        <v>345</v>
      </c>
      <c r="F2281">
        <v>80522100</v>
      </c>
      <c r="G2281" s="2" t="s">
        <v>16</v>
      </c>
      <c r="H2281">
        <v>0.53387533997308889</v>
      </c>
      <c r="I2281">
        <v>135.51208275611876</v>
      </c>
      <c r="J2281">
        <v>319.59659851074218</v>
      </c>
      <c r="K2281">
        <v>3.1176075056048713</v>
      </c>
      <c r="L2281">
        <v>0</v>
      </c>
      <c r="M2281" t="str">
        <f>VLOOKUP(fact_daily_prices[[#This Row],[Ticker]], dim_company[], 2, FALSE)</f>
        <v>Tesla Inc.</v>
      </c>
      <c r="N2281" t="str">
        <f>VLOOKUP(fact_daily_prices[[#This Row],[Ticker]], dim_company[], 3, FALSE)</f>
        <v>Consumer Discretionary</v>
      </c>
    </row>
    <row r="2282" spans="1:14" x14ac:dyDescent="0.3">
      <c r="A2282" s="1">
        <v>45882</v>
      </c>
      <c r="B2282">
        <v>339.3800048828125</v>
      </c>
      <c r="C2282">
        <v>348.98001098632813</v>
      </c>
      <c r="D2282">
        <v>338.20001220703125</v>
      </c>
      <c r="E2282">
        <v>341.5</v>
      </c>
      <c r="F2282">
        <v>67838900</v>
      </c>
      <c r="G2282" s="2" t="s">
        <v>16</v>
      </c>
      <c r="H2282">
        <v>-0.42835097722239146</v>
      </c>
      <c r="I2282">
        <v>134.93161542537848</v>
      </c>
      <c r="J2282">
        <v>319.5303985595703</v>
      </c>
      <c r="K2282">
        <v>2.9360836784447857</v>
      </c>
      <c r="L2282">
        <v>0</v>
      </c>
      <c r="M2282" t="str">
        <f>VLOOKUP(fact_daily_prices[[#This Row],[Ticker]], dim_company[], 2, FALSE)</f>
        <v>Tesla Inc.</v>
      </c>
      <c r="N2282" t="str">
        <f>VLOOKUP(fact_daily_prices[[#This Row],[Ticker]], dim_company[], 3, FALSE)</f>
        <v>Consumer Discretionary</v>
      </c>
    </row>
    <row r="2283" spans="1:14" x14ac:dyDescent="0.3">
      <c r="A2283" s="1">
        <v>45883</v>
      </c>
      <c r="B2283">
        <v>335.57998657226563</v>
      </c>
      <c r="C2283">
        <v>340.47000122070313</v>
      </c>
      <c r="D2283">
        <v>330.39999389648438</v>
      </c>
      <c r="E2283">
        <v>335.760009765625</v>
      </c>
      <c r="F2283">
        <v>75000700</v>
      </c>
      <c r="G2283" s="2" t="s">
        <v>16</v>
      </c>
      <c r="H2283">
        <v>-1.1196942235471519</v>
      </c>
      <c r="I2283">
        <v>133.42079392172167</v>
      </c>
      <c r="J2283">
        <v>319.35659851074217</v>
      </c>
      <c r="K2283">
        <v>2.8209083715255381</v>
      </c>
      <c r="L2283">
        <v>0</v>
      </c>
      <c r="M2283" t="str">
        <f>VLOOKUP(fact_daily_prices[[#This Row],[Ticker]], dim_company[], 2, FALSE)</f>
        <v>Tesla Inc.</v>
      </c>
      <c r="N2283" t="str">
        <f>VLOOKUP(fact_daily_prices[[#This Row],[Ticker]], dim_company[], 3, FALSE)</f>
        <v>Consumer Discretionary</v>
      </c>
    </row>
    <row r="2284" spans="1:14" x14ac:dyDescent="0.3">
      <c r="A2284" s="1">
        <v>45884</v>
      </c>
      <c r="B2284">
        <v>330.55999755859369</v>
      </c>
      <c r="C2284">
        <v>339.29998779296875</v>
      </c>
      <c r="D2284">
        <v>327.01998901367188</v>
      </c>
      <c r="E2284">
        <v>337.66000366210938</v>
      </c>
      <c r="F2284">
        <v>74319800</v>
      </c>
      <c r="G2284" s="2" t="s">
        <v>16</v>
      </c>
      <c r="H2284">
        <v>-1.49591430196655</v>
      </c>
      <c r="I2284">
        <v>131.42493318364933</v>
      </c>
      <c r="J2284">
        <v>319.32679870605466</v>
      </c>
      <c r="K2284">
        <v>2.8382478831306814</v>
      </c>
      <c r="L2284">
        <v>0</v>
      </c>
      <c r="M2284" t="str">
        <f>VLOOKUP(fact_daily_prices[[#This Row],[Ticker]], dim_company[], 2, FALSE)</f>
        <v>Tesla Inc.</v>
      </c>
      <c r="N2284" t="str">
        <f>VLOOKUP(fact_daily_prices[[#This Row],[Ticker]], dim_company[], 3, FALSE)</f>
        <v>Consumer Discretionary</v>
      </c>
    </row>
    <row r="2285" spans="1:14" x14ac:dyDescent="0.3">
      <c r="A2285" s="1">
        <v>45887</v>
      </c>
      <c r="B2285">
        <v>335.16000366210938</v>
      </c>
      <c r="C2285">
        <v>336.26998901367188</v>
      </c>
      <c r="D2285">
        <v>329.58999633789063</v>
      </c>
      <c r="E2285">
        <v>329.6199951171875</v>
      </c>
      <c r="F2285">
        <v>56956600</v>
      </c>
      <c r="G2285" s="2" t="s">
        <v>16</v>
      </c>
      <c r="H2285">
        <v>1.3915797850586165</v>
      </c>
      <c r="I2285">
        <v>133.25381598635983</v>
      </c>
      <c r="J2285">
        <v>320.33599853515625</v>
      </c>
      <c r="K2285">
        <v>2.5189230927832984</v>
      </c>
      <c r="L2285">
        <v>0</v>
      </c>
      <c r="M2285" t="str">
        <f>VLOOKUP(fact_daily_prices[[#This Row],[Ticker]], dim_company[], 2, FALSE)</f>
        <v>Tesla Inc.</v>
      </c>
      <c r="N2285" t="str">
        <f>VLOOKUP(fact_daily_prices[[#This Row],[Ticker]], dim_company[], 3, FALSE)</f>
        <v>Consumer Discretionary</v>
      </c>
    </row>
    <row r="2286" spans="1:14" x14ac:dyDescent="0.3">
      <c r="A2286" s="1">
        <v>45888</v>
      </c>
      <c r="B2286">
        <v>329.30999755859369</v>
      </c>
      <c r="C2286">
        <v>340.54998779296875</v>
      </c>
      <c r="D2286">
        <v>327.85000610351563</v>
      </c>
      <c r="E2286">
        <v>335.79000854492188</v>
      </c>
      <c r="F2286">
        <v>75956000</v>
      </c>
      <c r="G2286" s="2" t="s">
        <v>16</v>
      </c>
      <c r="H2286">
        <v>-1.7454368181154867</v>
      </c>
      <c r="I2286">
        <v>130.92795482059</v>
      </c>
      <c r="J2286">
        <v>321.01939819335939</v>
      </c>
      <c r="K2286">
        <v>2.5453161083731257</v>
      </c>
      <c r="L2286">
        <v>0</v>
      </c>
      <c r="M2286" t="str">
        <f>VLOOKUP(fact_daily_prices[[#This Row],[Ticker]], dim_company[], 2, FALSE)</f>
        <v>Tesla Inc.</v>
      </c>
      <c r="N2286" t="str">
        <f>VLOOKUP(fact_daily_prices[[#This Row],[Ticker]], dim_company[], 3, FALSE)</f>
        <v>Consumer Discretionary</v>
      </c>
    </row>
    <row r="2287" spans="1:14" x14ac:dyDescent="0.3">
      <c r="A2287" s="1">
        <v>45889</v>
      </c>
      <c r="B2287">
        <v>323.89999389648438</v>
      </c>
      <c r="C2287">
        <v>331.3699951171875</v>
      </c>
      <c r="D2287">
        <v>314.60000610351563</v>
      </c>
      <c r="E2287">
        <v>329.22000122070313</v>
      </c>
      <c r="F2287">
        <v>77481800</v>
      </c>
      <c r="G2287" s="2" t="s">
        <v>16</v>
      </c>
      <c r="H2287">
        <v>-1.6428300696053832</v>
      </c>
      <c r="I2287">
        <v>128.77703100927803</v>
      </c>
      <c r="J2287">
        <v>321.32579833984374</v>
      </c>
      <c r="K2287">
        <v>2.5654026462366422</v>
      </c>
      <c r="L2287">
        <v>0</v>
      </c>
      <c r="M2287" t="str">
        <f>VLOOKUP(fact_daily_prices[[#This Row],[Ticker]], dim_company[], 2, FALSE)</f>
        <v>Tesla Inc.</v>
      </c>
      <c r="N2287" t="str">
        <f>VLOOKUP(fact_daily_prices[[#This Row],[Ticker]], dim_company[], 3, FALSE)</f>
        <v>Consumer Discretionary</v>
      </c>
    </row>
    <row r="2288" spans="1:14" x14ac:dyDescent="0.3">
      <c r="A2288" s="1">
        <v>45890</v>
      </c>
      <c r="B2288">
        <v>320.1099853515625</v>
      </c>
      <c r="C2288">
        <v>324.89999389648438</v>
      </c>
      <c r="D2288">
        <v>318.67999267578125</v>
      </c>
      <c r="E2288">
        <v>322.07998657226563</v>
      </c>
      <c r="F2288">
        <v>55744400</v>
      </c>
      <c r="G2288" s="2" t="s">
        <v>16</v>
      </c>
      <c r="H2288">
        <v>-1.1701168929731831</v>
      </c>
      <c r="I2288">
        <v>127.27018921516915</v>
      </c>
      <c r="J2288">
        <v>321.20619812011716</v>
      </c>
      <c r="K2288">
        <v>2.4399997565933282</v>
      </c>
      <c r="L2288">
        <v>0</v>
      </c>
      <c r="M2288" t="str">
        <f>VLOOKUP(fact_daily_prices[[#This Row],[Ticker]], dim_company[], 2, FALSE)</f>
        <v>Tesla Inc.</v>
      </c>
      <c r="N2288" t="str">
        <f>VLOOKUP(fact_daily_prices[[#This Row],[Ticker]], dim_company[], 3, FALSE)</f>
        <v>Consumer Discretionary</v>
      </c>
    </row>
    <row r="2289" spans="1:14" x14ac:dyDescent="0.3">
      <c r="A2289" s="1">
        <v>45891</v>
      </c>
      <c r="B2289">
        <v>340.010009765625</v>
      </c>
      <c r="C2289">
        <v>340.25</v>
      </c>
      <c r="D2289">
        <v>319.69000244140625</v>
      </c>
      <c r="E2289">
        <v>321.66000366210938</v>
      </c>
      <c r="F2289">
        <v>94016300</v>
      </c>
      <c r="G2289" s="2" t="s">
        <v>16</v>
      </c>
      <c r="H2289">
        <v>6.2166209505171155</v>
      </c>
      <c r="I2289">
        <v>135.18209446168211</v>
      </c>
      <c r="J2289">
        <v>321.47779846191406</v>
      </c>
      <c r="K2289">
        <v>2.6761063387164117</v>
      </c>
      <c r="L2289">
        <v>0</v>
      </c>
      <c r="M2289" t="str">
        <f>VLOOKUP(fact_daily_prices[[#This Row],[Ticker]], dim_company[], 2, FALSE)</f>
        <v>Tesla Inc.</v>
      </c>
      <c r="N2289" t="str">
        <f>VLOOKUP(fact_daily_prices[[#This Row],[Ticker]], dim_company[], 3, FALSE)</f>
        <v>Consumer Discretionary</v>
      </c>
    </row>
    <row r="2290" spans="1:14" x14ac:dyDescent="0.3">
      <c r="A2290" s="1">
        <v>45894</v>
      </c>
      <c r="B2290">
        <v>346.60000610351563</v>
      </c>
      <c r="C2290">
        <v>349.52999877929688</v>
      </c>
      <c r="D2290">
        <v>335.02999877929688</v>
      </c>
      <c r="E2290">
        <v>338.89999389648438</v>
      </c>
      <c r="F2290">
        <v>86670000</v>
      </c>
      <c r="G2290" s="2" t="s">
        <v>16</v>
      </c>
      <c r="H2290">
        <v>1.9381771561470362</v>
      </c>
      <c r="I2290">
        <v>137.80216293573955</v>
      </c>
      <c r="J2290">
        <v>322.02759887695311</v>
      </c>
      <c r="K2290">
        <v>2.6892097940717998</v>
      </c>
      <c r="L2290">
        <v>0</v>
      </c>
      <c r="M2290" t="str">
        <f>VLOOKUP(fact_daily_prices[[#This Row],[Ticker]], dim_company[], 2, FALSE)</f>
        <v>Tesla Inc.</v>
      </c>
      <c r="N2290" t="str">
        <f>VLOOKUP(fact_daily_prices[[#This Row],[Ticker]], dim_company[], 3, FALSE)</f>
        <v>Consumer Discretionary</v>
      </c>
    </row>
    <row r="2291" spans="1:14" x14ac:dyDescent="0.3">
      <c r="A2291" s="1">
        <v>45895</v>
      </c>
      <c r="B2291">
        <v>351.67001342773438</v>
      </c>
      <c r="C2291">
        <v>351.89999389648438</v>
      </c>
      <c r="D2291">
        <v>343.72000122070313</v>
      </c>
      <c r="E2291">
        <v>344.92999267578125</v>
      </c>
      <c r="F2291">
        <v>76651600</v>
      </c>
      <c r="G2291" s="2" t="s">
        <v>16</v>
      </c>
      <c r="H2291">
        <v>1.4627833914995669</v>
      </c>
      <c r="I2291">
        <v>139.81791008829072</v>
      </c>
      <c r="J2291">
        <v>322.55479919433594</v>
      </c>
      <c r="K2291">
        <v>2.6618657466774565</v>
      </c>
      <c r="L2291">
        <v>0</v>
      </c>
      <c r="M2291" t="str">
        <f>VLOOKUP(fact_daily_prices[[#This Row],[Ticker]], dim_company[], 2, FALSE)</f>
        <v>Tesla Inc.</v>
      </c>
      <c r="N2291" t="str">
        <f>VLOOKUP(fact_daily_prices[[#This Row],[Ticker]], dim_company[], 3, FALSE)</f>
        <v>Consumer Discretionary</v>
      </c>
    </row>
    <row r="2292" spans="1:14" x14ac:dyDescent="0.3">
      <c r="A2292" s="1">
        <v>45896</v>
      </c>
      <c r="B2292">
        <v>349.60000610351563</v>
      </c>
      <c r="C2292">
        <v>355.3900146484375</v>
      </c>
      <c r="D2292">
        <v>349.16000366210938</v>
      </c>
      <c r="E2292">
        <v>351.94000244140625</v>
      </c>
      <c r="F2292">
        <v>65519000</v>
      </c>
      <c r="G2292" s="2" t="s">
        <v>16</v>
      </c>
      <c r="H2292">
        <v>-0.58862207330171445</v>
      </c>
      <c r="I2292">
        <v>138.9949110070819</v>
      </c>
      <c r="J2292">
        <v>322.96419921875003</v>
      </c>
      <c r="K2292">
        <v>2.6040589770757205</v>
      </c>
      <c r="L2292">
        <v>0</v>
      </c>
      <c r="M2292" t="str">
        <f>VLOOKUP(fact_daily_prices[[#This Row],[Ticker]], dim_company[], 2, FALSE)</f>
        <v>Tesla Inc.</v>
      </c>
      <c r="N2292" t="str">
        <f>VLOOKUP(fact_daily_prices[[#This Row],[Ticker]], dim_company[], 3, FALSE)</f>
        <v>Consumer Discretionary</v>
      </c>
    </row>
    <row r="2293" spans="1:14" x14ac:dyDescent="0.3">
      <c r="A2293" s="1">
        <v>45897</v>
      </c>
      <c r="B2293">
        <v>345.98001098632813</v>
      </c>
      <c r="C2293">
        <v>353.54998779296875</v>
      </c>
      <c r="D2293">
        <v>340.260009765625</v>
      </c>
      <c r="E2293">
        <v>350.91000366210938</v>
      </c>
      <c r="F2293">
        <v>67903200</v>
      </c>
      <c r="G2293" s="2" t="s">
        <v>16</v>
      </c>
      <c r="H2293">
        <v>-1.0354676927882056</v>
      </c>
      <c r="I2293">
        <v>137.55566360898385</v>
      </c>
      <c r="J2293">
        <v>323.55679931640623</v>
      </c>
      <c r="K2293">
        <v>2.6092311429137536</v>
      </c>
      <c r="L2293">
        <v>0</v>
      </c>
      <c r="M2293" t="str">
        <f>VLOOKUP(fact_daily_prices[[#This Row],[Ticker]], dim_company[], 2, FALSE)</f>
        <v>Tesla Inc.</v>
      </c>
      <c r="N2293" t="str">
        <f>VLOOKUP(fact_daily_prices[[#This Row],[Ticker]], dim_company[], 3, FALSE)</f>
        <v>Consumer Discretionary</v>
      </c>
    </row>
    <row r="2294" spans="1:14" x14ac:dyDescent="0.3">
      <c r="A2294" s="1">
        <v>45898</v>
      </c>
      <c r="B2294">
        <v>333.8699951171875</v>
      </c>
      <c r="C2294">
        <v>348.75</v>
      </c>
      <c r="D2294">
        <v>331.70001220703125</v>
      </c>
      <c r="E2294">
        <v>347.23001098632813</v>
      </c>
      <c r="F2294">
        <v>81145700</v>
      </c>
      <c r="G2294" s="2" t="s">
        <v>16</v>
      </c>
      <c r="H2294">
        <v>-3.5002067994093333</v>
      </c>
      <c r="I2294">
        <v>132.74093091836957</v>
      </c>
      <c r="J2294">
        <v>323.90719909667968</v>
      </c>
      <c r="K2294">
        <v>2.6387829390070183</v>
      </c>
      <c r="L2294">
        <v>0</v>
      </c>
      <c r="M2294" t="str">
        <f>VLOOKUP(fact_daily_prices[[#This Row],[Ticker]], dim_company[], 2, FALSE)</f>
        <v>Tesla Inc.</v>
      </c>
      <c r="N2294" t="str">
        <f>VLOOKUP(fact_daily_prices[[#This Row],[Ticker]], dim_company[], 3, FALSE)</f>
        <v>Consumer Discretionary</v>
      </c>
    </row>
    <row r="2295" spans="1:14" x14ac:dyDescent="0.3">
      <c r="A2295" s="1">
        <v>45902</v>
      </c>
      <c r="B2295">
        <v>329.3599853515625</v>
      </c>
      <c r="C2295">
        <v>333.32998657226563</v>
      </c>
      <c r="D2295">
        <v>325.60000610351563</v>
      </c>
      <c r="E2295">
        <v>328.23001098632813</v>
      </c>
      <c r="F2295">
        <v>58392000</v>
      </c>
      <c r="G2295" s="2" t="s">
        <v>16</v>
      </c>
      <c r="H2295">
        <v>-1.350828116207925</v>
      </c>
      <c r="I2295">
        <v>130.94782910180808</v>
      </c>
      <c r="J2295">
        <v>324.05119873046874</v>
      </c>
      <c r="K2295">
        <v>2.6506498968562555</v>
      </c>
      <c r="L2295">
        <v>0</v>
      </c>
      <c r="M2295" t="str">
        <f>VLOOKUP(fact_daily_prices[[#This Row],[Ticker]], dim_company[], 2, FALSE)</f>
        <v>Tesla Inc.</v>
      </c>
      <c r="N2295" t="str">
        <f>VLOOKUP(fact_daily_prices[[#This Row],[Ticker]], dim_company[], 3, FALSE)</f>
        <v>Consumer Discretionary</v>
      </c>
    </row>
    <row r="2296" spans="1:14" x14ac:dyDescent="0.3">
      <c r="A2296" s="1">
        <v>45903</v>
      </c>
      <c r="B2296">
        <v>334.08999633789063</v>
      </c>
      <c r="C2296">
        <v>343.32998657226563</v>
      </c>
      <c r="D2296">
        <v>328.510009765625</v>
      </c>
      <c r="E2296">
        <v>335.20001220703125</v>
      </c>
      <c r="F2296">
        <v>88733300</v>
      </c>
      <c r="G2296" s="2" t="s">
        <v>16</v>
      </c>
      <c r="H2296">
        <v>1.4361219324440011</v>
      </c>
      <c r="I2296">
        <v>132.82839959559843</v>
      </c>
      <c r="J2296">
        <v>323.75939880371095</v>
      </c>
      <c r="K2296">
        <v>2.6559489978933093</v>
      </c>
      <c r="L2296">
        <v>0</v>
      </c>
      <c r="M2296" t="str">
        <f>VLOOKUP(fact_daily_prices[[#This Row],[Ticker]], dim_company[], 2, FALSE)</f>
        <v>Tesla Inc.</v>
      </c>
      <c r="N2296" t="str">
        <f>VLOOKUP(fact_daily_prices[[#This Row],[Ticker]], dim_company[], 3, FALSE)</f>
        <v>Consumer Discretionary</v>
      </c>
    </row>
    <row r="2297" spans="1:14" x14ac:dyDescent="0.3">
      <c r="A2297" s="1">
        <v>45904</v>
      </c>
      <c r="B2297">
        <v>338.52999877929688</v>
      </c>
      <c r="C2297">
        <v>338.8900146484375</v>
      </c>
      <c r="D2297">
        <v>331.48001098632813</v>
      </c>
      <c r="E2297">
        <v>336.14999389648438</v>
      </c>
      <c r="F2297">
        <v>60711000</v>
      </c>
      <c r="G2297" s="2" t="s">
        <v>16</v>
      </c>
      <c r="H2297">
        <v>1.328983953448204</v>
      </c>
      <c r="I2297">
        <v>134.593667711846</v>
      </c>
      <c r="J2297">
        <v>323.72059875488281</v>
      </c>
      <c r="K2297">
        <v>2.666126877815107</v>
      </c>
      <c r="L2297">
        <v>0</v>
      </c>
      <c r="M2297" t="str">
        <f>VLOOKUP(fact_daily_prices[[#This Row],[Ticker]], dim_company[], 2, FALSE)</f>
        <v>Tesla Inc.</v>
      </c>
      <c r="N2297" t="str">
        <f>VLOOKUP(fact_daily_prices[[#This Row],[Ticker]], dim_company[], 3, FALSE)</f>
        <v>Consumer Discretionary</v>
      </c>
    </row>
    <row r="2298" spans="1:14" x14ac:dyDescent="0.3">
      <c r="A2298" s="1">
        <v>45905</v>
      </c>
      <c r="B2298">
        <v>350.83999633789063</v>
      </c>
      <c r="C2298">
        <v>355.8699951171875</v>
      </c>
      <c r="D2298">
        <v>344.67999267578125</v>
      </c>
      <c r="E2298">
        <v>348</v>
      </c>
      <c r="F2298">
        <v>108989800</v>
      </c>
      <c r="G2298" s="2" t="s">
        <v>16</v>
      </c>
      <c r="H2298">
        <v>3.6363092201525005</v>
      </c>
      <c r="I2298">
        <v>139.48790966059329</v>
      </c>
      <c r="J2298">
        <v>324.18639892578125</v>
      </c>
      <c r="K2298">
        <v>2.2382045712922092</v>
      </c>
      <c r="L2298">
        <v>0</v>
      </c>
      <c r="M2298" t="str">
        <f>VLOOKUP(fact_daily_prices[[#This Row],[Ticker]], dim_company[], 2, FALSE)</f>
        <v>Tesla Inc.</v>
      </c>
      <c r="N2298" t="str">
        <f>VLOOKUP(fact_daily_prices[[#This Row],[Ticker]], dim_company[], 3, FALSE)</f>
        <v>Consumer Discretionary</v>
      </c>
    </row>
    <row r="2299" spans="1:14" x14ac:dyDescent="0.3">
      <c r="A2299" s="1">
        <v>45908</v>
      </c>
      <c r="B2299">
        <v>346.39999389648438</v>
      </c>
      <c r="C2299">
        <v>358.44000244140625</v>
      </c>
      <c r="D2299">
        <v>344.83999633789063</v>
      </c>
      <c r="E2299">
        <v>354.6400146484375</v>
      </c>
      <c r="F2299">
        <v>75208300</v>
      </c>
      <c r="G2299" s="2" t="s">
        <v>16</v>
      </c>
      <c r="H2299">
        <v>-1.265534855703887</v>
      </c>
      <c r="I2299">
        <v>137.72264154434572</v>
      </c>
      <c r="J2299">
        <v>324.59879882812498</v>
      </c>
      <c r="K2299">
        <v>2.1843659118006258</v>
      </c>
      <c r="L2299">
        <v>0</v>
      </c>
      <c r="M2299" t="str">
        <f>VLOOKUP(fact_daily_prices[[#This Row],[Ticker]], dim_company[], 2, FALSE)</f>
        <v>Tesla Inc.</v>
      </c>
      <c r="N2299" t="str">
        <f>VLOOKUP(fact_daily_prices[[#This Row],[Ticker]], dim_company[], 3, FALSE)</f>
        <v>Consumer Discretionary</v>
      </c>
    </row>
    <row r="2300" spans="1:14" x14ac:dyDescent="0.3">
      <c r="A2300" s="1">
        <v>45909</v>
      </c>
      <c r="B2300">
        <v>346.97000122070313</v>
      </c>
      <c r="C2300">
        <v>350.76998901367188</v>
      </c>
      <c r="D2300">
        <v>343.82000732421875</v>
      </c>
      <c r="E2300">
        <v>348.44000244140625</v>
      </c>
      <c r="F2300">
        <v>53816000</v>
      </c>
      <c r="G2300" s="2" t="s">
        <v>16</v>
      </c>
      <c r="H2300">
        <v>0.16455177086092121</v>
      </c>
      <c r="I2300">
        <v>137.94926658988336</v>
      </c>
      <c r="J2300">
        <v>325.06559875488279</v>
      </c>
      <c r="K2300">
        <v>2.1246610455829842</v>
      </c>
      <c r="L2300">
        <v>0</v>
      </c>
      <c r="M2300" t="str">
        <f>VLOOKUP(fact_daily_prices[[#This Row],[Ticker]], dim_company[], 2, FALSE)</f>
        <v>Tesla Inc.</v>
      </c>
      <c r="N2300" t="str">
        <f>VLOOKUP(fact_daily_prices[[#This Row],[Ticker]], dim_company[], 3, FALSE)</f>
        <v>Consumer Discretionary</v>
      </c>
    </row>
    <row r="2301" spans="1:14" x14ac:dyDescent="0.3">
      <c r="A2301" s="1">
        <v>45910</v>
      </c>
      <c r="B2301">
        <v>347.79000854492188</v>
      </c>
      <c r="C2301">
        <v>356.32998657226563</v>
      </c>
      <c r="D2301">
        <v>346.07000732421875</v>
      </c>
      <c r="E2301">
        <v>350.54998779296875</v>
      </c>
      <c r="F2301">
        <v>72121700</v>
      </c>
      <c r="G2301" s="2" t="s">
        <v>16</v>
      </c>
      <c r="H2301">
        <v>0.23633378140295314</v>
      </c>
      <c r="I2301">
        <v>138.27528730803286</v>
      </c>
      <c r="J2301">
        <v>325.66819885253904</v>
      </c>
      <c r="K2301">
        <v>2.1035649899478059</v>
      </c>
      <c r="L2301">
        <v>0</v>
      </c>
      <c r="M2301" t="str">
        <f>VLOOKUP(fact_daily_prices[[#This Row],[Ticker]], dim_company[], 2, FALSE)</f>
        <v>Tesla Inc.</v>
      </c>
      <c r="N2301" t="str">
        <f>VLOOKUP(fact_daily_prices[[#This Row],[Ticker]], dim_company[], 3, FALSE)</f>
        <v>Consumer Discretionary</v>
      </c>
    </row>
    <row r="2302" spans="1:14" x14ac:dyDescent="0.3">
      <c r="A2302" s="1">
        <v>45911</v>
      </c>
      <c r="B2302">
        <v>368.80999755859375</v>
      </c>
      <c r="C2302">
        <v>368.989990234375</v>
      </c>
      <c r="D2302">
        <v>347.60000610351563</v>
      </c>
      <c r="E2302">
        <v>350.17001342773438</v>
      </c>
      <c r="F2302">
        <v>103756000</v>
      </c>
      <c r="G2302" s="2" t="s">
        <v>16</v>
      </c>
      <c r="H2302">
        <v>6.0438737448539559</v>
      </c>
      <c r="I2302">
        <v>146.63247109326446</v>
      </c>
      <c r="J2302">
        <v>327.03019897460939</v>
      </c>
      <c r="K2302">
        <v>2.3418759838654246</v>
      </c>
      <c r="L2302">
        <v>0</v>
      </c>
      <c r="M2302" t="str">
        <f>VLOOKUP(fact_daily_prices[[#This Row],[Ticker]], dim_company[], 2, FALSE)</f>
        <v>Tesla Inc.</v>
      </c>
      <c r="N2302" t="str">
        <f>VLOOKUP(fact_daily_prices[[#This Row],[Ticker]], dim_company[], 3, FALSE)</f>
        <v>Consumer Discretionary</v>
      </c>
    </row>
    <row r="2303" spans="1:14" x14ac:dyDescent="0.3">
      <c r="A2303" s="1">
        <v>45912</v>
      </c>
      <c r="B2303">
        <v>395.94000244140631</v>
      </c>
      <c r="C2303">
        <v>396.69000244140631</v>
      </c>
      <c r="D2303">
        <v>370.239990234375</v>
      </c>
      <c r="E2303">
        <v>370.94000244140631</v>
      </c>
      <c r="F2303">
        <v>168156400</v>
      </c>
      <c r="G2303" s="2" t="s">
        <v>16</v>
      </c>
      <c r="H2303">
        <v>7.3560925849094794</v>
      </c>
      <c r="I2303">
        <v>157.41889142642563</v>
      </c>
      <c r="J2303">
        <v>328.63599914550781</v>
      </c>
      <c r="K2303">
        <v>2.5391235851284395</v>
      </c>
      <c r="L2303">
        <v>1</v>
      </c>
      <c r="M2303" t="str">
        <f>VLOOKUP(fact_daily_prices[[#This Row],[Ticker]], dim_company[], 2, FALSE)</f>
        <v>Tesla Inc.</v>
      </c>
      <c r="N2303" t="str">
        <f>VLOOKUP(fact_daily_prices[[#This Row],[Ticker]], dim_company[], 3, FALSE)</f>
        <v>Consumer Discretionary</v>
      </c>
    </row>
    <row r="2304" spans="1:14" x14ac:dyDescent="0.3">
      <c r="A2304" s="1">
        <v>45915</v>
      </c>
      <c r="B2304">
        <v>395.94000244140631</v>
      </c>
      <c r="C2304">
        <v>425.70001220703131</v>
      </c>
      <c r="D2304">
        <v>402.42999267578131</v>
      </c>
      <c r="E2304">
        <v>423.1300048828125</v>
      </c>
      <c r="F2304">
        <v>163823700</v>
      </c>
      <c r="G2304" s="2" t="s">
        <v>16</v>
      </c>
      <c r="H2304">
        <v>0</v>
      </c>
      <c r="I2304">
        <v>157.41889142642563</v>
      </c>
      <c r="J2304">
        <v>330.24779907226565</v>
      </c>
      <c r="K2304">
        <v>2.5391235851284395</v>
      </c>
      <c r="L2304">
        <v>0</v>
      </c>
      <c r="M2304" t="str">
        <f>VLOOKUP(fact_daily_prices[[#This Row],[Ticker]], dim_company[], 2, FALSE)</f>
        <v>Tesla Inc.</v>
      </c>
      <c r="N2304" t="str">
        <f>VLOOKUP(fact_daily_prices[[#This Row],[Ticker]], dim_company[], 3, FALSE)</f>
        <v>Consumer Discretionary</v>
      </c>
    </row>
    <row r="2305" spans="1:14" x14ac:dyDescent="0.3">
      <c r="A2305" s="1">
        <v>45916</v>
      </c>
      <c r="B2305">
        <v>421.6199951171875</v>
      </c>
      <c r="C2305">
        <v>423.25</v>
      </c>
      <c r="D2305">
        <v>411.42999267578131</v>
      </c>
      <c r="E2305">
        <v>414.5</v>
      </c>
      <c r="F2305">
        <v>78628600</v>
      </c>
      <c r="G2305" s="2" t="s">
        <v>16</v>
      </c>
      <c r="H2305">
        <v>6.4858292967206577</v>
      </c>
      <c r="I2305">
        <v>167.6288120051336</v>
      </c>
      <c r="J2305">
        <v>332.80139892578126</v>
      </c>
      <c r="K2305">
        <v>2.7352032723763258</v>
      </c>
      <c r="L2305">
        <v>0</v>
      </c>
      <c r="M2305" t="str">
        <f>VLOOKUP(fact_daily_prices[[#This Row],[Ticker]], dim_company[], 2, FALSE)</f>
        <v>Tesla Inc.</v>
      </c>
      <c r="N2305" t="str">
        <f>VLOOKUP(fact_daily_prices[[#This Row],[Ticker]], dim_company[], 3, FALSE)</f>
        <v>Consumer Discretionary</v>
      </c>
    </row>
    <row r="2306" spans="1:14" x14ac:dyDescent="0.3">
      <c r="A2306" s="1">
        <v>45917</v>
      </c>
      <c r="B2306">
        <v>425.8599853515625</v>
      </c>
      <c r="C2306">
        <v>428.30999755859375</v>
      </c>
      <c r="D2306">
        <v>409.67001342773438</v>
      </c>
      <c r="E2306">
        <v>415.75</v>
      </c>
      <c r="F2306">
        <v>106133500</v>
      </c>
      <c r="G2306" s="2" t="s">
        <v>16</v>
      </c>
      <c r="H2306">
        <v>1.0056425889375831</v>
      </c>
      <c r="I2306">
        <v>169.31455872998734</v>
      </c>
      <c r="J2306">
        <v>335.36239868164063</v>
      </c>
      <c r="K2306">
        <v>2.7250982851030137</v>
      </c>
      <c r="L2306">
        <v>0</v>
      </c>
      <c r="M2306" t="str">
        <f>VLOOKUP(fact_daily_prices[[#This Row],[Ticker]], dim_company[], 2, FALSE)</f>
        <v>Tesla Inc.</v>
      </c>
      <c r="N2306" t="str">
        <f>VLOOKUP(fact_daily_prices[[#This Row],[Ticker]], dim_company[], 3, FALSE)</f>
        <v>Consumer Discretionary</v>
      </c>
    </row>
    <row r="2307" spans="1:14" x14ac:dyDescent="0.3">
      <c r="A2307" s="1">
        <v>45918</v>
      </c>
      <c r="B2307">
        <v>416.85000610351563</v>
      </c>
      <c r="C2307">
        <v>432.22000122070313</v>
      </c>
      <c r="D2307">
        <v>416.55999755859375</v>
      </c>
      <c r="E2307">
        <v>428.8699951171875</v>
      </c>
      <c r="F2307">
        <v>90454500</v>
      </c>
      <c r="G2307" s="2" t="s">
        <v>16</v>
      </c>
      <c r="H2307">
        <v>-2.1157139806429193</v>
      </c>
      <c r="I2307">
        <v>165.73234693967314</v>
      </c>
      <c r="J2307">
        <v>337.7817987060547</v>
      </c>
      <c r="K2307">
        <v>2.7441291930933831</v>
      </c>
      <c r="L2307">
        <v>0</v>
      </c>
      <c r="M2307" t="str">
        <f>VLOOKUP(fact_daily_prices[[#This Row],[Ticker]], dim_company[], 2, FALSE)</f>
        <v>Tesla Inc.</v>
      </c>
      <c r="N2307" t="str">
        <f>VLOOKUP(fact_daily_prices[[#This Row],[Ticker]], dim_company[], 3, FALSE)</f>
        <v>Consumer Discretionary</v>
      </c>
    </row>
    <row r="2308" spans="1:14" x14ac:dyDescent="0.3">
      <c r="A2308" s="1">
        <v>45919</v>
      </c>
      <c r="B2308">
        <v>426.07000732421881</v>
      </c>
      <c r="C2308">
        <v>429.47000122070313</v>
      </c>
      <c r="D2308">
        <v>421.72000122070313</v>
      </c>
      <c r="E2308">
        <v>421.82000732421881</v>
      </c>
      <c r="F2308">
        <v>93131000</v>
      </c>
      <c r="G2308" s="2" t="s">
        <v>16</v>
      </c>
      <c r="H2308">
        <v>2.2118270566640286</v>
      </c>
      <c r="I2308">
        <v>169.39805983092913</v>
      </c>
      <c r="J2308">
        <v>340.10579895019532</v>
      </c>
      <c r="K2308">
        <v>2.7539014527258767</v>
      </c>
      <c r="L2308">
        <v>0</v>
      </c>
      <c r="M2308" t="str">
        <f>VLOOKUP(fact_daily_prices[[#This Row],[Ticker]], dim_company[], 2, FALSE)</f>
        <v>Tesla Inc.</v>
      </c>
      <c r="N2308" t="str">
        <f>VLOOKUP(fact_daily_prices[[#This Row],[Ticker]], dim_company[], 3, FALSE)</f>
        <v>Consumer Discretionary</v>
      </c>
    </row>
    <row r="2309" spans="1:14" x14ac:dyDescent="0.3">
      <c r="A2309" s="1">
        <v>45922</v>
      </c>
      <c r="B2309">
        <v>434.20999145507813</v>
      </c>
      <c r="C2309">
        <v>444.98001098632813</v>
      </c>
      <c r="D2309">
        <v>429.1300048828125</v>
      </c>
      <c r="E2309">
        <v>431.1099853515625</v>
      </c>
      <c r="F2309">
        <v>97108800</v>
      </c>
      <c r="G2309" s="2" t="s">
        <v>16</v>
      </c>
      <c r="H2309">
        <v>1.9104804353583971</v>
      </c>
      <c r="I2309">
        <v>172.63437662187576</v>
      </c>
      <c r="J2309">
        <v>342.51979858398437</v>
      </c>
      <c r="K2309">
        <v>2.7484989518069964</v>
      </c>
      <c r="L2309">
        <v>0</v>
      </c>
      <c r="M2309" t="str">
        <f>VLOOKUP(fact_daily_prices[[#This Row],[Ticker]], dim_company[], 2, FALSE)</f>
        <v>Tesla Inc.</v>
      </c>
      <c r="N2309" t="str">
        <f>VLOOKUP(fact_daily_prices[[#This Row],[Ticker]], dim_company[], 3, FALSE)</f>
        <v>Consumer Discretionary</v>
      </c>
    </row>
    <row r="2310" spans="1:14" x14ac:dyDescent="0.3">
      <c r="A2310" s="1">
        <v>45923</v>
      </c>
      <c r="B2310">
        <v>425.85000610351563</v>
      </c>
      <c r="C2310">
        <v>440.97000122070313</v>
      </c>
      <c r="D2310">
        <v>423.72000122070313</v>
      </c>
      <c r="E2310">
        <v>439.8800048828125</v>
      </c>
      <c r="F2310">
        <v>83422700</v>
      </c>
      <c r="G2310" s="2" t="s">
        <v>16</v>
      </c>
      <c r="H2310">
        <v>-1.9253323313789705</v>
      </c>
      <c r="I2310">
        <v>169.31059115370022</v>
      </c>
      <c r="J2310">
        <v>344.69879882812501</v>
      </c>
      <c r="K2310">
        <v>2.7734422836962365</v>
      </c>
      <c r="L2310">
        <v>0</v>
      </c>
      <c r="M2310" t="str">
        <f>VLOOKUP(fact_daily_prices[[#This Row],[Ticker]], dim_company[], 2, FALSE)</f>
        <v>Tesla Inc.</v>
      </c>
      <c r="N2310" t="str">
        <f>VLOOKUP(fact_daily_prices[[#This Row],[Ticker]], dim_company[], 3, FALSE)</f>
        <v>Consumer Discretionary</v>
      </c>
    </row>
    <row r="2311" spans="1:14" x14ac:dyDescent="0.3">
      <c r="A2311" s="1">
        <v>45924</v>
      </c>
      <c r="B2311">
        <v>442.79000854492188</v>
      </c>
      <c r="C2311">
        <v>444.20999145507813</v>
      </c>
      <c r="D2311">
        <v>429.02999877929688</v>
      </c>
      <c r="E2311">
        <v>429.82998657226563</v>
      </c>
      <c r="F2311">
        <v>93133600</v>
      </c>
      <c r="G2311" s="2" t="s">
        <v>16</v>
      </c>
      <c r="H2311">
        <v>3.9779270162293878</v>
      </c>
      <c r="I2311">
        <v>176.04564290054094</v>
      </c>
      <c r="J2311">
        <v>347.33899902343751</v>
      </c>
      <c r="K2311">
        <v>2.8327288413041471</v>
      </c>
      <c r="L2311">
        <v>0</v>
      </c>
      <c r="M2311" t="str">
        <f>VLOOKUP(fact_daily_prices[[#This Row],[Ticker]], dim_company[], 2, FALSE)</f>
        <v>Tesla Inc.</v>
      </c>
      <c r="N2311" t="str">
        <f>VLOOKUP(fact_daily_prices[[#This Row],[Ticker]], dim_company[], 3, FALSE)</f>
        <v>Consumer Discretionary</v>
      </c>
    </row>
    <row r="2312" spans="1:14" x14ac:dyDescent="0.3">
      <c r="A2312" s="1">
        <v>45925</v>
      </c>
      <c r="B2312">
        <v>423.3900146484375</v>
      </c>
      <c r="C2312">
        <v>435.35000610351563</v>
      </c>
      <c r="D2312">
        <v>419.07998657226563</v>
      </c>
      <c r="E2312">
        <v>435.239990234375</v>
      </c>
      <c r="F2312">
        <v>96746400</v>
      </c>
      <c r="G2312" s="2" t="s">
        <v>16</v>
      </c>
      <c r="H2312">
        <v>-4.3813079613597932</v>
      </c>
      <c r="I2312">
        <v>168.33254113251252</v>
      </c>
      <c r="J2312">
        <v>349.37339904785154</v>
      </c>
      <c r="K2312">
        <v>2.9851558322089087</v>
      </c>
      <c r="L2312">
        <v>0</v>
      </c>
      <c r="M2312" t="str">
        <f>VLOOKUP(fact_daily_prices[[#This Row],[Ticker]], dim_company[], 2, FALSE)</f>
        <v>Tesla Inc.</v>
      </c>
      <c r="N2312" t="str">
        <f>VLOOKUP(fact_daily_prices[[#This Row],[Ticker]], dim_company[], 3, FALSE)</f>
        <v>Consumer Discretionary</v>
      </c>
    </row>
    <row r="2313" spans="1:14" x14ac:dyDescent="0.3">
      <c r="A2313" s="1">
        <v>45926</v>
      </c>
      <c r="B2313">
        <v>440.39999389648438</v>
      </c>
      <c r="C2313">
        <v>440.47000122070313</v>
      </c>
      <c r="D2313">
        <v>421.01998901367188</v>
      </c>
      <c r="E2313">
        <v>428.29998779296881</v>
      </c>
      <c r="F2313">
        <v>101628200</v>
      </c>
      <c r="G2313" s="2" t="s">
        <v>16</v>
      </c>
      <c r="H2313">
        <v>4.0175674105519699</v>
      </c>
      <c r="I2313">
        <v>175.09541444640635</v>
      </c>
      <c r="J2313">
        <v>351.79319885253904</v>
      </c>
      <c r="K2313">
        <v>3.0194435792272585</v>
      </c>
      <c r="L2313">
        <v>0</v>
      </c>
      <c r="M2313" t="str">
        <f>VLOOKUP(fact_daily_prices[[#This Row],[Ticker]], dim_company[], 2, FALSE)</f>
        <v>Tesla Inc.</v>
      </c>
      <c r="N2313" t="str">
        <f>VLOOKUP(fact_daily_prices[[#This Row],[Ticker]], dim_company[], 3, FALSE)</f>
        <v>Consumer Discretionary</v>
      </c>
    </row>
    <row r="2314" spans="1:14" x14ac:dyDescent="0.3">
      <c r="A2314" s="1">
        <v>45929</v>
      </c>
      <c r="B2314">
        <v>443.20999145507813</v>
      </c>
      <c r="C2314">
        <v>450.98001098632813</v>
      </c>
      <c r="D2314">
        <v>439.5</v>
      </c>
      <c r="E2314">
        <v>444.35000610351563</v>
      </c>
      <c r="F2314">
        <v>79491500</v>
      </c>
      <c r="G2314" s="2" t="s">
        <v>16</v>
      </c>
      <c r="H2314">
        <v>0.63805576692497201</v>
      </c>
      <c r="I2314">
        <v>176.21262083590284</v>
      </c>
      <c r="J2314">
        <v>354.06439880371096</v>
      </c>
      <c r="K2314">
        <v>2.9846876790486987</v>
      </c>
      <c r="L2314">
        <v>0</v>
      </c>
      <c r="M2314" t="str">
        <f>VLOOKUP(fact_daily_prices[[#This Row],[Ticker]], dim_company[], 2, FALSE)</f>
        <v>Tesla Inc.</v>
      </c>
      <c r="N2314" t="str">
        <f>VLOOKUP(fact_daily_prices[[#This Row],[Ticker]], dim_company[], 3, FALSE)</f>
        <v>Consumer Discretionary</v>
      </c>
    </row>
    <row r="2315" spans="1:14" x14ac:dyDescent="0.3">
      <c r="A2315" s="1">
        <v>45930</v>
      </c>
      <c r="B2315">
        <v>444.72000122070313</v>
      </c>
      <c r="C2315">
        <v>445</v>
      </c>
      <c r="D2315">
        <v>433.1199951171875</v>
      </c>
      <c r="E2315">
        <v>441.51998901367188</v>
      </c>
      <c r="F2315">
        <v>74358000</v>
      </c>
      <c r="G2315" s="2" t="s">
        <v>16</v>
      </c>
      <c r="H2315">
        <v>0.34069849388267404</v>
      </c>
      <c r="I2315">
        <v>176.81297458112195</v>
      </c>
      <c r="J2315">
        <v>356.38899902343752</v>
      </c>
      <c r="K2315">
        <v>2.9863981665939829</v>
      </c>
      <c r="L2315">
        <v>0</v>
      </c>
      <c r="M2315" t="str">
        <f>VLOOKUP(fact_daily_prices[[#This Row],[Ticker]], dim_company[], 2, FALSE)</f>
        <v>Tesla Inc.</v>
      </c>
      <c r="N2315" t="str">
        <f>VLOOKUP(fact_daily_prices[[#This Row],[Ticker]], dim_company[], 3, FALSE)</f>
        <v>Consumer Discretionary</v>
      </c>
    </row>
    <row r="2316" spans="1:14" x14ac:dyDescent="0.3">
      <c r="A2316" s="1">
        <v>45931</v>
      </c>
      <c r="B2316">
        <v>459.45999145507813</v>
      </c>
      <c r="C2316">
        <v>462.29000854492188</v>
      </c>
      <c r="D2316">
        <v>440.75</v>
      </c>
      <c r="E2316">
        <v>443.79998779296881</v>
      </c>
      <c r="F2316">
        <v>98122300</v>
      </c>
      <c r="G2316" s="2" t="s">
        <v>16</v>
      </c>
      <c r="H2316">
        <v>3.3144428390707636</v>
      </c>
      <c r="I2316">
        <v>182.67333955567395</v>
      </c>
      <c r="J2316">
        <v>358.93599914550782</v>
      </c>
      <c r="K2316">
        <v>2.9694433151262012</v>
      </c>
      <c r="L2316">
        <v>0</v>
      </c>
      <c r="M2316" t="str">
        <f>VLOOKUP(fact_daily_prices[[#This Row],[Ticker]], dim_company[], 2, FALSE)</f>
        <v>Tesla Inc.</v>
      </c>
      <c r="N2316" t="str">
        <f>VLOOKUP(fact_daily_prices[[#This Row],[Ticker]], dim_company[], 3, FALSE)</f>
        <v>Consumer Discretionary</v>
      </c>
    </row>
    <row r="2317" spans="1:14" x14ac:dyDescent="0.3">
      <c r="A2317" s="1">
        <v>45932</v>
      </c>
      <c r="B2317">
        <v>436</v>
      </c>
      <c r="C2317">
        <v>470.75</v>
      </c>
      <c r="D2317">
        <v>435.57000732421881</v>
      </c>
      <c r="E2317">
        <v>470.54000854492188</v>
      </c>
      <c r="F2317">
        <v>137009000</v>
      </c>
      <c r="G2317" s="2" t="s">
        <v>16</v>
      </c>
      <c r="H2317">
        <v>-5.1059922281332826</v>
      </c>
      <c r="I2317">
        <v>173.34605303508971</v>
      </c>
      <c r="J2317">
        <v>361.00479919433593</v>
      </c>
      <c r="K2317">
        <v>3.1442605018223371</v>
      </c>
      <c r="L2317">
        <v>0</v>
      </c>
      <c r="M2317" t="str">
        <f>VLOOKUP(fact_daily_prices[[#This Row],[Ticker]], dim_company[], 2, FALSE)</f>
        <v>Tesla Inc.</v>
      </c>
      <c r="N2317" t="str">
        <f>VLOOKUP(fact_daily_prices[[#This Row],[Ticker]], dim_company[], 3, FALSE)</f>
        <v>Consumer Discretionary</v>
      </c>
    </row>
    <row r="2318" spans="1:14" x14ac:dyDescent="0.3">
      <c r="A2318" s="1">
        <v>45933</v>
      </c>
      <c r="B2318">
        <v>429.82998657226563</v>
      </c>
      <c r="C2318">
        <v>446.76998901367188</v>
      </c>
      <c r="D2318">
        <v>416.57998657226563</v>
      </c>
      <c r="E2318">
        <v>443.29000854492188</v>
      </c>
      <c r="F2318">
        <v>133188200</v>
      </c>
      <c r="G2318" s="2" t="s">
        <v>16</v>
      </c>
      <c r="H2318">
        <v>-1.4151406944344913</v>
      </c>
      <c r="I2318">
        <v>170.89296249639418</v>
      </c>
      <c r="J2318">
        <v>363.49539916992188</v>
      </c>
      <c r="K2318">
        <v>3.1505188731411558</v>
      </c>
      <c r="L2318">
        <v>0</v>
      </c>
      <c r="M2318" t="str">
        <f>VLOOKUP(fact_daily_prices[[#This Row],[Ticker]], dim_company[], 2, FALSE)</f>
        <v>Tesla Inc.</v>
      </c>
      <c r="N2318" t="str">
        <f>VLOOKUP(fact_daily_prices[[#This Row],[Ticker]], dim_company[], 3, FALSE)</f>
        <v>Consumer Discretionary</v>
      </c>
    </row>
    <row r="2319" spans="1:14" x14ac:dyDescent="0.3">
      <c r="A2319" s="1">
        <v>45936</v>
      </c>
      <c r="B2319">
        <v>453.25</v>
      </c>
      <c r="C2319">
        <v>453.54998779296881</v>
      </c>
      <c r="D2319">
        <v>436.69000244140631</v>
      </c>
      <c r="E2319">
        <v>440.75</v>
      </c>
      <c r="F2319">
        <v>85324900</v>
      </c>
      <c r="G2319" s="2" t="s">
        <v>16</v>
      </c>
      <c r="H2319">
        <v>5.4486690457546505</v>
      </c>
      <c r="I2319">
        <v>180.2043544453083</v>
      </c>
      <c r="J2319">
        <v>366.23919921875</v>
      </c>
      <c r="K2319">
        <v>3.10981938072652</v>
      </c>
      <c r="L2319">
        <v>0</v>
      </c>
      <c r="M2319" t="str">
        <f>VLOOKUP(fact_daily_prices[[#This Row],[Ticker]], dim_company[], 2, FALSE)</f>
        <v>Tesla Inc.</v>
      </c>
      <c r="N2319" t="str">
        <f>VLOOKUP(fact_daily_prices[[#This Row],[Ticker]], dim_company[], 3, FALSE)</f>
        <v>Consumer Discretionary</v>
      </c>
    </row>
    <row r="2320" spans="1:14" x14ac:dyDescent="0.3">
      <c r="A2320" s="1">
        <v>45937</v>
      </c>
      <c r="B2320">
        <v>433.08999633789063</v>
      </c>
      <c r="C2320">
        <v>452.67999267578131</v>
      </c>
      <c r="D2320">
        <v>432.45001220703131</v>
      </c>
      <c r="E2320">
        <v>447.82000732421881</v>
      </c>
      <c r="F2320">
        <v>102296100</v>
      </c>
      <c r="G2320" s="2" t="s">
        <v>16</v>
      </c>
      <c r="H2320">
        <v>-4.4478772558432134</v>
      </c>
      <c r="I2320">
        <v>172.18908594989634</v>
      </c>
      <c r="J2320">
        <v>368.38919921874998</v>
      </c>
      <c r="K2320">
        <v>3.2590096037537069</v>
      </c>
      <c r="L2320">
        <v>0</v>
      </c>
      <c r="M2320" t="str">
        <f>VLOOKUP(fact_daily_prices[[#This Row],[Ticker]], dim_company[], 2, FALSE)</f>
        <v>Tesla Inc.</v>
      </c>
      <c r="N2320" t="str">
        <f>VLOOKUP(fact_daily_prices[[#This Row],[Ticker]], dim_company[], 3, FALSE)</f>
        <v>Consumer Discretionary</v>
      </c>
    </row>
    <row r="2321" spans="1:14" x14ac:dyDescent="0.3">
      <c r="A2321" s="1">
        <v>45938</v>
      </c>
      <c r="B2321">
        <v>438.69000244140631</v>
      </c>
      <c r="C2321">
        <v>441.32998657226563</v>
      </c>
      <c r="D2321">
        <v>425.23001098632813</v>
      </c>
      <c r="E2321">
        <v>437.57000732421881</v>
      </c>
      <c r="F2321">
        <v>71192100</v>
      </c>
      <c r="G2321" s="2" t="s">
        <v>16</v>
      </c>
      <c r="H2321">
        <v>1.2930352007361146</v>
      </c>
      <c r="I2321">
        <v>174.41555144305426</v>
      </c>
      <c r="J2321">
        <v>370.73899902343749</v>
      </c>
      <c r="K2321">
        <v>3.2579594570516375</v>
      </c>
      <c r="L2321">
        <v>0</v>
      </c>
      <c r="M2321" t="str">
        <f>VLOOKUP(fact_daily_prices[[#This Row],[Ticker]], dim_company[], 2, FALSE)</f>
        <v>Tesla Inc.</v>
      </c>
      <c r="N2321" t="str">
        <f>VLOOKUP(fact_daily_prices[[#This Row],[Ticker]], dim_company[], 3, FALSE)</f>
        <v>Consumer Discretionary</v>
      </c>
    </row>
    <row r="2322" spans="1:14" x14ac:dyDescent="0.3">
      <c r="A2322" s="1">
        <v>45939</v>
      </c>
      <c r="B2322">
        <v>435.54000854492188</v>
      </c>
      <c r="C2322">
        <v>436.35000610351563</v>
      </c>
      <c r="D2322">
        <v>426.17999267578131</v>
      </c>
      <c r="E2322">
        <v>431.80999755859375</v>
      </c>
      <c r="F2322">
        <v>69339900</v>
      </c>
      <c r="G2322" s="2" t="s">
        <v>16</v>
      </c>
      <c r="H2322">
        <v>-0.7180455170972766</v>
      </c>
      <c r="I2322">
        <v>173.16316839479691</v>
      </c>
      <c r="J2322">
        <v>373.06899902343753</v>
      </c>
      <c r="K2322">
        <v>3.2599336962060455</v>
      </c>
      <c r="L2322">
        <v>0</v>
      </c>
      <c r="M2322" t="str">
        <f>VLOOKUP(fact_daily_prices[[#This Row],[Ticker]], dim_company[], 2, FALSE)</f>
        <v>Tesla Inc.</v>
      </c>
      <c r="N2322" t="str">
        <f>VLOOKUP(fact_daily_prices[[#This Row],[Ticker]], dim_company[], 3, FALSE)</f>
        <v>Consumer Discretionary</v>
      </c>
    </row>
    <row r="2323" spans="1:14" x14ac:dyDescent="0.3">
      <c r="A2323" s="1">
        <v>45940</v>
      </c>
      <c r="B2323">
        <v>413.489990234375</v>
      </c>
      <c r="C2323">
        <v>443.1300048828125</v>
      </c>
      <c r="D2323">
        <v>411.45001220703131</v>
      </c>
      <c r="E2323">
        <v>436.54000854492188</v>
      </c>
      <c r="F2323">
        <v>112107900</v>
      </c>
      <c r="G2323" s="2" t="s">
        <v>16</v>
      </c>
      <c r="H2323">
        <v>-5.0626849148056259</v>
      </c>
      <c r="I2323">
        <v>164.39646279047409</v>
      </c>
      <c r="J2323">
        <v>375.17339904785155</v>
      </c>
      <c r="K2323">
        <v>3.4166830008243014</v>
      </c>
      <c r="L2323">
        <v>0</v>
      </c>
      <c r="M2323" t="str">
        <f>VLOOKUP(fact_daily_prices[[#This Row],[Ticker]], dim_company[], 2, FALSE)</f>
        <v>Tesla Inc.</v>
      </c>
      <c r="N2323" t="str">
        <f>VLOOKUP(fact_daily_prices[[#This Row],[Ticker]], dim_company[], 3, FALSE)</f>
        <v>Consumer Discretionary</v>
      </c>
    </row>
    <row r="2324" spans="1:14" x14ac:dyDescent="0.3">
      <c r="A2324" s="1">
        <v>45943</v>
      </c>
      <c r="B2324">
        <v>435.89999389648438</v>
      </c>
      <c r="C2324">
        <v>436.8900146484375</v>
      </c>
      <c r="D2324">
        <v>419.70001220703131</v>
      </c>
      <c r="E2324">
        <v>423.52999877929688</v>
      </c>
      <c r="F2324">
        <v>79552800</v>
      </c>
      <c r="G2324" s="2" t="s">
        <v>16</v>
      </c>
      <c r="H2324">
        <v>5.4197209585187034</v>
      </c>
      <c r="I2324">
        <v>173.3062923393928</v>
      </c>
      <c r="J2324">
        <v>377.72599914550779</v>
      </c>
      <c r="K2324">
        <v>3.430981824999138</v>
      </c>
      <c r="L2324">
        <v>0</v>
      </c>
      <c r="M2324" t="str">
        <f>VLOOKUP(fact_daily_prices[[#This Row],[Ticker]], dim_company[], 2, FALSE)</f>
        <v>Tesla Inc.</v>
      </c>
      <c r="N2324" t="str">
        <f>VLOOKUP(fact_daily_prices[[#This Row],[Ticker]], dim_company[], 3, FALSE)</f>
        <v>Consumer Discretionary</v>
      </c>
    </row>
    <row r="2325" spans="1:14" x14ac:dyDescent="0.3">
      <c r="A2325" s="1">
        <v>45944</v>
      </c>
      <c r="B2325">
        <v>429.239990234375</v>
      </c>
      <c r="C2325">
        <v>434.20001220703131</v>
      </c>
      <c r="D2325">
        <v>417.8599853515625</v>
      </c>
      <c r="E2325">
        <v>426.79000854492188</v>
      </c>
      <c r="F2325">
        <v>72669400</v>
      </c>
      <c r="G2325" s="2" t="s">
        <v>16</v>
      </c>
      <c r="H2325">
        <v>-1.5278742269702716</v>
      </c>
      <c r="I2325">
        <v>170.65839016502147</v>
      </c>
      <c r="J2325">
        <v>380.12559875488279</v>
      </c>
      <c r="K2325">
        <v>3.4352242053730637</v>
      </c>
      <c r="L2325">
        <v>0</v>
      </c>
      <c r="M2325" t="str">
        <f>VLOOKUP(fact_daily_prices[[#This Row],[Ticker]], dim_company[], 2, FALSE)</f>
        <v>Tesla Inc.</v>
      </c>
      <c r="N2325" t="str">
        <f>VLOOKUP(fact_daily_prices[[#This Row],[Ticker]], dim_company[], 3, FALSE)</f>
        <v>Consumer Discretionary</v>
      </c>
    </row>
    <row r="2326" spans="1:14" x14ac:dyDescent="0.3">
      <c r="A2326" s="1">
        <v>45945</v>
      </c>
      <c r="B2326">
        <v>435.14999389648438</v>
      </c>
      <c r="C2326">
        <v>440.510009765625</v>
      </c>
      <c r="D2326">
        <v>426.32998657226563</v>
      </c>
      <c r="E2326">
        <v>434.89999389648438</v>
      </c>
      <c r="F2326">
        <v>71558200</v>
      </c>
      <c r="G2326" s="2" t="s">
        <v>16</v>
      </c>
      <c r="H2326">
        <v>1.3768529951932784</v>
      </c>
      <c r="I2326">
        <v>173.00810532155722</v>
      </c>
      <c r="J2326">
        <v>382.65419860839842</v>
      </c>
      <c r="K2326">
        <v>3.4349480701735975</v>
      </c>
      <c r="L2326">
        <v>0</v>
      </c>
      <c r="M2326" t="str">
        <f>VLOOKUP(fact_daily_prices[[#This Row],[Ticker]], dim_company[], 2, FALSE)</f>
        <v>Tesla Inc.</v>
      </c>
      <c r="N2326" t="str">
        <f>VLOOKUP(fact_daily_prices[[#This Row],[Ticker]], dim_company[], 3, FALSE)</f>
        <v>Consumer Discretionary</v>
      </c>
    </row>
    <row r="2327" spans="1:14" x14ac:dyDescent="0.3">
      <c r="A2327" s="1">
        <v>45946</v>
      </c>
      <c r="B2327">
        <v>428.75</v>
      </c>
      <c r="C2327">
        <v>439.35000610351563</v>
      </c>
      <c r="D2327">
        <v>421.30999755859375</v>
      </c>
      <c r="E2327">
        <v>434.73001098632813</v>
      </c>
      <c r="F2327">
        <v>77189900</v>
      </c>
      <c r="G2327" s="2" t="s">
        <v>16</v>
      </c>
      <c r="H2327">
        <v>-1.470755828163206</v>
      </c>
      <c r="I2327">
        <v>170.46357852934568</v>
      </c>
      <c r="J2327">
        <v>384.83099853515625</v>
      </c>
      <c r="K2327">
        <v>3.461980970364734</v>
      </c>
      <c r="L2327">
        <v>0</v>
      </c>
      <c r="M2327" t="str">
        <f>VLOOKUP(fact_daily_prices[[#This Row],[Ticker]], dim_company[], 2, FALSE)</f>
        <v>Tesla Inc.</v>
      </c>
      <c r="N2327" t="str">
        <f>VLOOKUP(fact_daily_prices[[#This Row],[Ticker]], dim_company[], 3, FALSE)</f>
        <v>Consumer Discretionary</v>
      </c>
    </row>
    <row r="2328" spans="1:14" x14ac:dyDescent="0.3">
      <c r="A2328" s="1">
        <v>45947</v>
      </c>
      <c r="B2328">
        <v>439.30999755859375</v>
      </c>
      <c r="C2328">
        <v>441.45999145507813</v>
      </c>
      <c r="D2328">
        <v>423.60000610351563</v>
      </c>
      <c r="E2328">
        <v>425.5</v>
      </c>
      <c r="F2328">
        <v>89331600</v>
      </c>
      <c r="G2328" s="2" t="s">
        <v>16</v>
      </c>
      <c r="H2328">
        <v>2.4629731915087438</v>
      </c>
      <c r="I2328">
        <v>174.66205076980992</v>
      </c>
      <c r="J2328">
        <v>387.17179870605469</v>
      </c>
      <c r="K2328">
        <v>3.4359246286340408</v>
      </c>
      <c r="L2328">
        <v>0</v>
      </c>
      <c r="M2328" t="str">
        <f>VLOOKUP(fact_daily_prices[[#This Row],[Ticker]], dim_company[], 2, FALSE)</f>
        <v>Tesla Inc.</v>
      </c>
      <c r="N2328" t="str">
        <f>VLOOKUP(fact_daily_prices[[#This Row],[Ticker]], dim_company[], 3, FALSE)</f>
        <v>Consumer Discretionary</v>
      </c>
    </row>
    <row r="2329" spans="1:14" x14ac:dyDescent="0.3">
      <c r="A2329" s="1">
        <v>45950</v>
      </c>
      <c r="B2329">
        <v>447.42999267578131</v>
      </c>
      <c r="C2329">
        <v>449.79998779296881</v>
      </c>
      <c r="D2329">
        <v>440.6099853515625</v>
      </c>
      <c r="E2329">
        <v>443.8699951171875</v>
      </c>
      <c r="F2329">
        <v>63719000</v>
      </c>
      <c r="G2329" s="2" t="s">
        <v>16</v>
      </c>
      <c r="H2329">
        <v>1.8483519979771268</v>
      </c>
      <c r="I2329">
        <v>177.89042027492152</v>
      </c>
      <c r="J2329">
        <v>389.52739868164065</v>
      </c>
      <c r="K2329">
        <v>3.4180830555986321</v>
      </c>
      <c r="L2329">
        <v>0</v>
      </c>
      <c r="M2329" t="str">
        <f>VLOOKUP(fact_daily_prices[[#This Row],[Ticker]], dim_company[], 2, FALSE)</f>
        <v>Tesla Inc.</v>
      </c>
      <c r="N2329" t="str">
        <f>VLOOKUP(fact_daily_prices[[#This Row],[Ticker]], dim_company[], 3, FALSE)</f>
        <v>Consumer Discretionary</v>
      </c>
    </row>
    <row r="2330" spans="1:14" x14ac:dyDescent="0.3">
      <c r="A2330" s="1">
        <v>45951</v>
      </c>
      <c r="B2330">
        <v>442.60000610351563</v>
      </c>
      <c r="C2330">
        <v>449.29998779296881</v>
      </c>
      <c r="D2330">
        <v>442.04998779296881</v>
      </c>
      <c r="E2330">
        <v>445.760009765625</v>
      </c>
      <c r="F2330">
        <v>54412200</v>
      </c>
      <c r="G2330" s="2" t="s">
        <v>16</v>
      </c>
      <c r="H2330">
        <v>-1.0794954856246375</v>
      </c>
      <c r="I2330">
        <v>175.97010121869508</v>
      </c>
      <c r="J2330">
        <v>391.59879882812498</v>
      </c>
      <c r="K2330">
        <v>3.4349777378597444</v>
      </c>
      <c r="L2330">
        <v>0</v>
      </c>
      <c r="M2330" t="str">
        <f>VLOOKUP(fact_daily_prices[[#This Row],[Ticker]], dim_company[], 2, FALSE)</f>
        <v>Tesla Inc.</v>
      </c>
      <c r="N2330" t="str">
        <f>VLOOKUP(fact_daily_prices[[#This Row],[Ticker]], dim_company[], 3, FALSE)</f>
        <v>Consumer Discretionary</v>
      </c>
    </row>
    <row r="2331" spans="1:14" x14ac:dyDescent="0.3">
      <c r="A2331" s="1">
        <v>45952</v>
      </c>
      <c r="B2331">
        <v>438.97000122070313</v>
      </c>
      <c r="C2331">
        <v>445.54000854492188</v>
      </c>
      <c r="D2331">
        <v>429</v>
      </c>
      <c r="E2331">
        <v>443.45001220703131</v>
      </c>
      <c r="F2331">
        <v>84023500</v>
      </c>
      <c r="G2331" s="2" t="s">
        <v>16</v>
      </c>
      <c r="H2331">
        <v>-0.82015472949711343</v>
      </c>
      <c r="I2331">
        <v>174.52687411104907</v>
      </c>
      <c r="J2331">
        <v>393.56139892578125</v>
      </c>
      <c r="K2331">
        <v>3.4471060403290492</v>
      </c>
      <c r="L2331">
        <v>0</v>
      </c>
      <c r="M2331" t="str">
        <f>VLOOKUP(fact_daily_prices[[#This Row],[Ticker]], dim_company[], 2, FALSE)</f>
        <v>Tesla Inc.</v>
      </c>
      <c r="N2331" t="str">
        <f>VLOOKUP(fact_daily_prices[[#This Row],[Ticker]], dim_company[], 3, FALSE)</f>
        <v>Consumer Discretionary</v>
      </c>
    </row>
    <row r="2332" spans="1:14" x14ac:dyDescent="0.3">
      <c r="A2332" s="1">
        <v>45953</v>
      </c>
      <c r="B2332">
        <v>448.98001098632813</v>
      </c>
      <c r="C2332">
        <v>449.39999389648438</v>
      </c>
      <c r="D2332">
        <v>413.89999389648438</v>
      </c>
      <c r="E2332">
        <v>420</v>
      </c>
      <c r="F2332">
        <v>126709800</v>
      </c>
      <c r="G2332" s="2" t="s">
        <v>16</v>
      </c>
      <c r="H2332">
        <v>2.2803402824313368</v>
      </c>
      <c r="I2332">
        <v>178.50668072507153</v>
      </c>
      <c r="J2332">
        <v>395.75339904785159</v>
      </c>
      <c r="K2332">
        <v>3.3170723997658955</v>
      </c>
      <c r="L2332">
        <v>0</v>
      </c>
      <c r="M2332" t="str">
        <f>VLOOKUP(fact_daily_prices[[#This Row],[Ticker]], dim_company[], 2, FALSE)</f>
        <v>Tesla Inc.</v>
      </c>
      <c r="N2332" t="str">
        <f>VLOOKUP(fact_daily_prices[[#This Row],[Ticker]], dim_company[], 3, FALSE)</f>
        <v>Consumer Discretionary</v>
      </c>
    </row>
    <row r="2333" spans="1:14" x14ac:dyDescent="0.3">
      <c r="A2333" s="1">
        <v>45954</v>
      </c>
      <c r="B2333">
        <v>433.72000122070313</v>
      </c>
      <c r="C2333">
        <v>451.67999267578131</v>
      </c>
      <c r="D2333">
        <v>430.17001342773438</v>
      </c>
      <c r="E2333">
        <v>446.82998657226563</v>
      </c>
      <c r="F2333">
        <v>94727800</v>
      </c>
      <c r="G2333" s="2" t="s">
        <v>16</v>
      </c>
      <c r="H2333">
        <v>-3.3988171838878811</v>
      </c>
      <c r="I2333">
        <v>172.43956498619994</v>
      </c>
      <c r="J2333">
        <v>397.71619934082031</v>
      </c>
      <c r="K2333">
        <v>3.151110037543662</v>
      </c>
      <c r="L2333">
        <v>0</v>
      </c>
      <c r="M2333" t="str">
        <f>VLOOKUP(fact_daily_prices[[#This Row],[Ticker]], dim_company[], 2, FALSE)</f>
        <v>Tesla Inc.</v>
      </c>
      <c r="N2333" t="str">
        <f>VLOOKUP(fact_daily_prices[[#This Row],[Ticker]], dim_company[], 3, FALSE)</f>
        <v>Consumer Discretionary</v>
      </c>
    </row>
    <row r="2334" spans="1:14" x14ac:dyDescent="0.3">
      <c r="A2334" s="1">
        <v>45957</v>
      </c>
      <c r="B2334">
        <v>452.42001342773438</v>
      </c>
      <c r="C2334">
        <v>460.16000366210938</v>
      </c>
      <c r="D2334">
        <v>438.69000244140631</v>
      </c>
      <c r="E2334">
        <v>439.98001098632813</v>
      </c>
      <c r="F2334">
        <v>105867500</v>
      </c>
      <c r="G2334" s="2" t="s">
        <v>16</v>
      </c>
      <c r="H2334">
        <v>4.3115401997602554</v>
      </c>
      <c r="I2334">
        <v>179.87436615087168</v>
      </c>
      <c r="J2334">
        <v>400.15339965820311</v>
      </c>
      <c r="K2334">
        <v>3.2317862149522156</v>
      </c>
      <c r="L2334">
        <v>0</v>
      </c>
      <c r="M2334" t="str">
        <f>VLOOKUP(fact_daily_prices[[#This Row],[Ticker]], dim_company[], 2, FALSE)</f>
        <v>Tesla Inc.</v>
      </c>
      <c r="N2334" t="str">
        <f>VLOOKUP(fact_daily_prices[[#This Row],[Ticker]], dim_company[], 3, FALSE)</f>
        <v>Consumer Discretionary</v>
      </c>
    </row>
    <row r="2335" spans="1:14" x14ac:dyDescent="0.3">
      <c r="A2335" s="1">
        <v>45958</v>
      </c>
      <c r="B2335">
        <v>460.54998779296881</v>
      </c>
      <c r="C2335">
        <v>467</v>
      </c>
      <c r="D2335">
        <v>451.60000610351563</v>
      </c>
      <c r="E2335">
        <v>454.77999877929688</v>
      </c>
      <c r="F2335">
        <v>80185700</v>
      </c>
      <c r="G2335" s="2" t="s">
        <v>16</v>
      </c>
      <c r="H2335">
        <v>1.7969970655449474</v>
      </c>
      <c r="I2335">
        <v>183.10670323227038</v>
      </c>
      <c r="J2335">
        <v>402.6611993408203</v>
      </c>
      <c r="K2335">
        <v>3.0397872256335234</v>
      </c>
      <c r="L2335">
        <v>0</v>
      </c>
      <c r="M2335" t="str">
        <f>VLOOKUP(fact_daily_prices[[#This Row],[Ticker]], dim_company[], 2, FALSE)</f>
        <v>Tesla Inc.</v>
      </c>
      <c r="N2335" t="str">
        <f>VLOOKUP(fact_daily_prices[[#This Row],[Ticker]], dim_company[], 3, FALSE)</f>
        <v>Consumer Discretionary</v>
      </c>
    </row>
    <row r="2336" spans="1:14" x14ac:dyDescent="0.3">
      <c r="A2336" s="1">
        <v>45959</v>
      </c>
      <c r="B2336">
        <v>461.510009765625</v>
      </c>
      <c r="C2336">
        <v>465.70001220703131</v>
      </c>
      <c r="D2336">
        <v>452.64999389648438</v>
      </c>
      <c r="E2336">
        <v>462.5</v>
      </c>
      <c r="F2336">
        <v>67983500</v>
      </c>
      <c r="G2336" s="2" t="s">
        <v>16</v>
      </c>
      <c r="H2336">
        <v>0.20845119924044475</v>
      </c>
      <c r="I2336">
        <v>183.48839135104771</v>
      </c>
      <c r="J2336">
        <v>405.30519958496092</v>
      </c>
      <c r="K2336">
        <v>3.0372468159511317</v>
      </c>
      <c r="L2336">
        <v>0</v>
      </c>
      <c r="M2336" t="str">
        <f>VLOOKUP(fact_daily_prices[[#This Row],[Ticker]], dim_company[], 2, FALSE)</f>
        <v>Tesla Inc.</v>
      </c>
      <c r="N2336" t="str">
        <f>VLOOKUP(fact_daily_prices[[#This Row],[Ticker]], dim_company[], 3, FALSE)</f>
        <v>Consumer Discretionary</v>
      </c>
    </row>
    <row r="2337" spans="1:14" x14ac:dyDescent="0.3">
      <c r="A2337" s="1">
        <v>45960</v>
      </c>
      <c r="B2337">
        <v>440.10000610351563</v>
      </c>
      <c r="C2337">
        <v>455.05999755859375</v>
      </c>
      <c r="D2337">
        <v>439.6099853515625</v>
      </c>
      <c r="E2337">
        <v>451.04998779296881</v>
      </c>
      <c r="F2337">
        <v>72447900</v>
      </c>
      <c r="G2337" s="2" t="s">
        <v>16</v>
      </c>
      <c r="H2337">
        <v>-4.6391201077052084</v>
      </c>
      <c r="I2337">
        <v>174.97614449257642</v>
      </c>
      <c r="J2337">
        <v>407.62919982910154</v>
      </c>
      <c r="K2337">
        <v>3.1400283086216216</v>
      </c>
      <c r="L2337">
        <v>0</v>
      </c>
      <c r="M2337" t="str">
        <f>VLOOKUP(fact_daily_prices[[#This Row],[Ticker]], dim_company[], 2, FALSE)</f>
        <v>Tesla Inc.</v>
      </c>
      <c r="N2337" t="str">
        <f>VLOOKUP(fact_daily_prices[[#This Row],[Ticker]], dim_company[], 3, FALSE)</f>
        <v>Consumer Discretionary</v>
      </c>
    </row>
    <row r="2338" spans="1:14" x14ac:dyDescent="0.3">
      <c r="A2338" s="1">
        <v>45961</v>
      </c>
      <c r="B2338">
        <v>456.55999755859375</v>
      </c>
      <c r="C2338">
        <v>458</v>
      </c>
      <c r="D2338">
        <v>443.69000244140631</v>
      </c>
      <c r="E2338">
        <v>446.75</v>
      </c>
      <c r="F2338">
        <v>83135800</v>
      </c>
      <c r="G2338" s="2" t="s">
        <v>16</v>
      </c>
      <c r="H2338">
        <v>3.7400570840270708</v>
      </c>
      <c r="I2338">
        <v>181.52035218002848</v>
      </c>
      <c r="J2338">
        <v>410.35820007324219</v>
      </c>
      <c r="K2338">
        <v>3.1853766098331406</v>
      </c>
      <c r="L2338">
        <v>0</v>
      </c>
      <c r="M2338" t="str">
        <f>VLOOKUP(fact_daily_prices[[#This Row],[Ticker]], dim_company[], 2, FALSE)</f>
        <v>Tesla Inc.</v>
      </c>
      <c r="N2338" t="str">
        <f>VLOOKUP(fact_daily_prices[[#This Row],[Ticker]], dim_company[], 3, FALSE)</f>
        <v>Consumer Discretionary</v>
      </c>
    </row>
    <row r="2339" spans="1:14" x14ac:dyDescent="0.3">
      <c r="A2339" s="1">
        <v>45964</v>
      </c>
      <c r="B2339">
        <v>468.3699951171875</v>
      </c>
      <c r="C2339">
        <v>474.07000732421881</v>
      </c>
      <c r="D2339">
        <v>453.79998779296881</v>
      </c>
      <c r="E2339">
        <v>455.989990234375</v>
      </c>
      <c r="F2339">
        <v>84595200</v>
      </c>
      <c r="G2339" s="2" t="s">
        <v>16</v>
      </c>
      <c r="H2339">
        <v>2.5867350669674272</v>
      </c>
      <c r="I2339">
        <v>186.21580278355205</v>
      </c>
      <c r="J2339">
        <v>412.92539978027344</v>
      </c>
      <c r="K2339">
        <v>3.1996751272159876</v>
      </c>
      <c r="L2339">
        <v>0</v>
      </c>
      <c r="M2339" t="str">
        <f>VLOOKUP(fact_daily_prices[[#This Row],[Ticker]], dim_company[], 2, FALSE)</f>
        <v>Tesla Inc.</v>
      </c>
      <c r="N2339" t="str">
        <f>VLOOKUP(fact_daily_prices[[#This Row],[Ticker]], dim_company[], 3, FALSE)</f>
        <v>Consumer Discretionary</v>
      </c>
    </row>
    <row r="2340" spans="1:14" x14ac:dyDescent="0.3">
      <c r="A2340" s="1">
        <v>45965</v>
      </c>
      <c r="B2340">
        <v>444.260009765625</v>
      </c>
      <c r="C2340">
        <v>460.22000122070313</v>
      </c>
      <c r="D2340">
        <v>443.60000610351563</v>
      </c>
      <c r="E2340">
        <v>454.45999145507813</v>
      </c>
      <c r="F2340">
        <v>87756600</v>
      </c>
      <c r="G2340" s="2" t="s">
        <v>16</v>
      </c>
      <c r="H2340">
        <v>-5.1476366127019109</v>
      </c>
      <c r="I2340">
        <v>176.63008994082915</v>
      </c>
      <c r="J2340">
        <v>414.87859985351565</v>
      </c>
      <c r="K2340">
        <v>3.3285247709354699</v>
      </c>
      <c r="L2340">
        <v>0</v>
      </c>
      <c r="M2340" t="str">
        <f>VLOOKUP(fact_daily_prices[[#This Row],[Ticker]], dim_company[], 2, FALSE)</f>
        <v>Tesla Inc.</v>
      </c>
      <c r="N2340" t="str">
        <f>VLOOKUP(fact_daily_prices[[#This Row],[Ticker]], dim_company[], 3, FALSE)</f>
        <v>Consumer Discretionary</v>
      </c>
    </row>
    <row r="2341" spans="1:14" x14ac:dyDescent="0.3">
      <c r="A2341" s="1">
        <v>45966</v>
      </c>
      <c r="B2341">
        <v>462.07000732421881</v>
      </c>
      <c r="C2341">
        <v>466.32998657226563</v>
      </c>
      <c r="D2341">
        <v>440.70999145507813</v>
      </c>
      <c r="E2341">
        <v>452.04998779296881</v>
      </c>
      <c r="F2341">
        <v>85573000</v>
      </c>
      <c r="G2341" s="2" t="s">
        <v>16</v>
      </c>
      <c r="H2341">
        <v>4.0089130615176716</v>
      </c>
      <c r="I2341">
        <v>183.71103668703745</v>
      </c>
      <c r="J2341">
        <v>417.08659973144529</v>
      </c>
      <c r="K2341">
        <v>3.3297437331999307</v>
      </c>
      <c r="L2341">
        <v>0</v>
      </c>
      <c r="M2341" t="str">
        <f>VLOOKUP(fact_daily_prices[[#This Row],[Ticker]], dim_company[], 2, FALSE)</f>
        <v>Tesla Inc.</v>
      </c>
      <c r="N2341" t="str">
        <f>VLOOKUP(fact_daily_prices[[#This Row],[Ticker]], dim_company[], 3, FALSE)</f>
        <v>Consumer Discretionary</v>
      </c>
    </row>
    <row r="2342" spans="1:14" x14ac:dyDescent="0.3">
      <c r="A2342" s="1">
        <v>45967</v>
      </c>
      <c r="B2342">
        <v>445.91000366210938</v>
      </c>
      <c r="C2342">
        <v>467.45001220703131</v>
      </c>
      <c r="D2342">
        <v>435.08999633789063</v>
      </c>
      <c r="E2342">
        <v>461.95999145507813</v>
      </c>
      <c r="F2342">
        <v>109622900</v>
      </c>
      <c r="G2342" s="2" t="s">
        <v>16</v>
      </c>
      <c r="H2342">
        <v>-3.4973063401560478</v>
      </c>
      <c r="I2342">
        <v>177.28609895341526</v>
      </c>
      <c r="J2342">
        <v>419.01279968261719</v>
      </c>
      <c r="K2342">
        <v>3.2915325531628321</v>
      </c>
      <c r="L2342">
        <v>0</v>
      </c>
      <c r="M2342" t="str">
        <f>VLOOKUP(fact_daily_prices[[#This Row],[Ticker]], dim_company[], 2, FALSE)</f>
        <v>Tesla Inc.</v>
      </c>
      <c r="N2342" t="str">
        <f>VLOOKUP(fact_daily_prices[[#This Row],[Ticker]], dim_company[], 3, FALSE)</f>
        <v>Consumer Discretionary</v>
      </c>
    </row>
    <row r="2343" spans="1:14" x14ac:dyDescent="0.3">
      <c r="A2343" s="1">
        <v>45968</v>
      </c>
      <c r="B2343">
        <v>429.51998901367188</v>
      </c>
      <c r="C2343">
        <v>439.3599853515625</v>
      </c>
      <c r="D2343">
        <v>421.8800048828125</v>
      </c>
      <c r="E2343">
        <v>437.92001342773438</v>
      </c>
      <c r="F2343">
        <v>103471500</v>
      </c>
      <c r="G2343" s="2" t="s">
        <v>16</v>
      </c>
      <c r="H2343">
        <v>-3.6756328662357451</v>
      </c>
      <c r="I2343">
        <v>170.76971283301631</v>
      </c>
      <c r="J2343">
        <v>420.68359924316405</v>
      </c>
      <c r="K2343">
        <v>3.2855815951223404</v>
      </c>
      <c r="L2343">
        <v>0</v>
      </c>
      <c r="M2343" t="str">
        <f>VLOOKUP(fact_daily_prices[[#This Row],[Ticker]], dim_company[], 2, FALSE)</f>
        <v>Tesla Inc.</v>
      </c>
      <c r="N2343" t="str">
        <f>VLOOKUP(fact_daily_prices[[#This Row],[Ticker]], dim_company[], 3, FALSE)</f>
        <v>Consumer Discretionary</v>
      </c>
    </row>
    <row r="2344" spans="1:14" x14ac:dyDescent="0.3">
      <c r="A2344" s="1">
        <v>45971</v>
      </c>
      <c r="B2344">
        <v>445.23001098632813</v>
      </c>
      <c r="C2344">
        <v>449.67001342773438</v>
      </c>
      <c r="D2344">
        <v>433.3599853515625</v>
      </c>
      <c r="E2344">
        <v>439.60000610351563</v>
      </c>
      <c r="F2344">
        <v>76515900</v>
      </c>
      <c r="G2344" s="2" t="s">
        <v>16</v>
      </c>
      <c r="H2344">
        <v>3.6575764515015763</v>
      </c>
      <c r="I2344">
        <v>177.01574563589361</v>
      </c>
      <c r="J2344">
        <v>422.91079956054688</v>
      </c>
      <c r="K2344">
        <v>3.3523565089367104</v>
      </c>
      <c r="L2344">
        <v>0</v>
      </c>
      <c r="M2344" t="str">
        <f>VLOOKUP(fact_daily_prices[[#This Row],[Ticker]], dim_company[], 2, FALSE)</f>
        <v>Tesla Inc.</v>
      </c>
      <c r="N2344" t="str">
        <f>VLOOKUP(fact_daily_prices[[#This Row],[Ticker]], dim_company[], 3, FALSE)</f>
        <v>Consumer Discretionary</v>
      </c>
    </row>
    <row r="2345" spans="1:14" x14ac:dyDescent="0.3">
      <c r="A2345" s="1">
        <v>45972</v>
      </c>
      <c r="B2345">
        <v>439.6199951171875</v>
      </c>
      <c r="C2345">
        <v>442.489990234375</v>
      </c>
      <c r="D2345">
        <v>432.3599853515625</v>
      </c>
      <c r="E2345">
        <v>439.39999389648438</v>
      </c>
      <c r="F2345">
        <v>60533200</v>
      </c>
      <c r="G2345" s="2" t="s">
        <v>16</v>
      </c>
      <c r="H2345">
        <v>-1.260026442672324</v>
      </c>
      <c r="I2345">
        <v>174.78530043318776</v>
      </c>
      <c r="J2345">
        <v>425.11599975585938</v>
      </c>
      <c r="K2345">
        <v>3.3606219650214579</v>
      </c>
      <c r="L2345">
        <v>0</v>
      </c>
      <c r="M2345" t="str">
        <f>VLOOKUP(fact_daily_prices[[#This Row],[Ticker]], dim_company[], 2, FALSE)</f>
        <v>Tesla Inc.</v>
      </c>
      <c r="N2345" t="str">
        <f>VLOOKUP(fact_daily_prices[[#This Row],[Ticker]], dim_company[], 3, FALSE)</f>
        <v>Consumer Discretionary</v>
      </c>
    </row>
    <row r="2346" spans="1:14" x14ac:dyDescent="0.3">
      <c r="A2346" s="1">
        <v>45973</v>
      </c>
      <c r="B2346">
        <v>430.60000610351563</v>
      </c>
      <c r="C2346">
        <v>442.32998657226563</v>
      </c>
      <c r="D2346">
        <v>426.55999755859375</v>
      </c>
      <c r="E2346">
        <v>442.14999389648438</v>
      </c>
      <c r="F2346">
        <v>58513500</v>
      </c>
      <c r="G2346" s="2" t="s">
        <v>16</v>
      </c>
      <c r="H2346">
        <v>-2.051769508633805</v>
      </c>
      <c r="I2346">
        <v>171.19910893332565</v>
      </c>
      <c r="J2346">
        <v>427.0461999511719</v>
      </c>
      <c r="K2346">
        <v>3.3216042407796529</v>
      </c>
      <c r="L2346">
        <v>0</v>
      </c>
      <c r="M2346" t="str">
        <f>VLOOKUP(fact_daily_prices[[#This Row],[Ticker]], dim_company[], 2, FALSE)</f>
        <v>Tesla Inc.</v>
      </c>
      <c r="N2346" t="str">
        <f>VLOOKUP(fact_daily_prices[[#This Row],[Ticker]], dim_company[], 3, FALSE)</f>
        <v>Consumer Discretionary</v>
      </c>
    </row>
    <row r="2347" spans="1:14" x14ac:dyDescent="0.3">
      <c r="A2347" s="1">
        <v>45974</v>
      </c>
      <c r="B2347">
        <v>401.989990234375</v>
      </c>
      <c r="C2347">
        <v>424.5</v>
      </c>
      <c r="D2347">
        <v>396.33999633789063</v>
      </c>
      <c r="E2347">
        <v>423.1300048828125</v>
      </c>
      <c r="F2347">
        <v>118948000</v>
      </c>
      <c r="G2347" s="2" t="s">
        <v>16</v>
      </c>
      <c r="H2347">
        <v>-6.644220962287406</v>
      </c>
      <c r="I2347">
        <v>159.82426185032836</v>
      </c>
      <c r="J2347">
        <v>428.31539978027342</v>
      </c>
      <c r="K2347">
        <v>3.4112086406840731</v>
      </c>
      <c r="L2347">
        <v>0</v>
      </c>
      <c r="M2347" t="str">
        <f>VLOOKUP(fact_daily_prices[[#This Row],[Ticker]], dim_company[], 2, FALSE)</f>
        <v>Tesla Inc.</v>
      </c>
      <c r="N2347" t="str">
        <f>VLOOKUP(fact_daily_prices[[#This Row],[Ticker]], dim_company[], 3, FALSE)</f>
        <v>Consumer Discretionary</v>
      </c>
    </row>
    <row r="2348" spans="1:14" x14ac:dyDescent="0.3">
      <c r="A2348" s="1">
        <v>45975</v>
      </c>
      <c r="B2348">
        <v>404.35000610351563</v>
      </c>
      <c r="C2348">
        <v>412.19000244140631</v>
      </c>
      <c r="D2348">
        <v>382.77999877929688</v>
      </c>
      <c r="E2348">
        <v>386.29998779296881</v>
      </c>
      <c r="F2348">
        <v>105506700</v>
      </c>
      <c r="G2348" s="2" t="s">
        <v>16</v>
      </c>
      <c r="H2348">
        <v>0.58708324248686328</v>
      </c>
      <c r="I2348">
        <v>160.76256330907995</v>
      </c>
      <c r="J2348">
        <v>429.38559997558593</v>
      </c>
      <c r="K2348">
        <v>3.4064789425584032</v>
      </c>
      <c r="L2348">
        <v>0</v>
      </c>
      <c r="M2348" t="str">
        <f>VLOOKUP(fact_daily_prices[[#This Row],[Ticker]], dim_company[], 2, FALSE)</f>
        <v>Tesla Inc.</v>
      </c>
      <c r="N2348" t="str">
        <f>VLOOKUP(fact_daily_prices[[#This Row],[Ticker]], dim_company[], 3, FALSE)</f>
        <v>Consumer Discretionary</v>
      </c>
    </row>
    <row r="2349" spans="1:14" x14ac:dyDescent="0.3">
      <c r="A2349" s="1">
        <v>45978</v>
      </c>
      <c r="B2349">
        <v>408.92001342773438</v>
      </c>
      <c r="C2349">
        <v>423.95999145507813</v>
      </c>
      <c r="D2349">
        <v>398.739990234375</v>
      </c>
      <c r="E2349">
        <v>398.739990234375</v>
      </c>
      <c r="F2349">
        <v>102214300</v>
      </c>
      <c r="G2349" s="2" t="s">
        <v>16</v>
      </c>
      <c r="H2349">
        <v>1.1302107716671506</v>
      </c>
      <c r="I2349">
        <v>162.57951911640743</v>
      </c>
      <c r="J2349">
        <v>430.63600036621096</v>
      </c>
      <c r="K2349">
        <v>3.2494869494954215</v>
      </c>
      <c r="L2349">
        <v>0</v>
      </c>
      <c r="M2349" t="str">
        <f>VLOOKUP(fact_daily_prices[[#This Row],[Ticker]], dim_company[], 2, FALSE)</f>
        <v>Tesla Inc.</v>
      </c>
      <c r="N2349" t="str">
        <f>VLOOKUP(fact_daily_prices[[#This Row],[Ticker]], dim_company[], 3, FALSE)</f>
        <v>Consumer Discretionary</v>
      </c>
    </row>
    <row r="2350" spans="1:14" x14ac:dyDescent="0.3">
      <c r="A2350" s="1">
        <v>45979</v>
      </c>
      <c r="B2350">
        <v>401.25</v>
      </c>
      <c r="C2350">
        <v>408.89999389648438</v>
      </c>
      <c r="D2350">
        <v>393.70999145507813</v>
      </c>
      <c r="E2350">
        <v>405.3800048828125</v>
      </c>
      <c r="F2350">
        <v>80688600</v>
      </c>
      <c r="G2350" s="2" t="s">
        <v>16</v>
      </c>
      <c r="H2350">
        <v>-1.8756757252943457</v>
      </c>
      <c r="I2350">
        <v>159.53005454204069</v>
      </c>
      <c r="J2350">
        <v>431.72160034179689</v>
      </c>
      <c r="K2350">
        <v>3.1689619090036509</v>
      </c>
      <c r="L2350">
        <v>0</v>
      </c>
      <c r="M2350" t="str">
        <f>VLOOKUP(fact_daily_prices[[#This Row],[Ticker]], dim_company[], 2, FALSE)</f>
        <v>Tesla Inc.</v>
      </c>
      <c r="N2350" t="str">
        <f>VLOOKUP(fact_daily_prices[[#This Row],[Ticker]], dim_company[], 3, FALSE)</f>
        <v>Consumer Discretionary</v>
      </c>
    </row>
    <row r="2351" spans="1:14" x14ac:dyDescent="0.3">
      <c r="A2351" s="1">
        <v>45980</v>
      </c>
      <c r="B2351">
        <v>403.989990234375</v>
      </c>
      <c r="C2351">
        <v>411.77999877929688</v>
      </c>
      <c r="D2351">
        <v>398.5</v>
      </c>
      <c r="E2351">
        <v>406.17999267578131</v>
      </c>
      <c r="F2351">
        <v>72047700</v>
      </c>
      <c r="G2351" s="2" t="s">
        <v>16</v>
      </c>
      <c r="H2351">
        <v>0.68286360981308913</v>
      </c>
      <c r="I2351">
        <v>160.61942723122326</v>
      </c>
      <c r="J2351">
        <v>432.84559997558591</v>
      </c>
      <c r="K2351">
        <v>3.160961375534078</v>
      </c>
      <c r="L2351">
        <v>0</v>
      </c>
      <c r="M2351" t="str">
        <f>VLOOKUP(fact_daily_prices[[#This Row],[Ticker]], dim_company[], 2, FALSE)</f>
        <v>Tesla Inc.</v>
      </c>
      <c r="N2351" t="str">
        <f>VLOOKUP(fact_daily_prices[[#This Row],[Ticker]], dim_company[], 3, FALSE)</f>
        <v>Consumer Discretionary</v>
      </c>
    </row>
    <row r="2352" spans="1:14" x14ac:dyDescent="0.3">
      <c r="A2352" s="1">
        <v>45981</v>
      </c>
      <c r="B2352">
        <v>395.23001098632813</v>
      </c>
      <c r="C2352">
        <v>428.94000244140631</v>
      </c>
      <c r="D2352">
        <v>394.739990234375</v>
      </c>
      <c r="E2352">
        <v>414.6300048828125</v>
      </c>
      <c r="F2352">
        <v>113548800</v>
      </c>
      <c r="G2352" s="2" t="s">
        <v>16</v>
      </c>
      <c r="H2352">
        <v>-2.1683654198869529</v>
      </c>
      <c r="I2352">
        <v>157.13661111352093</v>
      </c>
      <c r="J2352">
        <v>433.37400024414063</v>
      </c>
      <c r="K2352">
        <v>3.1797858410618316</v>
      </c>
      <c r="L2352">
        <v>0</v>
      </c>
      <c r="M2352" t="str">
        <f>VLOOKUP(fact_daily_prices[[#This Row],[Ticker]], dim_company[], 2, FALSE)</f>
        <v>Tesla Inc.</v>
      </c>
      <c r="N2352" t="str">
        <f>VLOOKUP(fact_daily_prices[[#This Row],[Ticker]], dim_company[], 3, FALSE)</f>
        <v>Consumer Discretionary</v>
      </c>
    </row>
    <row r="2353" spans="1:14" x14ac:dyDescent="0.3">
      <c r="A2353" s="1">
        <v>45982</v>
      </c>
      <c r="B2353">
        <v>391.08999633789063</v>
      </c>
      <c r="C2353">
        <v>402.79998779296881</v>
      </c>
      <c r="D2353">
        <v>383.760009765625</v>
      </c>
      <c r="E2353">
        <v>402.32000732421881</v>
      </c>
      <c r="F2353">
        <v>100460600</v>
      </c>
      <c r="G2353" s="2" t="s">
        <v>16</v>
      </c>
      <c r="H2353">
        <v>-1.0474950113494086</v>
      </c>
      <c r="I2353">
        <v>155.49061295110329</v>
      </c>
      <c r="J2353">
        <v>433.27700012207032</v>
      </c>
      <c r="K2353">
        <v>3.0532613099030814</v>
      </c>
      <c r="L2353">
        <v>0</v>
      </c>
      <c r="M2353" t="str">
        <f>VLOOKUP(fact_daily_prices[[#This Row],[Ticker]], dim_company[], 2, FALSE)</f>
        <v>Tesla Inc.</v>
      </c>
      <c r="N2353" t="str">
        <f>VLOOKUP(fact_daily_prices[[#This Row],[Ticker]], dim_company[], 3, FALSE)</f>
        <v>Consumer Discretionary</v>
      </c>
    </row>
    <row r="2354" spans="1:14" x14ac:dyDescent="0.3">
      <c r="A2354" s="1">
        <v>45985</v>
      </c>
      <c r="B2354">
        <v>417.77999877929688</v>
      </c>
      <c r="C2354">
        <v>421.72000122070313</v>
      </c>
      <c r="D2354">
        <v>401.08999633789063</v>
      </c>
      <c r="E2354">
        <v>402.17001342773438</v>
      </c>
      <c r="F2354">
        <v>96806400</v>
      </c>
      <c r="G2354" s="2" t="s">
        <v>16</v>
      </c>
      <c r="H2354">
        <v>6.8245167841999299</v>
      </c>
      <c r="I2354">
        <v>166.10209592980667</v>
      </c>
      <c r="J2354">
        <v>433.71380004882815</v>
      </c>
      <c r="K2354">
        <v>3.1506894770425622</v>
      </c>
      <c r="L2354">
        <v>0</v>
      </c>
      <c r="M2354" t="str">
        <f>VLOOKUP(fact_daily_prices[[#This Row],[Ticker]], dim_company[], 2, FALSE)</f>
        <v>Tesla Inc.</v>
      </c>
      <c r="N2354" t="str">
        <f>VLOOKUP(fact_daily_prices[[#This Row],[Ticker]], dim_company[], 3, FALSE)</f>
        <v>Consumer Discretionary</v>
      </c>
    </row>
    <row r="2355" spans="1:14" x14ac:dyDescent="0.3">
      <c r="A2355" s="1">
        <v>45986</v>
      </c>
      <c r="B2355">
        <v>419.39999389648438</v>
      </c>
      <c r="C2355">
        <v>420.48001098632813</v>
      </c>
      <c r="D2355">
        <v>405.95001220703131</v>
      </c>
      <c r="E2355">
        <v>414.42001342773438</v>
      </c>
      <c r="F2355">
        <v>71915600</v>
      </c>
      <c r="G2355" s="2" t="s">
        <v>16</v>
      </c>
      <c r="H2355">
        <v>0.38776272725380423</v>
      </c>
      <c r="I2355">
        <v>166.74617794700984</v>
      </c>
      <c r="J2355">
        <v>433.66940002441407</v>
      </c>
      <c r="K2355">
        <v>3.1400077846666554</v>
      </c>
      <c r="L2355">
        <v>0</v>
      </c>
      <c r="M2355" t="str">
        <f>VLOOKUP(fact_daily_prices[[#This Row],[Ticker]], dim_company[], 2, FALSE)</f>
        <v>Tesla Inc.</v>
      </c>
      <c r="N2355" t="str">
        <f>VLOOKUP(fact_daily_prices[[#This Row],[Ticker]], dim_company[], 3, FALSE)</f>
        <v>Consumer Discretionary</v>
      </c>
    </row>
    <row r="2356" spans="1:14" x14ac:dyDescent="0.3">
      <c r="A2356" s="1">
        <v>45987</v>
      </c>
      <c r="B2356">
        <v>426.57998657226563</v>
      </c>
      <c r="C2356">
        <v>426.94000244140631</v>
      </c>
      <c r="D2356">
        <v>416.8900146484375</v>
      </c>
      <c r="E2356">
        <v>423.95001220703131</v>
      </c>
      <c r="F2356">
        <v>63463000</v>
      </c>
      <c r="G2356" s="2" t="s">
        <v>16</v>
      </c>
      <c r="H2356">
        <v>1.7119677587676296</v>
      </c>
      <c r="I2356">
        <v>169.60081875243995</v>
      </c>
      <c r="J2356">
        <v>433.68380004882812</v>
      </c>
      <c r="K2356">
        <v>3.145774182784097</v>
      </c>
      <c r="L2356">
        <v>0</v>
      </c>
      <c r="M2356" t="str">
        <f>VLOOKUP(fact_daily_prices[[#This Row],[Ticker]], dim_company[], 2, FALSE)</f>
        <v>Tesla Inc.</v>
      </c>
      <c r="N2356" t="str">
        <f>VLOOKUP(fact_daily_prices[[#This Row],[Ticker]], dim_company[], 3, FALSE)</f>
        <v>Consumer Discretionary</v>
      </c>
    </row>
    <row r="2357" spans="1:14" x14ac:dyDescent="0.3">
      <c r="A2357" s="1">
        <v>45989</v>
      </c>
      <c r="B2357">
        <v>430.17001342773438</v>
      </c>
      <c r="C2357">
        <v>432.92999267578131</v>
      </c>
      <c r="D2357">
        <v>426.20001220703131</v>
      </c>
      <c r="E2357">
        <v>426.58999633789063</v>
      </c>
      <c r="F2357">
        <v>36252900</v>
      </c>
      <c r="G2357" s="2" t="s">
        <v>16</v>
      </c>
      <c r="H2357">
        <v>0.84158351738814474</v>
      </c>
      <c r="I2357">
        <v>171.02815128841581</v>
      </c>
      <c r="J2357">
        <v>433.9502001953125</v>
      </c>
      <c r="K2357">
        <v>3.1372768601237389</v>
      </c>
      <c r="L2357">
        <v>0</v>
      </c>
      <c r="M2357" t="str">
        <f>VLOOKUP(fact_daily_prices[[#This Row],[Ticker]], dim_company[], 2, FALSE)</f>
        <v>Tesla Inc.</v>
      </c>
      <c r="N2357" t="str">
        <f>VLOOKUP(fact_daily_prices[[#This Row],[Ticker]], dim_company[], 3, FALSE)</f>
        <v>Consumer Discretionary</v>
      </c>
    </row>
    <row r="2358" spans="1:14" x14ac:dyDescent="0.3">
      <c r="A2358" s="1">
        <v>45992</v>
      </c>
      <c r="B2358">
        <v>430.1400146484375</v>
      </c>
      <c r="C2358">
        <v>433.66000366210938</v>
      </c>
      <c r="D2358">
        <v>425.29000854492188</v>
      </c>
      <c r="E2358">
        <v>425.32000732421881</v>
      </c>
      <c r="F2358">
        <v>57463600</v>
      </c>
      <c r="G2358" s="2" t="s">
        <v>16</v>
      </c>
      <c r="H2358">
        <v>-6.9737030384375842E-3</v>
      </c>
      <c r="I2358">
        <v>171.01622429303282</v>
      </c>
      <c r="J2358">
        <v>434.03160034179689</v>
      </c>
      <c r="K2358">
        <v>3.1042423948411675</v>
      </c>
      <c r="L2358">
        <v>0</v>
      </c>
      <c r="M2358" t="str">
        <f>VLOOKUP(fact_daily_prices[[#This Row],[Ticker]], dim_company[], 2, FALSE)</f>
        <v>Tesla Inc.</v>
      </c>
      <c r="N2358" t="str">
        <f>VLOOKUP(fact_daily_prices[[#This Row],[Ticker]], dim_company[], 3, FALSE)</f>
        <v>Consumer Discretionary</v>
      </c>
    </row>
    <row r="2359" spans="1:14" x14ac:dyDescent="0.3">
      <c r="A2359" s="1">
        <v>45993</v>
      </c>
      <c r="B2359">
        <v>429.239990234375</v>
      </c>
      <c r="C2359">
        <v>436.79998779296881</v>
      </c>
      <c r="D2359">
        <v>422.1199951171875</v>
      </c>
      <c r="E2359">
        <v>430.80999755859375</v>
      </c>
      <c r="F2359">
        <v>69336600</v>
      </c>
      <c r="G2359" s="2" t="s">
        <v>16</v>
      </c>
      <c r="H2359">
        <v>-0.20923987153301793</v>
      </c>
      <c r="I2359">
        <v>170.65839016502147</v>
      </c>
      <c r="J2359">
        <v>433.93220031738281</v>
      </c>
      <c r="K2359">
        <v>3.0841221596013382</v>
      </c>
      <c r="L2359">
        <v>0</v>
      </c>
      <c r="M2359" t="str">
        <f>VLOOKUP(fact_daily_prices[[#This Row],[Ticker]], dim_company[], 2, FALSE)</f>
        <v>Tesla Inc.</v>
      </c>
      <c r="N2359" t="str">
        <f>VLOOKUP(fact_daily_prices[[#This Row],[Ticker]], dim_company[], 3, FALSE)</f>
        <v>Consumer Discretionary</v>
      </c>
    </row>
    <row r="2360" spans="1:14" x14ac:dyDescent="0.3">
      <c r="A2360" s="1">
        <v>45994</v>
      </c>
      <c r="B2360">
        <v>446.739990234375</v>
      </c>
      <c r="C2360">
        <v>447.92001342773438</v>
      </c>
      <c r="D2360">
        <v>431.1099853515625</v>
      </c>
      <c r="E2360">
        <v>432.10000610351563</v>
      </c>
      <c r="F2360">
        <v>87483000</v>
      </c>
      <c r="G2360" s="2" t="s">
        <v>16</v>
      </c>
      <c r="H2360">
        <v>4.0769733478105419</v>
      </c>
      <c r="I2360">
        <v>177.61608724785191</v>
      </c>
      <c r="J2360">
        <v>434.35</v>
      </c>
      <c r="K2360">
        <v>3.1697013552957158</v>
      </c>
      <c r="L2360">
        <v>0</v>
      </c>
      <c r="M2360" t="str">
        <f>VLOOKUP(fact_daily_prices[[#This Row],[Ticker]], dim_company[], 2, FALSE)</f>
        <v>Tesla Inc.</v>
      </c>
      <c r="N2360" t="str">
        <f>VLOOKUP(fact_daily_prices[[#This Row],[Ticker]], dim_company[], 3, FALSE)</f>
        <v>Consumer Discretionary</v>
      </c>
    </row>
    <row r="2361" spans="1:14" x14ac:dyDescent="0.3">
      <c r="A2361" s="1">
        <v>45995</v>
      </c>
      <c r="B2361">
        <v>446.739990234375</v>
      </c>
      <c r="C2361">
        <v>454.6300048828125</v>
      </c>
      <c r="D2361">
        <v>445.3900146484375</v>
      </c>
      <c r="E2361">
        <v>449.94000244140631</v>
      </c>
      <c r="F2361">
        <v>71906500</v>
      </c>
      <c r="G2361" s="2" t="s">
        <v>16</v>
      </c>
      <c r="H2361">
        <v>0</v>
      </c>
      <c r="I2361">
        <v>177.61608724785191</v>
      </c>
      <c r="J2361">
        <v>434.42899963378909</v>
      </c>
      <c r="K2361">
        <v>3.1652061980335957</v>
      </c>
      <c r="L2361">
        <v>0</v>
      </c>
      <c r="M2361" t="str">
        <f>VLOOKUP(fact_daily_prices[[#This Row],[Ticker]], dim_company[], 2, FALSE)</f>
        <v>Tesla Inc.</v>
      </c>
      <c r="N2361" t="str">
        <f>VLOOKUP(fact_daily_prices[[#This Row],[Ticker]], dim_company[], 3, FALSE)</f>
        <v>Consumer Discretionary</v>
      </c>
    </row>
    <row r="2362" spans="1:14" x14ac:dyDescent="0.3">
      <c r="A2362" s="1">
        <v>45996</v>
      </c>
      <c r="B2362">
        <v>455</v>
      </c>
      <c r="C2362">
        <v>458.8699951171875</v>
      </c>
      <c r="D2362">
        <v>451.66000366210938</v>
      </c>
      <c r="E2362">
        <v>453.02999877929688</v>
      </c>
      <c r="F2362">
        <v>56427500</v>
      </c>
      <c r="G2362" s="2" t="s">
        <v>16</v>
      </c>
      <c r="H2362">
        <v>1.8489523987524681</v>
      </c>
      <c r="I2362">
        <v>180.90012415359132</v>
      </c>
      <c r="J2362">
        <v>435.06119934082034</v>
      </c>
      <c r="K2362">
        <v>3.1559587983390216</v>
      </c>
      <c r="L2362">
        <v>0</v>
      </c>
      <c r="M2362" t="str">
        <f>VLOOKUP(fact_daily_prices[[#This Row],[Ticker]], dim_company[], 2, FALSE)</f>
        <v>Tesla Inc.</v>
      </c>
      <c r="N2362" t="str">
        <f>VLOOKUP(fact_daily_prices[[#This Row],[Ticker]], dim_company[], 3, FALSE)</f>
        <v>Consumer Discretionary</v>
      </c>
    </row>
    <row r="2363" spans="1:14" x14ac:dyDescent="0.3">
      <c r="A2363" s="1">
        <v>45999</v>
      </c>
      <c r="B2363">
        <v>439.57998657226563</v>
      </c>
      <c r="C2363">
        <v>449.75</v>
      </c>
      <c r="D2363">
        <v>435.25</v>
      </c>
      <c r="E2363">
        <v>447.45001220703131</v>
      </c>
      <c r="F2363">
        <v>69165800</v>
      </c>
      <c r="G2363" s="2" t="s">
        <v>16</v>
      </c>
      <c r="H2363">
        <v>-3.3890139401614006</v>
      </c>
      <c r="I2363">
        <v>174.76939372825683</v>
      </c>
      <c r="J2363">
        <v>435.04479919433595</v>
      </c>
      <c r="K2363">
        <v>3.1555853022625695</v>
      </c>
      <c r="L2363">
        <v>0</v>
      </c>
      <c r="M2363" t="str">
        <f>VLOOKUP(fact_daily_prices[[#This Row],[Ticker]], dim_company[], 2, FALSE)</f>
        <v>Tesla Inc.</v>
      </c>
      <c r="N2363" t="str">
        <f>VLOOKUP(fact_daily_prices[[#This Row],[Ticker]], dim_company[], 3, FALSE)</f>
        <v>Consumer Discretionary</v>
      </c>
    </row>
    <row r="2364" spans="1:14" x14ac:dyDescent="0.3">
      <c r="A2364" s="1">
        <v>46000</v>
      </c>
      <c r="B2364">
        <v>445.17001342773438</v>
      </c>
      <c r="C2364">
        <v>452.3900146484375</v>
      </c>
      <c r="D2364">
        <v>435.70001220703131</v>
      </c>
      <c r="E2364">
        <v>437.54000854492188</v>
      </c>
      <c r="F2364">
        <v>62367400</v>
      </c>
      <c r="G2364" s="2" t="s">
        <v>16</v>
      </c>
      <c r="H2364">
        <v>1.271674558948499</v>
      </c>
      <c r="I2364">
        <v>176.99189164512762</v>
      </c>
      <c r="J2364">
        <v>435.08399963378906</v>
      </c>
      <c r="K2364">
        <v>3.0628978073470154</v>
      </c>
      <c r="L2364">
        <v>0</v>
      </c>
      <c r="M2364" t="str">
        <f>VLOOKUP(fact_daily_prices[[#This Row],[Ticker]], dim_company[], 2, FALSE)</f>
        <v>Tesla Inc.</v>
      </c>
      <c r="N2364" t="str">
        <f>VLOOKUP(fact_daily_prices[[#This Row],[Ticker]], dim_company[], 3, FALSE)</f>
        <v>Consumer Discretionary</v>
      </c>
    </row>
    <row r="2365" spans="1:14" x14ac:dyDescent="0.3">
      <c r="A2365" s="1">
        <v>46001</v>
      </c>
      <c r="B2365">
        <v>451.45001220703131</v>
      </c>
      <c r="C2365">
        <v>456.8800048828125</v>
      </c>
      <c r="D2365">
        <v>443.6099853515625</v>
      </c>
      <c r="E2365">
        <v>446.07000732421881</v>
      </c>
      <c r="F2365">
        <v>78628600</v>
      </c>
      <c r="G2365" s="2" t="s">
        <v>16</v>
      </c>
      <c r="H2365">
        <v>1.410696720325344</v>
      </c>
      <c r="I2365">
        <v>179.48871045580722</v>
      </c>
      <c r="J2365">
        <v>435.21859985351563</v>
      </c>
      <c r="K2365">
        <v>3.0558502202110782</v>
      </c>
      <c r="L2365">
        <v>0</v>
      </c>
      <c r="M2365" t="str">
        <f>VLOOKUP(fact_daily_prices[[#This Row],[Ticker]], dim_company[], 2, FALSE)</f>
        <v>Tesla Inc.</v>
      </c>
      <c r="N2365" t="str">
        <f>VLOOKUP(fact_daily_prices[[#This Row],[Ticker]], dim_company[], 3, FALSE)</f>
        <v>Consumer Discretionary</v>
      </c>
    </row>
    <row r="2366" spans="1:14" x14ac:dyDescent="0.3">
      <c r="A2366" s="1">
        <v>46002</v>
      </c>
      <c r="B2366">
        <v>446.8900146484375</v>
      </c>
      <c r="C2366">
        <v>449.26998901367188</v>
      </c>
      <c r="D2366">
        <v>440.32998657226563</v>
      </c>
      <c r="E2366">
        <v>448.95001220703131</v>
      </c>
      <c r="F2366">
        <v>55979500</v>
      </c>
      <c r="G2366" s="2" t="s">
        <v>16</v>
      </c>
      <c r="H2366">
        <v>-1.0100780674035303</v>
      </c>
      <c r="I2366">
        <v>177.67573435802768</v>
      </c>
      <c r="J2366">
        <v>434.96720031738283</v>
      </c>
      <c r="K2366">
        <v>3.0607864981628778</v>
      </c>
      <c r="L2366">
        <v>0</v>
      </c>
      <c r="M2366" t="str">
        <f>VLOOKUP(fact_daily_prices[[#This Row],[Ticker]], dim_company[], 2, FALSE)</f>
        <v>Tesla Inc.</v>
      </c>
      <c r="N2366" t="str">
        <f>VLOOKUP(fact_daily_prices[[#This Row],[Ticker]], dim_company[], 3, FALSE)</f>
        <v>Consumer Discretionary</v>
      </c>
    </row>
    <row r="2367" spans="1:14" x14ac:dyDescent="0.3">
      <c r="A2367" s="1">
        <v>46003</v>
      </c>
      <c r="B2367">
        <v>458.95999145507813</v>
      </c>
      <c r="C2367">
        <v>463.010009765625</v>
      </c>
      <c r="D2367">
        <v>441.67001342773438</v>
      </c>
      <c r="E2367">
        <v>448.08999633789063</v>
      </c>
      <c r="F2367">
        <v>95656700</v>
      </c>
      <c r="G2367" s="2" t="s">
        <v>16</v>
      </c>
      <c r="H2367">
        <v>2.7008830833098685</v>
      </c>
      <c r="I2367">
        <v>182.47454821045022</v>
      </c>
      <c r="J2367">
        <v>435.42640014648435</v>
      </c>
      <c r="K2367">
        <v>2.974426588577582</v>
      </c>
      <c r="L2367">
        <v>0</v>
      </c>
      <c r="M2367" t="str">
        <f>VLOOKUP(fact_daily_prices[[#This Row],[Ticker]], dim_company[], 2, FALSE)</f>
        <v>Tesla Inc.</v>
      </c>
      <c r="N2367" t="str">
        <f>VLOOKUP(fact_daily_prices[[#This Row],[Ticker]], dim_company[], 3, FALSE)</f>
        <v>Consumer Discretionary</v>
      </c>
    </row>
    <row r="2368" spans="1:14" x14ac:dyDescent="0.3">
      <c r="A2368" s="1">
        <v>46006</v>
      </c>
      <c r="B2368">
        <v>475.30999755859375</v>
      </c>
      <c r="C2368">
        <v>481.76998901367188</v>
      </c>
      <c r="D2368">
        <v>467.66000366210938</v>
      </c>
      <c r="E2368">
        <v>469.44000244140631</v>
      </c>
      <c r="F2368">
        <v>114542200</v>
      </c>
      <c r="G2368" s="2" t="s">
        <v>16</v>
      </c>
      <c r="H2368">
        <v>3.5624033484225714</v>
      </c>
      <c r="I2368">
        <v>188.97502762591824</v>
      </c>
      <c r="J2368">
        <v>436.33600036621095</v>
      </c>
      <c r="K2368">
        <v>2.9672685293127663</v>
      </c>
      <c r="L2368">
        <v>0</v>
      </c>
      <c r="M2368" t="str">
        <f>VLOOKUP(fact_daily_prices[[#This Row],[Ticker]], dim_company[], 2, FALSE)</f>
        <v>Tesla Inc.</v>
      </c>
      <c r="N2368" t="str">
        <f>VLOOKUP(fact_daily_prices[[#This Row],[Ticker]], dim_company[], 3, FALSE)</f>
        <v>Consumer Discretionary</v>
      </c>
    </row>
    <row r="2369" spans="1:14" x14ac:dyDescent="0.3">
      <c r="A2369" s="1">
        <v>46007</v>
      </c>
      <c r="B2369">
        <v>489.8800048828125</v>
      </c>
      <c r="C2369">
        <v>491.5</v>
      </c>
      <c r="D2369">
        <v>465.82998657226563</v>
      </c>
      <c r="E2369">
        <v>472.20999145507813</v>
      </c>
      <c r="F2369">
        <v>107608100</v>
      </c>
      <c r="G2369" s="2" t="s">
        <v>16</v>
      </c>
      <c r="H2369">
        <v>3.0653694218629735</v>
      </c>
      <c r="I2369">
        <v>194.76781033772025</v>
      </c>
      <c r="J2369">
        <v>437.0686004638672</v>
      </c>
      <c r="K2369">
        <v>2.9819231000609943</v>
      </c>
      <c r="L2369">
        <v>0</v>
      </c>
      <c r="M2369" t="str">
        <f>VLOOKUP(fact_daily_prices[[#This Row],[Ticker]], dim_company[], 2, FALSE)</f>
        <v>Tesla Inc.</v>
      </c>
      <c r="N2369" t="str">
        <f>VLOOKUP(fact_daily_prices[[#This Row],[Ticker]], dim_company[], 3, FALSE)</f>
        <v>Consumer Discretionary</v>
      </c>
    </row>
    <row r="2370" spans="1:14" x14ac:dyDescent="0.3">
      <c r="A2370" s="1">
        <v>46008</v>
      </c>
      <c r="B2370">
        <v>467.260009765625</v>
      </c>
      <c r="C2370">
        <v>495.27999877929688</v>
      </c>
      <c r="D2370">
        <v>466.20001220703131</v>
      </c>
      <c r="E2370">
        <v>488.22000122070313</v>
      </c>
      <c r="F2370">
        <v>106490400</v>
      </c>
      <c r="G2370" s="2" t="s">
        <v>16</v>
      </c>
      <c r="H2370">
        <v>-4.6174562937302488</v>
      </c>
      <c r="I2370">
        <v>185.77449182112059</v>
      </c>
      <c r="J2370">
        <v>437.75200073242189</v>
      </c>
      <c r="K2370">
        <v>2.9505870718936622</v>
      </c>
      <c r="L2370">
        <v>0</v>
      </c>
      <c r="M2370" t="str">
        <f>VLOOKUP(fact_daily_prices[[#This Row],[Ticker]], dim_company[], 2, FALSE)</f>
        <v>Tesla Inc.</v>
      </c>
      <c r="N2370" t="str">
        <f>VLOOKUP(fact_daily_prices[[#This Row],[Ticker]], dim_company[], 3, FALSE)</f>
        <v>Consumer Discretionary</v>
      </c>
    </row>
    <row r="2371" spans="1:14" x14ac:dyDescent="0.3">
      <c r="A2371" s="1">
        <v>46009</v>
      </c>
      <c r="B2371">
        <v>483.3699951171875</v>
      </c>
      <c r="C2371">
        <v>490.8599853515625</v>
      </c>
      <c r="D2371">
        <v>473.1199951171875</v>
      </c>
      <c r="E2371">
        <v>478.16000366210938</v>
      </c>
      <c r="F2371">
        <v>95168400</v>
      </c>
      <c r="G2371" s="2" t="s">
        <v>16</v>
      </c>
      <c r="H2371">
        <v>3.4477560704677446</v>
      </c>
      <c r="I2371">
        <v>192.17954314026386</v>
      </c>
      <c r="J2371">
        <v>438.64560058593747</v>
      </c>
      <c r="K2371">
        <v>2.9273642995294469</v>
      </c>
      <c r="L2371">
        <v>0</v>
      </c>
      <c r="M2371" t="str">
        <f>VLOOKUP(fact_daily_prices[[#This Row],[Ticker]], dim_company[], 2, FALSE)</f>
        <v>Tesla Inc.</v>
      </c>
      <c r="N2371" t="str">
        <f>VLOOKUP(fact_daily_prices[[#This Row],[Ticker]], dim_company[], 3, FALSE)</f>
        <v>Consumer Discretionary</v>
      </c>
    </row>
    <row r="2372" spans="1:14" x14ac:dyDescent="0.3">
      <c r="A2372" s="1">
        <v>46010</v>
      </c>
      <c r="B2372">
        <v>481.20001220703131</v>
      </c>
      <c r="C2372">
        <v>490.489990234375</v>
      </c>
      <c r="D2372">
        <v>474.72000122070313</v>
      </c>
      <c r="E2372">
        <v>488.1199951171875</v>
      </c>
      <c r="F2372">
        <v>103305400</v>
      </c>
      <c r="G2372" s="2" t="s">
        <v>16</v>
      </c>
      <c r="H2372">
        <v>-0.44892792934532189</v>
      </c>
      <c r="I2372">
        <v>191.31679549661897</v>
      </c>
      <c r="J2372">
        <v>439.55880065917967</v>
      </c>
      <c r="K2372">
        <v>2.8466886770329682</v>
      </c>
      <c r="L2372">
        <v>0</v>
      </c>
      <c r="M2372" t="str">
        <f>VLOOKUP(fact_daily_prices[[#This Row],[Ticker]], dim_company[], 2, FALSE)</f>
        <v>Tesla Inc.</v>
      </c>
      <c r="N2372" t="str">
        <f>VLOOKUP(fact_daily_prices[[#This Row],[Ticker]], dim_company[], 3, FALSE)</f>
        <v>Consumer Discretionary</v>
      </c>
    </row>
    <row r="2373" spans="1:14" x14ac:dyDescent="0.3">
      <c r="A2373" s="1">
        <v>46013</v>
      </c>
      <c r="B2373">
        <v>488.73001098632813</v>
      </c>
      <c r="C2373">
        <v>498.82998657226563</v>
      </c>
      <c r="D2373">
        <v>485.32998657226563</v>
      </c>
      <c r="E2373">
        <v>489.8800048828125</v>
      </c>
      <c r="F2373">
        <v>86916100</v>
      </c>
      <c r="G2373" s="2" t="s">
        <v>16</v>
      </c>
      <c r="H2373">
        <v>1.5648376118613028</v>
      </c>
      <c r="I2373">
        <v>194.31059267035781</v>
      </c>
      <c r="J2373">
        <v>441.06360107421875</v>
      </c>
      <c r="K2373">
        <v>2.7540120067782912</v>
      </c>
      <c r="L2373">
        <v>0</v>
      </c>
      <c r="M2373" t="str">
        <f>VLOOKUP(fact_daily_prices[[#This Row],[Ticker]], dim_company[], 2, FALSE)</f>
        <v>Tesla Inc.</v>
      </c>
      <c r="N2373" t="str">
        <f>VLOOKUP(fact_daily_prices[[#This Row],[Ticker]], dim_company[], 3, FALSE)</f>
        <v>Consumer Discretionary</v>
      </c>
    </row>
    <row r="2374" spans="1:14" x14ac:dyDescent="0.3">
      <c r="A2374" s="1">
        <v>46014</v>
      </c>
      <c r="B2374">
        <v>485.55999755859375</v>
      </c>
      <c r="C2374">
        <v>491.97000122070313</v>
      </c>
      <c r="D2374">
        <v>482.83999633789063</v>
      </c>
      <c r="E2374">
        <v>489.39999389648438</v>
      </c>
      <c r="F2374">
        <v>58223600</v>
      </c>
      <c r="G2374" s="2" t="s">
        <v>16</v>
      </c>
      <c r="H2374">
        <v>-0.64862262526846903</v>
      </c>
      <c r="I2374">
        <v>193.05025020300462</v>
      </c>
      <c r="J2374">
        <v>442.05680114746093</v>
      </c>
      <c r="K2374">
        <v>2.693602439230157</v>
      </c>
      <c r="L2374">
        <v>0</v>
      </c>
      <c r="M2374" t="str">
        <f>VLOOKUP(fact_daily_prices[[#This Row],[Ticker]], dim_company[], 2, FALSE)</f>
        <v>Tesla Inc.</v>
      </c>
      <c r="N2374" t="str">
        <f>VLOOKUP(fact_daily_prices[[#This Row],[Ticker]], dim_company[], 3, FALSE)</f>
        <v>Consumer Discretionary</v>
      </c>
    </row>
    <row r="2375" spans="1:14" x14ac:dyDescent="0.3">
      <c r="A2375" s="1">
        <v>46015</v>
      </c>
      <c r="B2375">
        <v>485.39999389648438</v>
      </c>
      <c r="C2375">
        <v>490.89999389648438</v>
      </c>
      <c r="D2375">
        <v>476.79998779296881</v>
      </c>
      <c r="E2375">
        <v>488.48001098632813</v>
      </c>
      <c r="F2375">
        <v>41285400</v>
      </c>
      <c r="G2375" s="2" t="s">
        <v>16</v>
      </c>
      <c r="H2375">
        <v>-3.2952397832164415E-2</v>
      </c>
      <c r="I2375">
        <v>192.98663551654175</v>
      </c>
      <c r="J2375">
        <v>443.1800012207031</v>
      </c>
      <c r="K2375">
        <v>2.6779815375883858</v>
      </c>
      <c r="L2375">
        <v>0</v>
      </c>
      <c r="M2375" t="str">
        <f>VLOOKUP(fact_daily_prices[[#This Row],[Ticker]], dim_company[], 2, FALSE)</f>
        <v>Tesla Inc.</v>
      </c>
      <c r="N2375" t="str">
        <f>VLOOKUP(fact_daily_prices[[#This Row],[Ticker]], dim_company[], 3, FALSE)</f>
        <v>Consumer Discretionary</v>
      </c>
    </row>
    <row r="2376" spans="1:14" x14ac:dyDescent="0.3">
      <c r="A2376" s="1">
        <v>46017</v>
      </c>
      <c r="B2376">
        <v>475.19000244140631</v>
      </c>
      <c r="C2376">
        <v>489.08999633789063</v>
      </c>
      <c r="D2376">
        <v>473.82000732421881</v>
      </c>
      <c r="E2376">
        <v>485.23001098632813</v>
      </c>
      <c r="F2376">
        <v>58780700</v>
      </c>
      <c r="G2376" s="2" t="s">
        <v>16</v>
      </c>
      <c r="H2376">
        <v>-2.1034181259704465</v>
      </c>
      <c r="I2376">
        <v>188.9273196443863</v>
      </c>
      <c r="J2376">
        <v>443.98080139160157</v>
      </c>
      <c r="K2376">
        <v>2.6796052423315104</v>
      </c>
      <c r="L2376">
        <v>0</v>
      </c>
      <c r="M2376" t="str">
        <f>VLOOKUP(fact_daily_prices[[#This Row],[Ticker]], dim_company[], 2, FALSE)</f>
        <v>Tesla Inc.</v>
      </c>
      <c r="N2376" t="str">
        <f>VLOOKUP(fact_daily_prices[[#This Row],[Ticker]], dim_company[], 3, FALSE)</f>
        <v>Consumer Discretionary</v>
      </c>
    </row>
    <row r="2377" spans="1:14" x14ac:dyDescent="0.3">
      <c r="A2377" s="1">
        <v>46020</v>
      </c>
      <c r="B2377">
        <v>459.6400146484375</v>
      </c>
      <c r="C2377">
        <v>469.39999389648438</v>
      </c>
      <c r="D2377">
        <v>459</v>
      </c>
      <c r="E2377">
        <v>469</v>
      </c>
      <c r="F2377">
        <v>66263000</v>
      </c>
      <c r="G2377" s="2" t="s">
        <v>16</v>
      </c>
      <c r="H2377">
        <v>-3.2723726747357684</v>
      </c>
      <c r="I2377">
        <v>182.74491366123272</v>
      </c>
      <c r="J2377">
        <v>444.59860168457033</v>
      </c>
      <c r="K2377">
        <v>2.4350802724238307</v>
      </c>
      <c r="L2377">
        <v>0</v>
      </c>
      <c r="M2377" t="str">
        <f>VLOOKUP(fact_daily_prices[[#This Row],[Ticker]], dim_company[], 2, FALSE)</f>
        <v>Tesla Inc.</v>
      </c>
      <c r="N2377" t="str">
        <f>VLOOKUP(fact_daily_prices[[#This Row],[Ticker]], dim_company[], 3, FALSE)</f>
        <v>Consumer Discretionary</v>
      </c>
    </row>
    <row r="2378" spans="1:14" x14ac:dyDescent="0.3">
      <c r="A2378" s="1">
        <v>46021</v>
      </c>
      <c r="B2378">
        <v>454.42999267578131</v>
      </c>
      <c r="C2378">
        <v>463.1199951171875</v>
      </c>
      <c r="D2378">
        <v>453.82998657226563</v>
      </c>
      <c r="E2378">
        <v>461.08999633789063</v>
      </c>
      <c r="F2378">
        <v>59238500</v>
      </c>
      <c r="G2378" s="2" t="s">
        <v>16</v>
      </c>
      <c r="H2378">
        <v>-1.133500523587172</v>
      </c>
      <c r="I2378">
        <v>180.6734991080537</v>
      </c>
      <c r="J2378">
        <v>444.90100158691405</v>
      </c>
      <c r="K2378">
        <v>2.4525771191642427</v>
      </c>
      <c r="L2378">
        <v>0</v>
      </c>
      <c r="M2378" t="str">
        <f>VLOOKUP(fact_daily_prices[[#This Row],[Ticker]], dim_company[], 2, FALSE)</f>
        <v>Tesla Inc.</v>
      </c>
      <c r="N2378" t="str">
        <f>VLOOKUP(fact_daily_prices[[#This Row],[Ticker]], dim_company[], 3, FALSE)</f>
        <v>Consumer Discretionary</v>
      </c>
    </row>
    <row r="2379" spans="1:14" x14ac:dyDescent="0.3">
      <c r="A2379" s="1">
        <v>46022</v>
      </c>
      <c r="B2379">
        <v>449.72000122070313</v>
      </c>
      <c r="C2379">
        <v>456.54998779296881</v>
      </c>
      <c r="D2379">
        <v>449.29998779296881</v>
      </c>
      <c r="E2379">
        <v>456.10000610351563</v>
      </c>
      <c r="F2379">
        <v>49078000</v>
      </c>
      <c r="G2379" s="2" t="s">
        <v>16</v>
      </c>
      <c r="H2379">
        <v>-1.0364613980130888</v>
      </c>
      <c r="I2379">
        <v>178.8008880333592</v>
      </c>
      <c r="J2379">
        <v>444.94680175781252</v>
      </c>
      <c r="K2379">
        <v>2.4627861383116043</v>
      </c>
      <c r="L2379">
        <v>0</v>
      </c>
      <c r="M2379" t="str">
        <f>VLOOKUP(fact_daily_prices[[#This Row],[Ticker]], dim_company[], 2, FALSE)</f>
        <v>Tesla Inc.</v>
      </c>
      <c r="N2379" t="str">
        <f>VLOOKUP(fact_daily_prices[[#This Row],[Ticker]], dim_company[], 3, FALSE)</f>
        <v>Consumer Discretionary</v>
      </c>
    </row>
    <row r="2380" spans="1:14" x14ac:dyDescent="0.3">
      <c r="A2380" s="1">
        <v>46024</v>
      </c>
      <c r="B2380">
        <v>438.07000732421881</v>
      </c>
      <c r="C2380">
        <v>458.33999633789063</v>
      </c>
      <c r="D2380">
        <v>435.29998779296881</v>
      </c>
      <c r="E2380">
        <v>457.79998779296881</v>
      </c>
      <c r="F2380">
        <v>85535400</v>
      </c>
      <c r="G2380" s="2" t="s">
        <v>16</v>
      </c>
      <c r="H2380">
        <v>-2.590499391813128</v>
      </c>
      <c r="I2380">
        <v>174.16905211629856</v>
      </c>
      <c r="J2380">
        <v>444.85620178222655</v>
      </c>
      <c r="K2380">
        <v>2.4883531975279061</v>
      </c>
      <c r="L2380">
        <v>0</v>
      </c>
      <c r="M2380" t="str">
        <f>VLOOKUP(fact_daily_prices[[#This Row],[Ticker]], dim_company[], 2, FALSE)</f>
        <v>Tesla Inc.</v>
      </c>
      <c r="N2380" t="str">
        <f>VLOOKUP(fact_daily_prices[[#This Row],[Ticker]], dim_company[], 3, FALSE)</f>
        <v>Consumer Discretionary</v>
      </c>
    </row>
    <row r="2381" spans="1:14" x14ac:dyDescent="0.3">
      <c r="A2381" s="1">
        <v>46027</v>
      </c>
      <c r="B2381">
        <v>451.67001342773438</v>
      </c>
      <c r="C2381">
        <v>457.54998779296881</v>
      </c>
      <c r="D2381">
        <v>444.57000732421881</v>
      </c>
      <c r="E2381">
        <v>447.989990234375</v>
      </c>
      <c r="F2381">
        <v>67940800</v>
      </c>
      <c r="G2381" s="2" t="s">
        <v>16</v>
      </c>
      <c r="H2381">
        <v>3.1045280151877908</v>
      </c>
      <c r="I2381">
        <v>179.57617913303608</v>
      </c>
      <c r="J2381">
        <v>445.11020202636718</v>
      </c>
      <c r="K2381">
        <v>2.5391976325619225</v>
      </c>
      <c r="L2381">
        <v>0</v>
      </c>
      <c r="M2381" t="str">
        <f>VLOOKUP(fact_daily_prices[[#This Row],[Ticker]], dim_company[], 2, FALSE)</f>
        <v>Tesla Inc.</v>
      </c>
      <c r="N2381" t="str">
        <f>VLOOKUP(fact_daily_prices[[#This Row],[Ticker]], dim_company[], 3, FALSE)</f>
        <v>Consumer Discretionary</v>
      </c>
    </row>
    <row r="2382" spans="1:14" x14ac:dyDescent="0.3">
      <c r="A2382" s="1">
        <v>46028</v>
      </c>
      <c r="B2382">
        <v>432.95999145507813</v>
      </c>
      <c r="C2382">
        <v>448.25</v>
      </c>
      <c r="D2382">
        <v>428.77999877929688</v>
      </c>
      <c r="E2382">
        <v>446.3800048828125</v>
      </c>
      <c r="F2382">
        <v>89093800</v>
      </c>
      <c r="G2382" s="2" t="s">
        <v>16</v>
      </c>
      <c r="H2382">
        <v>-4.1424095947095179</v>
      </c>
      <c r="I2382">
        <v>172.13739825881643</v>
      </c>
      <c r="J2382">
        <v>444.78980163574221</v>
      </c>
      <c r="K2382">
        <v>2.6320246505568949</v>
      </c>
      <c r="L2382">
        <v>0</v>
      </c>
      <c r="M2382" t="str">
        <f>VLOOKUP(fact_daily_prices[[#This Row],[Ticker]], dim_company[], 2, FALSE)</f>
        <v>Tesla Inc.</v>
      </c>
      <c r="N2382" t="str">
        <f>VLOOKUP(fact_daily_prices[[#This Row],[Ticker]], dim_company[], 3, FALSE)</f>
        <v>Consumer Discretionary</v>
      </c>
    </row>
    <row r="2383" spans="1:14" x14ac:dyDescent="0.3">
      <c r="A2383" s="1">
        <v>46029</v>
      </c>
      <c r="B2383">
        <v>431.41000366210938</v>
      </c>
      <c r="C2383">
        <v>438.3699951171875</v>
      </c>
      <c r="D2383">
        <v>431.29000854492188</v>
      </c>
      <c r="E2383">
        <v>435.89999389648438</v>
      </c>
      <c r="F2383">
        <v>59828800</v>
      </c>
      <c r="G2383" s="2" t="s">
        <v>16</v>
      </c>
      <c r="H2383">
        <v>-0.35799792672750463</v>
      </c>
      <c r="I2383">
        <v>171.52114994192721</v>
      </c>
      <c r="J2383">
        <v>444.74360168457031</v>
      </c>
      <c r="K2383">
        <v>2.6225051613088284</v>
      </c>
      <c r="L2383">
        <v>0</v>
      </c>
      <c r="M2383" t="str">
        <f>VLOOKUP(fact_daily_prices[[#This Row],[Ticker]], dim_company[], 2, FALSE)</f>
        <v>Tesla Inc.</v>
      </c>
      <c r="N2383" t="str">
        <f>VLOOKUP(fact_daily_prices[[#This Row],[Ticker]], dim_company[], 3, FALSE)</f>
        <v>Consumer Discretionary</v>
      </c>
    </row>
    <row r="2384" spans="1:14" x14ac:dyDescent="0.3">
      <c r="A2384" s="1">
        <v>46030</v>
      </c>
      <c r="B2384">
        <v>435.79998779296881</v>
      </c>
      <c r="C2384">
        <v>436.8900146484375</v>
      </c>
      <c r="D2384">
        <v>424.3699951171875</v>
      </c>
      <c r="E2384">
        <v>427.8900146484375</v>
      </c>
      <c r="F2384">
        <v>57041100</v>
      </c>
      <c r="G2384" s="2" t="s">
        <v>16</v>
      </c>
      <c r="H2384">
        <v>1.017589785492734</v>
      </c>
      <c r="I2384">
        <v>173.26653164369591</v>
      </c>
      <c r="J2384">
        <v>444.41120117187501</v>
      </c>
      <c r="K2384">
        <v>2.3265679561845753</v>
      </c>
      <c r="L2384">
        <v>0</v>
      </c>
      <c r="M2384" t="str">
        <f>VLOOKUP(fact_daily_prices[[#This Row],[Ticker]], dim_company[], 2, FALSE)</f>
        <v>Tesla Inc.</v>
      </c>
      <c r="N2384" t="str">
        <f>VLOOKUP(fact_daily_prices[[#This Row],[Ticker]], dim_company[], 3, FALSE)</f>
        <v>Consumer Discretionary</v>
      </c>
    </row>
    <row r="2385" spans="1:14" x14ac:dyDescent="0.3">
      <c r="A2385" s="1">
        <v>46031</v>
      </c>
      <c r="B2385">
        <v>445.010009765625</v>
      </c>
      <c r="C2385">
        <v>449.04998779296881</v>
      </c>
      <c r="D2385">
        <v>430.3900146484375</v>
      </c>
      <c r="E2385">
        <v>435.95001220703131</v>
      </c>
      <c r="F2385">
        <v>67331500</v>
      </c>
      <c r="G2385" s="2" t="s">
        <v>16</v>
      </c>
      <c r="H2385">
        <v>2.1133598509946561</v>
      </c>
      <c r="I2385">
        <v>176.92827695866472</v>
      </c>
      <c r="J2385">
        <v>444.10040161132815</v>
      </c>
      <c r="K2385">
        <v>2.3533879333040115</v>
      </c>
      <c r="L2385">
        <v>0</v>
      </c>
      <c r="M2385" t="str">
        <f>VLOOKUP(fact_daily_prices[[#This Row],[Ticker]], dim_company[], 2, FALSE)</f>
        <v>Tesla Inc.</v>
      </c>
      <c r="N2385" t="str">
        <f>VLOOKUP(fact_daily_prices[[#This Row],[Ticker]], dim_company[], 3, FALSE)</f>
        <v>Consumer Discretionary</v>
      </c>
    </row>
    <row r="2386" spans="1:14" x14ac:dyDescent="0.3">
      <c r="A2386" s="1">
        <v>46034</v>
      </c>
      <c r="B2386">
        <v>445.010009765625</v>
      </c>
      <c r="C2386">
        <v>454.29998779296881</v>
      </c>
      <c r="D2386">
        <v>438</v>
      </c>
      <c r="E2386">
        <v>441.23001098632813</v>
      </c>
      <c r="F2386">
        <v>61649600</v>
      </c>
      <c r="G2386" s="2" t="s">
        <v>16</v>
      </c>
      <c r="H2386">
        <v>0</v>
      </c>
      <c r="I2386">
        <v>176.92827695866472</v>
      </c>
      <c r="J2386">
        <v>443.77040161132811</v>
      </c>
      <c r="K2386">
        <v>2.3367762226900171</v>
      </c>
      <c r="L2386">
        <v>0</v>
      </c>
      <c r="M2386" t="str">
        <f>VLOOKUP(fact_daily_prices[[#This Row],[Ticker]], dim_company[], 2, FALSE)</f>
        <v>Tesla Inc.</v>
      </c>
      <c r="N2386" t="str">
        <f>VLOOKUP(fact_daily_prices[[#This Row],[Ticker]], dim_company[], 3, FALSE)</f>
        <v>Consumer Discretionary</v>
      </c>
    </row>
    <row r="2387" spans="1:14" x14ac:dyDescent="0.3">
      <c r="A2387" s="1">
        <v>46035</v>
      </c>
      <c r="B2387">
        <v>447.20001220703131</v>
      </c>
      <c r="C2387">
        <v>451.80999755859375</v>
      </c>
      <c r="D2387">
        <v>443.95001220703131</v>
      </c>
      <c r="E2387">
        <v>450.20001220703131</v>
      </c>
      <c r="F2387">
        <v>53719200</v>
      </c>
      <c r="G2387" s="2" t="s">
        <v>16</v>
      </c>
      <c r="H2387">
        <v>0.49212431031826487</v>
      </c>
      <c r="I2387">
        <v>177.79898402140554</v>
      </c>
      <c r="J2387">
        <v>443.91240173339844</v>
      </c>
      <c r="K2387">
        <v>2.334169949034905</v>
      </c>
      <c r="L2387">
        <v>0</v>
      </c>
      <c r="M2387" t="str">
        <f>VLOOKUP(fact_daily_prices[[#This Row],[Ticker]], dim_company[], 2, FALSE)</f>
        <v>Tesla Inc.</v>
      </c>
      <c r="N2387" t="str">
        <f>VLOOKUP(fact_daily_prices[[#This Row],[Ticker]], dim_company[], 3, FALSE)</f>
        <v>Consumer Discretionary</v>
      </c>
    </row>
    <row r="2388" spans="1:14" x14ac:dyDescent="0.3">
      <c r="A2388" s="1">
        <v>46036</v>
      </c>
      <c r="B2388">
        <v>439.20001220703131</v>
      </c>
      <c r="C2388">
        <v>443.91000366210938</v>
      </c>
      <c r="D2388">
        <v>434.22000122070313</v>
      </c>
      <c r="E2388">
        <v>442.80999755859375</v>
      </c>
      <c r="F2388">
        <v>57259500</v>
      </c>
      <c r="G2388" s="2" t="s">
        <v>16</v>
      </c>
      <c r="H2388">
        <v>-1.7889087168218576</v>
      </c>
      <c r="I2388">
        <v>174.61832249782591</v>
      </c>
      <c r="J2388">
        <v>443.56520202636716</v>
      </c>
      <c r="K2388">
        <v>2.3609763309056246</v>
      </c>
      <c r="L2388">
        <v>0</v>
      </c>
      <c r="M2388" t="str">
        <f>VLOOKUP(fact_daily_prices[[#This Row],[Ticker]], dim_company[], 2, FALSE)</f>
        <v>Tesla Inc.</v>
      </c>
      <c r="N2388" t="str">
        <f>VLOOKUP(fact_daily_prices[[#This Row],[Ticker]], dim_company[], 3, FALSE)</f>
        <v>Consumer Discretionary</v>
      </c>
    </row>
    <row r="2389" spans="1:14" x14ac:dyDescent="0.3">
      <c r="A2389" s="1">
        <v>46037</v>
      </c>
      <c r="B2389">
        <v>438.57000732421881</v>
      </c>
      <c r="C2389">
        <v>445.3599853515625</v>
      </c>
      <c r="D2389">
        <v>437.64999389648438</v>
      </c>
      <c r="E2389">
        <v>441.1300048828125</v>
      </c>
      <c r="F2389">
        <v>49465800</v>
      </c>
      <c r="G2389" s="2" t="s">
        <v>16</v>
      </c>
      <c r="H2389">
        <v>-0.14344373071545347</v>
      </c>
      <c r="I2389">
        <v>174.36784346152228</v>
      </c>
      <c r="J2389">
        <v>442.96920227050782</v>
      </c>
      <c r="K2389">
        <v>2.3607130597984525</v>
      </c>
      <c r="L2389">
        <v>0</v>
      </c>
      <c r="M2389" t="str">
        <f>VLOOKUP(fact_daily_prices[[#This Row],[Ticker]], dim_company[], 2, FALSE)</f>
        <v>Tesla Inc.</v>
      </c>
      <c r="N2389" t="str">
        <f>VLOOKUP(fact_daily_prices[[#This Row],[Ticker]], dim_company[], 3, FALSE)</f>
        <v>Consumer Discretionary</v>
      </c>
    </row>
    <row r="2390" spans="1:14" x14ac:dyDescent="0.3">
      <c r="A2390" s="1">
        <v>46038</v>
      </c>
      <c r="B2390">
        <v>437.5</v>
      </c>
      <c r="C2390">
        <v>447.25</v>
      </c>
      <c r="D2390">
        <v>435.260009765625</v>
      </c>
      <c r="E2390">
        <v>439.5</v>
      </c>
      <c r="F2390">
        <v>60220600</v>
      </c>
      <c r="G2390" s="2" t="s">
        <v>16</v>
      </c>
      <c r="H2390">
        <v>-0.24397640202235005</v>
      </c>
      <c r="I2390">
        <v>173.94242707076089</v>
      </c>
      <c r="J2390">
        <v>442.83400207519531</v>
      </c>
      <c r="K2390">
        <v>2.2382602360037915</v>
      </c>
      <c r="L2390">
        <v>0</v>
      </c>
      <c r="M2390" t="str">
        <f>VLOOKUP(fact_daily_prices[[#This Row],[Ticker]], dim_company[], 2, FALSE)</f>
        <v>Tesla Inc.</v>
      </c>
      <c r="N2390" t="str">
        <f>VLOOKUP(fact_daily_prices[[#This Row],[Ticker]], dim_company[], 3, FALSE)</f>
        <v>Consumer Discretionary</v>
      </c>
    </row>
    <row r="2391" spans="1:14" x14ac:dyDescent="0.3">
      <c r="A2391" s="1">
        <v>46042</v>
      </c>
      <c r="B2391">
        <v>419.25</v>
      </c>
      <c r="C2391">
        <v>430.73001098632813</v>
      </c>
      <c r="D2391">
        <v>417.44000244140631</v>
      </c>
      <c r="E2391">
        <v>429.3599853515625</v>
      </c>
      <c r="F2391">
        <v>63187300</v>
      </c>
      <c r="G2391" s="2" t="s">
        <v>16</v>
      </c>
      <c r="H2391">
        <v>-4.1714285714285708</v>
      </c>
      <c r="I2391">
        <v>166.68654297009488</v>
      </c>
      <c r="J2391">
        <v>441.97760192871095</v>
      </c>
      <c r="K2391">
        <v>2.3615240176663996</v>
      </c>
      <c r="L2391">
        <v>0</v>
      </c>
      <c r="M2391" t="str">
        <f>VLOOKUP(fact_daily_prices[[#This Row],[Ticker]], dim_company[], 2, FALSE)</f>
        <v>Tesla Inc.</v>
      </c>
      <c r="N2391" t="str">
        <f>VLOOKUP(fact_daily_prices[[#This Row],[Ticker]], dim_company[], 3, FALSE)</f>
        <v>Consumer Discretionary</v>
      </c>
    </row>
    <row r="2392" spans="1:14" x14ac:dyDescent="0.3">
      <c r="A2392" s="1">
        <v>46043</v>
      </c>
      <c r="B2392">
        <v>431.44000244140631</v>
      </c>
      <c r="C2392">
        <v>438.20001220703131</v>
      </c>
      <c r="D2392">
        <v>419.6199951171875</v>
      </c>
      <c r="E2392">
        <v>421.66000366210938</v>
      </c>
      <c r="F2392">
        <v>68124000</v>
      </c>
      <c r="G2392" s="2" t="s">
        <v>16</v>
      </c>
      <c r="H2392">
        <v>2.9075736294350119</v>
      </c>
      <c r="I2392">
        <v>171.53307693731023</v>
      </c>
      <c r="J2392">
        <v>441.68820190429688</v>
      </c>
      <c r="K2392">
        <v>2.4005419502437135</v>
      </c>
      <c r="L2392">
        <v>0</v>
      </c>
      <c r="M2392" t="str">
        <f>VLOOKUP(fact_daily_prices[[#This Row],[Ticker]], dim_company[], 2, FALSE)</f>
        <v>Tesla Inc.</v>
      </c>
      <c r="N2392" t="str">
        <f>VLOOKUP(fact_daily_prices[[#This Row],[Ticker]], dim_company[], 3, FALSE)</f>
        <v>Consumer Discretionary</v>
      </c>
    </row>
    <row r="2393" spans="1:14" x14ac:dyDescent="0.3">
      <c r="A2393" s="1">
        <v>46044</v>
      </c>
      <c r="B2393">
        <v>449.3599853515625</v>
      </c>
      <c r="C2393">
        <v>449.5</v>
      </c>
      <c r="D2393">
        <v>432.6300048828125</v>
      </c>
      <c r="E2393">
        <v>435.16000366210938</v>
      </c>
      <c r="F2393">
        <v>71546700</v>
      </c>
      <c r="G2393" s="2" t="s">
        <v>16</v>
      </c>
      <c r="H2393">
        <v>4.1535283721378935</v>
      </c>
      <c r="I2393">
        <v>178.6577519555025</v>
      </c>
      <c r="J2393">
        <v>442.08500183105468</v>
      </c>
      <c r="K2393">
        <v>2.4440957717102161</v>
      </c>
      <c r="L2393">
        <v>0</v>
      </c>
      <c r="M2393" t="str">
        <f>VLOOKUP(fact_daily_prices[[#This Row],[Ticker]], dim_company[], 2, FALSE)</f>
        <v>Tesla Inc.</v>
      </c>
      <c r="N2393" t="str">
        <f>VLOOKUP(fact_daily_prices[[#This Row],[Ticker]], dim_company[], 3, FALSE)</f>
        <v>Consumer Discretionary</v>
      </c>
    </row>
    <row r="2394" spans="1:14" x14ac:dyDescent="0.3">
      <c r="A2394" s="1">
        <v>46045</v>
      </c>
      <c r="B2394">
        <v>449.05999755859375</v>
      </c>
      <c r="C2394">
        <v>452.42999267578131</v>
      </c>
      <c r="D2394">
        <v>444.04000854492188</v>
      </c>
      <c r="E2394">
        <v>447.42999267578131</v>
      </c>
      <c r="F2394">
        <v>56771400</v>
      </c>
      <c r="G2394" s="2" t="s">
        <v>16</v>
      </c>
      <c r="H2394">
        <v>-6.6758902160379829E-2</v>
      </c>
      <c r="I2394">
        <v>178.53848200167261</v>
      </c>
      <c r="J2394">
        <v>442.16160156249998</v>
      </c>
      <c r="K2394">
        <v>2.4342104033486565</v>
      </c>
      <c r="L2394">
        <v>0</v>
      </c>
      <c r="M2394" t="str">
        <f>VLOOKUP(fact_daily_prices[[#This Row],[Ticker]], dim_company[], 2, FALSE)</f>
        <v>Tesla Inc.</v>
      </c>
      <c r="N2394" t="str">
        <f>VLOOKUP(fact_daily_prices[[#This Row],[Ticker]], dim_company[], 3, FALSE)</f>
        <v>Consumer Discretionary</v>
      </c>
    </row>
    <row r="2395" spans="1:14" x14ac:dyDescent="0.3">
      <c r="A2395" s="1">
        <v>46048</v>
      </c>
      <c r="B2395">
        <v>435.20001220703131</v>
      </c>
      <c r="C2395">
        <v>445.04000854492188</v>
      </c>
      <c r="D2395">
        <v>434.27999877929688</v>
      </c>
      <c r="E2395">
        <v>445</v>
      </c>
      <c r="F2395">
        <v>49397400</v>
      </c>
      <c r="G2395" s="2" t="s">
        <v>16</v>
      </c>
      <c r="H2395">
        <v>-3.0864440001146964</v>
      </c>
      <c r="I2395">
        <v>173.02799173603609</v>
      </c>
      <c r="J2395">
        <v>442.07320190429687</v>
      </c>
      <c r="K2395">
        <v>2.4859401761736994</v>
      </c>
      <c r="L2395">
        <v>0</v>
      </c>
      <c r="M2395" t="str">
        <f>VLOOKUP(fact_daily_prices[[#This Row],[Ticker]], dim_company[], 2, FALSE)</f>
        <v>Tesla Inc.</v>
      </c>
      <c r="N2395" t="str">
        <f>VLOOKUP(fact_daily_prices[[#This Row],[Ticker]], dim_company[], 3, FALSE)</f>
        <v>Consumer Discretionary</v>
      </c>
    </row>
    <row r="2396" spans="1:14" x14ac:dyDescent="0.3">
      <c r="A2396" s="1">
        <v>46049</v>
      </c>
      <c r="B2396">
        <v>430.89999389648438</v>
      </c>
      <c r="C2396">
        <v>437.51998901367188</v>
      </c>
      <c r="D2396">
        <v>430.69000244140631</v>
      </c>
      <c r="E2396">
        <v>437.41000366210938</v>
      </c>
      <c r="F2396">
        <v>37733100</v>
      </c>
      <c r="G2396" s="2" t="s">
        <v>16</v>
      </c>
      <c r="H2396">
        <v>-0.98805565026072184</v>
      </c>
      <c r="I2396">
        <v>171.31837888715552</v>
      </c>
      <c r="J2396">
        <v>442.07920166015623</v>
      </c>
      <c r="K2396">
        <v>2.485663020023563</v>
      </c>
      <c r="L2396">
        <v>0</v>
      </c>
      <c r="M2396" t="str">
        <f>VLOOKUP(fact_daily_prices[[#This Row],[Ticker]], dim_company[], 2, FALSE)</f>
        <v>Tesla Inc.</v>
      </c>
      <c r="N2396" t="str">
        <f>VLOOKUP(fact_daily_prices[[#This Row],[Ticker]], dim_company[], 3, FALSE)</f>
        <v>Consumer Discretionary</v>
      </c>
    </row>
    <row r="2397" spans="1:14" x14ac:dyDescent="0.3">
      <c r="A2397" s="1">
        <v>46050</v>
      </c>
      <c r="B2397">
        <v>431.45999145507813</v>
      </c>
      <c r="C2397">
        <v>438.260009765625</v>
      </c>
      <c r="D2397">
        <v>430.10000610351563</v>
      </c>
      <c r="E2397">
        <v>431.91000366210938</v>
      </c>
      <c r="F2397">
        <v>54857400</v>
      </c>
      <c r="G2397" s="2" t="s">
        <v>16</v>
      </c>
      <c r="H2397">
        <v>0.12995998294869082</v>
      </c>
      <c r="I2397">
        <v>171.54102422314526</v>
      </c>
      <c r="J2397">
        <v>442.66860168457032</v>
      </c>
      <c r="K2397">
        <v>2.4297626147255627</v>
      </c>
      <c r="L2397">
        <v>0</v>
      </c>
      <c r="M2397" t="str">
        <f>VLOOKUP(fact_daily_prices[[#This Row],[Ticker]], dim_company[], 2, FALSE)</f>
        <v>Tesla Inc.</v>
      </c>
      <c r="N2397" t="str">
        <f>VLOOKUP(fact_daily_prices[[#This Row],[Ticker]], dim_company[], 3, FALSE)</f>
        <v>Consumer Discretionary</v>
      </c>
    </row>
    <row r="2398" spans="1:14" x14ac:dyDescent="0.3">
      <c r="A2398" s="1">
        <v>46051</v>
      </c>
      <c r="B2398">
        <v>416.55999755859375</v>
      </c>
      <c r="C2398">
        <v>440.23001098632813</v>
      </c>
      <c r="D2398">
        <v>414.6199951171875</v>
      </c>
      <c r="E2398">
        <v>437.79998779296881</v>
      </c>
      <c r="F2398">
        <v>81686100</v>
      </c>
      <c r="G2398" s="2" t="s">
        <v>16</v>
      </c>
      <c r="H2398">
        <v>-3.453389466363932</v>
      </c>
      <c r="I2398">
        <v>165.61704456213036</v>
      </c>
      <c r="J2398">
        <v>442.91280151367187</v>
      </c>
      <c r="K2398">
        <v>2.3948030648668985</v>
      </c>
      <c r="L2398">
        <v>0</v>
      </c>
      <c r="M2398" t="str">
        <f>VLOOKUP(fact_daily_prices[[#This Row],[Ticker]], dim_company[], 2, FALSE)</f>
        <v>Tesla Inc.</v>
      </c>
      <c r="N2398" t="str">
        <f>VLOOKUP(fact_daily_prices[[#This Row],[Ticker]], dim_company[], 3, FALSE)</f>
        <v>Consumer Discretionary</v>
      </c>
    </row>
    <row r="2399" spans="1:14" x14ac:dyDescent="0.3">
      <c r="A2399" s="1">
        <v>46052</v>
      </c>
      <c r="B2399">
        <v>430.41000366210938</v>
      </c>
      <c r="C2399">
        <v>439.8800048828125</v>
      </c>
      <c r="D2399">
        <v>422.70001220703131</v>
      </c>
      <c r="E2399">
        <v>425.35000610351563</v>
      </c>
      <c r="F2399">
        <v>82626100</v>
      </c>
      <c r="G2399" s="2" t="s">
        <v>16</v>
      </c>
      <c r="H2399">
        <v>3.3248526466028494</v>
      </c>
      <c r="I2399">
        <v>171.12356725147976</v>
      </c>
      <c r="J2399">
        <v>443.34260131835936</v>
      </c>
      <c r="K2399">
        <v>2.4082228602392717</v>
      </c>
      <c r="L2399">
        <v>0</v>
      </c>
      <c r="M2399" t="str">
        <f>VLOOKUP(fact_daily_prices[[#This Row],[Ticker]], dim_company[], 2, FALSE)</f>
        <v>Tesla Inc.</v>
      </c>
      <c r="N2399" t="str">
        <f>VLOOKUP(fact_daily_prices[[#This Row],[Ticker]], dim_company[], 3, FALSE)</f>
        <v>Consumer Discretionary</v>
      </c>
    </row>
    <row r="2400" spans="1:14" x14ac:dyDescent="0.3">
      <c r="A2400" s="1">
        <v>46055</v>
      </c>
      <c r="B2400">
        <v>421.80999755859375</v>
      </c>
      <c r="C2400">
        <v>427.14999389648438</v>
      </c>
      <c r="D2400">
        <v>414.5</v>
      </c>
      <c r="E2400">
        <v>421.29000854492188</v>
      </c>
      <c r="F2400">
        <v>58739500</v>
      </c>
      <c r="G2400" s="2" t="s">
        <v>16</v>
      </c>
      <c r="H2400">
        <v>-1.9980962408733927</v>
      </c>
      <c r="I2400">
        <v>167.70435368697949</v>
      </c>
      <c r="J2400">
        <v>443.75380126953127</v>
      </c>
      <c r="K2400">
        <v>2.2949512707880526</v>
      </c>
      <c r="L2400">
        <v>0</v>
      </c>
      <c r="M2400" t="str">
        <f>VLOOKUP(fact_daily_prices[[#This Row],[Ticker]], dim_company[], 2, FALSE)</f>
        <v>Tesla Inc.</v>
      </c>
      <c r="N2400" t="str">
        <f>VLOOKUP(fact_daily_prices[[#This Row],[Ticker]], dim_company[], 3, FALSE)</f>
        <v>Consumer Discretionary</v>
      </c>
    </row>
    <row r="2401" spans="1:14" x14ac:dyDescent="0.3">
      <c r="A2401" s="1">
        <v>46056</v>
      </c>
      <c r="B2401">
        <v>421.95999145507813</v>
      </c>
      <c r="C2401">
        <v>428.55999755859375</v>
      </c>
      <c r="D2401">
        <v>413.69000244140631</v>
      </c>
      <c r="E2401">
        <v>424.26998901367188</v>
      </c>
      <c r="F2401">
        <v>56886500</v>
      </c>
      <c r="G2401" s="2" t="s">
        <v>16</v>
      </c>
      <c r="H2401">
        <v>3.5559587812650228E-2</v>
      </c>
      <c r="I2401">
        <v>167.76398866389442</v>
      </c>
      <c r="J2401">
        <v>444.11320129394534</v>
      </c>
      <c r="K2401">
        <v>2.1839014532863015</v>
      </c>
      <c r="L2401">
        <v>0</v>
      </c>
      <c r="M2401" t="str">
        <f>VLOOKUP(fact_daily_prices[[#This Row],[Ticker]], dim_company[], 2, FALSE)</f>
        <v>Tesla Inc.</v>
      </c>
      <c r="N2401" t="str">
        <f>VLOOKUP(fact_daily_prices[[#This Row],[Ticker]], dim_company[], 3, FALSE)</f>
        <v>Consumer Discretionary</v>
      </c>
    </row>
    <row r="2402" spans="1:14" x14ac:dyDescent="0.3">
      <c r="A2402" s="1">
        <v>46057</v>
      </c>
      <c r="B2402">
        <v>406.010009765625</v>
      </c>
      <c r="C2402">
        <v>423.89999389648438</v>
      </c>
      <c r="D2402">
        <v>399.17999267578131</v>
      </c>
      <c r="E2402">
        <v>420.45999145507813</v>
      </c>
      <c r="F2402">
        <v>74606900</v>
      </c>
      <c r="G2402" s="2" t="s">
        <v>16</v>
      </c>
      <c r="H2402">
        <v>-3.7799748820857459</v>
      </c>
      <c r="I2402">
        <v>161.42255203121405</v>
      </c>
      <c r="J2402">
        <v>444.32880126953125</v>
      </c>
      <c r="K2402">
        <v>2.2680198113894958</v>
      </c>
      <c r="L2402">
        <v>0</v>
      </c>
      <c r="M2402" t="str">
        <f>VLOOKUP(fact_daily_prices[[#This Row],[Ticker]], dim_company[], 2, FALSE)</f>
        <v>Tesla Inc.</v>
      </c>
      <c r="N2402" t="str">
        <f>VLOOKUP(fact_daily_prices[[#This Row],[Ticker]], dim_company[], 3, FALSE)</f>
        <v>Consumer Discretionary</v>
      </c>
    </row>
    <row r="2403" spans="1:14" x14ac:dyDescent="0.3">
      <c r="A2403" s="1">
        <v>46058</v>
      </c>
      <c r="B2403">
        <v>397.20999145507813</v>
      </c>
      <c r="C2403">
        <v>402.10000610351563</v>
      </c>
      <c r="D2403">
        <v>387.52999877929688</v>
      </c>
      <c r="E2403">
        <v>397.01998901367188</v>
      </c>
      <c r="F2403">
        <v>72819800</v>
      </c>
      <c r="G2403" s="2" t="s">
        <v>16</v>
      </c>
      <c r="H2403">
        <v>-2.1674387573909382</v>
      </c>
      <c r="I2403">
        <v>157.92381707531996</v>
      </c>
      <c r="J2403">
        <v>444.45120117187503</v>
      </c>
      <c r="K2403">
        <v>2.2508901116725295</v>
      </c>
      <c r="L2403">
        <v>0</v>
      </c>
      <c r="M2403" t="str">
        <f>VLOOKUP(fact_daily_prices[[#This Row],[Ticker]], dim_company[], 2, FALSE)</f>
        <v>Tesla Inc.</v>
      </c>
      <c r="N2403" t="str">
        <f>VLOOKUP(fact_daily_prices[[#This Row],[Ticker]], dim_company[], 3, FALSE)</f>
        <v>Consumer Discretionary</v>
      </c>
    </row>
    <row r="2404" spans="1:14" x14ac:dyDescent="0.3">
      <c r="A2404" s="1">
        <v>46059</v>
      </c>
      <c r="B2404">
        <v>411.1099853515625</v>
      </c>
      <c r="C2404">
        <v>414.54998779296881</v>
      </c>
      <c r="D2404">
        <v>397.75</v>
      </c>
      <c r="E2404">
        <v>400.8699951171875</v>
      </c>
      <c r="F2404">
        <v>62677100</v>
      </c>
      <c r="G2404" s="2" t="s">
        <v>16</v>
      </c>
      <c r="H2404">
        <v>3.4994069120882987</v>
      </c>
      <c r="I2404">
        <v>163.45021404588741</v>
      </c>
      <c r="J2404">
        <v>444.31780090332029</v>
      </c>
      <c r="K2404">
        <v>2.3758179793228296</v>
      </c>
      <c r="L2404">
        <v>0</v>
      </c>
      <c r="M2404" t="str">
        <f>VLOOKUP(fact_daily_prices[[#This Row],[Ticker]], dim_company[], 2, FALSE)</f>
        <v>Tesla Inc.</v>
      </c>
      <c r="N2404" t="str">
        <f>VLOOKUP(fact_daily_prices[[#This Row],[Ticker]], dim_company[], 3, FALSE)</f>
        <v>Consumer Discretionary</v>
      </c>
    </row>
    <row r="2405" spans="1:14" x14ac:dyDescent="0.3">
      <c r="A2405" s="1">
        <v>46062</v>
      </c>
      <c r="B2405">
        <v>417.32000732421881</v>
      </c>
      <c r="C2405">
        <v>421.25</v>
      </c>
      <c r="D2405">
        <v>407.29000854492188</v>
      </c>
      <c r="E2405">
        <v>409.91000366210938</v>
      </c>
      <c r="F2405">
        <v>54484300</v>
      </c>
      <c r="G2405" s="2" t="s">
        <v>16</v>
      </c>
      <c r="H2405">
        <v>1.5105500216312517</v>
      </c>
      <c r="I2405">
        <v>165.9192112895139</v>
      </c>
      <c r="J2405">
        <v>444.27620117187502</v>
      </c>
      <c r="K2405">
        <v>2.4034153101456797</v>
      </c>
      <c r="L2405">
        <v>0</v>
      </c>
      <c r="M2405" t="str">
        <f>VLOOKUP(fact_daily_prices[[#This Row],[Ticker]], dim_company[], 2, FALSE)</f>
        <v>Tesla Inc.</v>
      </c>
      <c r="N2405" t="str">
        <f>VLOOKUP(fact_daily_prices[[#This Row],[Ticker]], dim_company[], 3, FALSE)</f>
        <v>Consumer Discretionary</v>
      </c>
    </row>
    <row r="2406" spans="1:14" x14ac:dyDescent="0.3">
      <c r="A2406" s="1">
        <v>46063</v>
      </c>
      <c r="B2406">
        <v>425.20999145507813</v>
      </c>
      <c r="C2406">
        <v>427.25</v>
      </c>
      <c r="D2406">
        <v>417</v>
      </c>
      <c r="E2406">
        <v>418.07998657226563</v>
      </c>
      <c r="F2406">
        <v>64450200</v>
      </c>
      <c r="G2406" s="2" t="s">
        <v>16</v>
      </c>
      <c r="H2406">
        <v>1.8906316477488083</v>
      </c>
      <c r="I2406">
        <v>169.05613240784868</v>
      </c>
      <c r="J2406">
        <v>444.24880126953127</v>
      </c>
      <c r="K2406">
        <v>2.420634138757574</v>
      </c>
      <c r="L2406">
        <v>0</v>
      </c>
      <c r="M2406" t="str">
        <f>VLOOKUP(fact_daily_prices[[#This Row],[Ticker]], dim_company[], 2, FALSE)</f>
        <v>Tesla Inc.</v>
      </c>
      <c r="N2406" t="str">
        <f>VLOOKUP(fact_daily_prices[[#This Row],[Ticker]], dim_company[], 3, FALSE)</f>
        <v>Consumer Discretionary</v>
      </c>
    </row>
    <row r="2407" spans="1:14" x14ac:dyDescent="0.3">
      <c r="A2407" s="1">
        <v>46064</v>
      </c>
      <c r="B2407">
        <v>428.26998901367188</v>
      </c>
      <c r="C2407">
        <v>436.35000610351563</v>
      </c>
      <c r="D2407">
        <v>420.02999877929688</v>
      </c>
      <c r="E2407">
        <v>427.95999145507813</v>
      </c>
      <c r="F2407">
        <v>57362000</v>
      </c>
      <c r="G2407" s="2" t="s">
        <v>16</v>
      </c>
      <c r="H2407">
        <v>0.71964385129388297</v>
      </c>
      <c r="I2407">
        <v>170.27273446995702</v>
      </c>
      <c r="J2407">
        <v>444.21080078124999</v>
      </c>
      <c r="K2407">
        <v>2.3629940892008192</v>
      </c>
      <c r="L2407">
        <v>0</v>
      </c>
      <c r="M2407" t="str">
        <f>VLOOKUP(fact_daily_prices[[#This Row],[Ticker]], dim_company[], 2, FALSE)</f>
        <v>Tesla Inc.</v>
      </c>
      <c r="N2407" t="str">
        <f>VLOOKUP(fact_daily_prices[[#This Row],[Ticker]], dim_company[], 3, FALSE)</f>
        <v>Consumer Discretionary</v>
      </c>
    </row>
    <row r="2408" spans="1:14" x14ac:dyDescent="0.3">
      <c r="A2408" s="1">
        <v>46065</v>
      </c>
      <c r="B2408">
        <v>417.07000732421881</v>
      </c>
      <c r="C2408">
        <v>436.23001098632813</v>
      </c>
      <c r="D2408">
        <v>414</v>
      </c>
      <c r="E2408">
        <v>430.29998779296881</v>
      </c>
      <c r="F2408">
        <v>61933400</v>
      </c>
      <c r="G2408" s="2" t="s">
        <v>16</v>
      </c>
      <c r="H2408">
        <v>-2.615168463063966</v>
      </c>
      <c r="I2408">
        <v>165.81981561690205</v>
      </c>
      <c r="J2408">
        <v>443.94940063476565</v>
      </c>
      <c r="K2408">
        <v>2.3982197831676912</v>
      </c>
      <c r="L2408">
        <v>0</v>
      </c>
      <c r="M2408" t="str">
        <f>VLOOKUP(fact_daily_prices[[#This Row],[Ticker]], dim_company[], 2, FALSE)</f>
        <v>Tesla Inc.</v>
      </c>
      <c r="N2408" t="str">
        <f>VLOOKUP(fact_daily_prices[[#This Row],[Ticker]], dim_company[], 3, FALSE)</f>
        <v>Consumer Discretionary</v>
      </c>
    </row>
    <row r="2409" spans="1:14" x14ac:dyDescent="0.3">
      <c r="A2409" s="1">
        <v>46066</v>
      </c>
      <c r="B2409">
        <v>417.44000244140631</v>
      </c>
      <c r="C2409">
        <v>424.05999755859375</v>
      </c>
      <c r="D2409">
        <v>410.8800048828125</v>
      </c>
      <c r="E2409">
        <v>414.30999755859375</v>
      </c>
      <c r="F2409">
        <v>51434100</v>
      </c>
      <c r="G2409" s="2" t="s">
        <v>16</v>
      </c>
      <c r="H2409">
        <v>8.8712952427649761E-2</v>
      </c>
      <c r="I2409">
        <v>165.96691927104587</v>
      </c>
      <c r="J2409">
        <v>443.71340087890627</v>
      </c>
      <c r="K2409">
        <v>2.3944161229607759</v>
      </c>
      <c r="L2409">
        <v>0</v>
      </c>
      <c r="M2409" t="str">
        <f>VLOOKUP(fact_daily_prices[[#This Row],[Ticker]], dim_company[], 2, FALSE)</f>
        <v>Tesla Inc.</v>
      </c>
      <c r="N2409" t="str">
        <f>VLOOKUP(fact_daily_prices[[#This Row],[Ticker]], dim_company[], 3, FALSE)</f>
        <v>Consumer Discretionary</v>
      </c>
    </row>
    <row r="2410" spans="1:14" x14ac:dyDescent="0.3">
      <c r="A2410" s="1">
        <v>46070</v>
      </c>
      <c r="B2410">
        <v>410.6300048828125</v>
      </c>
      <c r="C2410">
        <v>413.72000122070313</v>
      </c>
      <c r="D2410">
        <v>400.510009765625</v>
      </c>
      <c r="E2410">
        <v>412.3599853515625</v>
      </c>
      <c r="F2410">
        <v>59678800</v>
      </c>
      <c r="G2410" s="2" t="s">
        <v>16</v>
      </c>
      <c r="H2410">
        <v>-1.6313715788533467</v>
      </c>
      <c r="I2410">
        <v>163.25938211975955</v>
      </c>
      <c r="J2410">
        <v>442.99120117187499</v>
      </c>
      <c r="K2410">
        <v>2.3679326671303667</v>
      </c>
      <c r="L2410">
        <v>0</v>
      </c>
      <c r="M2410" t="str">
        <f>VLOOKUP(fact_daily_prices[[#This Row],[Ticker]], dim_company[], 2, FALSE)</f>
        <v>Tesla Inc.</v>
      </c>
      <c r="N2410" t="str">
        <f>VLOOKUP(fact_daily_prices[[#This Row],[Ticker]], dim_company[], 3, FALSE)</f>
        <v>Consumer Discretionary</v>
      </c>
    </row>
    <row r="2411" spans="1:14" x14ac:dyDescent="0.3">
      <c r="A2411" s="1">
        <v>46071</v>
      </c>
      <c r="B2411">
        <v>411.32000732421881</v>
      </c>
      <c r="C2411">
        <v>416.89999389648438</v>
      </c>
      <c r="D2411">
        <v>409.57998657226563</v>
      </c>
      <c r="E2411">
        <v>411.1099853515625</v>
      </c>
      <c r="F2411">
        <v>45921400</v>
      </c>
      <c r="G2411" s="2" t="s">
        <v>16</v>
      </c>
      <c r="H2411">
        <v>0.16803507615164026</v>
      </c>
      <c r="I2411">
        <v>163.53371514682917</v>
      </c>
      <c r="J2411">
        <v>442.28280151367187</v>
      </c>
      <c r="K2411">
        <v>2.2864163820097523</v>
      </c>
      <c r="L2411">
        <v>0</v>
      </c>
      <c r="M2411" t="str">
        <f>VLOOKUP(fact_daily_prices[[#This Row],[Ticker]], dim_company[], 2, FALSE)</f>
        <v>Tesla Inc.</v>
      </c>
      <c r="N2411" t="str">
        <f>VLOOKUP(fact_daily_prices[[#This Row],[Ticker]], dim_company[], 3, FALSE)</f>
        <v>Consumer Discretionary</v>
      </c>
    </row>
    <row r="2412" spans="1:14" x14ac:dyDescent="0.3">
      <c r="A2412" s="1">
        <v>46072</v>
      </c>
      <c r="B2412">
        <v>411.70999145507813</v>
      </c>
      <c r="C2412">
        <v>415.25</v>
      </c>
      <c r="D2412">
        <v>404.1099853515625</v>
      </c>
      <c r="E2412">
        <v>407.25</v>
      </c>
      <c r="F2412">
        <v>51019600</v>
      </c>
      <c r="G2412" s="2" t="s">
        <v>16</v>
      </c>
      <c r="H2412">
        <v>9.481282794783219E-2</v>
      </c>
      <c r="I2412">
        <v>163.68876608680804</v>
      </c>
      <c r="J2412">
        <v>441.41700134277346</v>
      </c>
      <c r="K2412">
        <v>2.1677804725452758</v>
      </c>
      <c r="L2412">
        <v>0</v>
      </c>
      <c r="M2412" t="str">
        <f>VLOOKUP(fact_daily_prices[[#This Row],[Ticker]], dim_company[], 2, FALSE)</f>
        <v>Tesla Inc.</v>
      </c>
      <c r="N2412" t="str">
        <f>VLOOKUP(fact_daily_prices[[#This Row],[Ticker]], dim_company[], 3, FALSE)</f>
        <v>Consumer Discretionary</v>
      </c>
    </row>
    <row r="2413" spans="1:14" x14ac:dyDescent="0.3">
      <c r="A2413" s="1">
        <v>46073</v>
      </c>
      <c r="B2413">
        <v>411.82000732421881</v>
      </c>
      <c r="C2413">
        <v>414.70001220703131</v>
      </c>
      <c r="D2413">
        <v>405.5</v>
      </c>
      <c r="E2413">
        <v>408.29998779296881</v>
      </c>
      <c r="F2413">
        <v>57912200</v>
      </c>
      <c r="G2413" s="2" t="s">
        <v>16</v>
      </c>
      <c r="H2413">
        <v>2.672169037041261E-2</v>
      </c>
      <c r="I2413">
        <v>163.73250649205292</v>
      </c>
      <c r="J2413">
        <v>440.86180175781249</v>
      </c>
      <c r="K2413">
        <v>2.1676141341021098</v>
      </c>
      <c r="L2413">
        <v>0</v>
      </c>
      <c r="M2413" t="str">
        <f>VLOOKUP(fact_daily_prices[[#This Row],[Ticker]], dim_company[], 2, FALSE)</f>
        <v>Tesla Inc.</v>
      </c>
      <c r="N2413" t="str">
        <f>VLOOKUP(fact_daily_prices[[#This Row],[Ticker]], dim_company[], 3, FALSE)</f>
        <v>Consumer Discretionary</v>
      </c>
    </row>
    <row r="2414" spans="1:14" x14ac:dyDescent="0.3">
      <c r="A2414" s="1">
        <v>46076</v>
      </c>
      <c r="B2414">
        <v>399.82998657226563</v>
      </c>
      <c r="C2414">
        <v>407.70001220703131</v>
      </c>
      <c r="D2414">
        <v>394.04000854492188</v>
      </c>
      <c r="E2414">
        <v>407.29000854492188</v>
      </c>
      <c r="F2414">
        <v>69680000</v>
      </c>
      <c r="G2414" s="2" t="s">
        <v>16</v>
      </c>
      <c r="H2414">
        <v>-2.9114711618451472</v>
      </c>
      <c r="I2414">
        <v>158.96548178297056</v>
      </c>
      <c r="J2414">
        <v>439.95500122070314</v>
      </c>
      <c r="K2414">
        <v>2.2139598989438265</v>
      </c>
      <c r="L2414">
        <v>0</v>
      </c>
      <c r="M2414" t="str">
        <f>VLOOKUP(fact_daily_prices[[#This Row],[Ticker]], dim_company[], 2, FALSE)</f>
        <v>Tesla Inc.</v>
      </c>
      <c r="N2414" t="str">
        <f>VLOOKUP(fact_daily_prices[[#This Row],[Ticker]], dim_company[], 3, FALSE)</f>
        <v>Consumer Discretionary</v>
      </c>
    </row>
    <row r="2415" spans="1:14" x14ac:dyDescent="0.3">
      <c r="A2415" s="1">
        <v>46077</v>
      </c>
      <c r="B2415">
        <v>409.3800048828125</v>
      </c>
      <c r="C2415">
        <v>410.82000732421881</v>
      </c>
      <c r="D2415">
        <v>397.6400146484375</v>
      </c>
      <c r="E2415">
        <v>399.5</v>
      </c>
      <c r="F2415">
        <v>58579500</v>
      </c>
      <c r="G2415" s="2" t="s">
        <v>16</v>
      </c>
      <c r="H2415">
        <v>2.3885197787236967</v>
      </c>
      <c r="I2415">
        <v>162.76240375670022</v>
      </c>
      <c r="J2415">
        <v>439.11360107421876</v>
      </c>
      <c r="K2415">
        <v>2.2246882007954674</v>
      </c>
      <c r="L2415">
        <v>0</v>
      </c>
      <c r="M2415" t="str">
        <f>VLOOKUP(fact_daily_prices[[#This Row],[Ticker]], dim_company[], 2, FALSE)</f>
        <v>Tesla Inc.</v>
      </c>
      <c r="N2415" t="str">
        <f>VLOOKUP(fact_daily_prices[[#This Row],[Ticker]], dim_company[], 3, FALSE)</f>
        <v>Consumer Discretionary</v>
      </c>
    </row>
    <row r="2416" spans="1:14" x14ac:dyDescent="0.3">
      <c r="A2416" s="1">
        <v>46078</v>
      </c>
      <c r="B2416">
        <v>417.39999389648438</v>
      </c>
      <c r="C2416">
        <v>420.33999633789063</v>
      </c>
      <c r="D2416">
        <v>412.14999389648438</v>
      </c>
      <c r="E2416">
        <v>412.14999389648438</v>
      </c>
      <c r="F2416">
        <v>54809700</v>
      </c>
      <c r="G2416" s="2" t="s">
        <v>16</v>
      </c>
      <c r="H2416">
        <v>1.9590573349979934</v>
      </c>
      <c r="I2416">
        <v>165.95101256611491</v>
      </c>
      <c r="J2416">
        <v>438.5238006591797</v>
      </c>
      <c r="K2416">
        <v>2.2608546750609584</v>
      </c>
      <c r="L2416">
        <v>0</v>
      </c>
      <c r="M2416" t="str">
        <f>VLOOKUP(fact_daily_prices[[#This Row],[Ticker]], dim_company[], 2, FALSE)</f>
        <v>Tesla Inc.</v>
      </c>
      <c r="N2416" t="str">
        <f>VLOOKUP(fact_daily_prices[[#This Row],[Ticker]], dim_company[], 3, FALSE)</f>
        <v>Consumer Discretionary</v>
      </c>
    </row>
    <row r="2417" spans="1:14" x14ac:dyDescent="0.3">
      <c r="A2417" s="1">
        <v>46079</v>
      </c>
      <c r="B2417">
        <v>417.39999389648438</v>
      </c>
      <c r="C2417">
        <v>416.80999755859375</v>
      </c>
      <c r="D2417">
        <v>403.66000366210938</v>
      </c>
      <c r="E2417">
        <v>414.42001342773438</v>
      </c>
      <c r="F2417">
        <v>53602500</v>
      </c>
      <c r="G2417" s="2" t="s">
        <v>16</v>
      </c>
      <c r="H2417">
        <v>0</v>
      </c>
      <c r="I2417">
        <v>165.95101256611491</v>
      </c>
      <c r="J2417">
        <v>437.69260070800783</v>
      </c>
      <c r="K2417">
        <v>2.257528564474327</v>
      </c>
      <c r="L2417">
        <v>0</v>
      </c>
      <c r="M2417" t="str">
        <f>VLOOKUP(fact_daily_prices[[#This Row],[Ticker]], dim_company[], 2, FALSE)</f>
        <v>Tesla Inc.</v>
      </c>
      <c r="N2417" t="str">
        <f>VLOOKUP(fact_daily_prices[[#This Row],[Ticker]], dim_company[], 3, FALSE)</f>
        <v>Consumer Discretionary</v>
      </c>
    </row>
    <row r="2418" spans="1:14" x14ac:dyDescent="0.3">
      <c r="A2418" s="1">
        <v>46080</v>
      </c>
      <c r="B2418">
        <v>402.510009765625</v>
      </c>
      <c r="C2418">
        <v>407.1199951171875</v>
      </c>
      <c r="D2418">
        <v>398.1099853515625</v>
      </c>
      <c r="E2418">
        <v>402.94000244140631</v>
      </c>
      <c r="F2418">
        <v>56890100</v>
      </c>
      <c r="G2418" s="2" t="s">
        <v>16</v>
      </c>
      <c r="H2418">
        <v>-3.5673177643965381</v>
      </c>
      <c r="I2418">
        <v>160.03101261464795</v>
      </c>
      <c r="J2418">
        <v>436.23660095214842</v>
      </c>
      <c r="K2418">
        <v>2.322957427417792</v>
      </c>
      <c r="L2418">
        <v>0</v>
      </c>
      <c r="M2418" t="str">
        <f>VLOOKUP(fact_daily_prices[[#This Row],[Ticker]], dim_company[], 2, FALSE)</f>
        <v>Tesla Inc.</v>
      </c>
      <c r="N2418" t="str">
        <f>VLOOKUP(fact_daily_prices[[#This Row],[Ticker]], dim_company[], 3, FALSE)</f>
        <v>Consumer Discretionary</v>
      </c>
    </row>
    <row r="2419" spans="1:14" x14ac:dyDescent="0.3">
      <c r="A2419" s="1">
        <v>46083</v>
      </c>
      <c r="B2419">
        <v>403.32000732421881</v>
      </c>
      <c r="C2419">
        <v>404.54000854492188</v>
      </c>
      <c r="D2419">
        <v>388.25</v>
      </c>
      <c r="E2419">
        <v>390.60000610351563</v>
      </c>
      <c r="F2419">
        <v>55088300</v>
      </c>
      <c r="G2419" s="2" t="s">
        <v>16</v>
      </c>
      <c r="H2419">
        <v>0.20123662491411398</v>
      </c>
      <c r="I2419">
        <v>160.35305362324954</v>
      </c>
      <c r="J2419">
        <v>434.50540100097658</v>
      </c>
      <c r="K2419">
        <v>2.3244273434806444</v>
      </c>
      <c r="L2419">
        <v>0</v>
      </c>
      <c r="M2419" t="str">
        <f>VLOOKUP(fact_daily_prices[[#This Row],[Ticker]], dim_company[], 2, FALSE)</f>
        <v>Tesla Inc.</v>
      </c>
      <c r="N2419" t="str">
        <f>VLOOKUP(fact_daily_prices[[#This Row],[Ticker]], dim_company[], 3, FALSE)</f>
        <v>Consumer Discretionary</v>
      </c>
    </row>
    <row r="2420" spans="1:14" x14ac:dyDescent="0.3">
      <c r="A2420" s="1">
        <v>46084</v>
      </c>
      <c r="B2420">
        <v>392.42999267578131</v>
      </c>
      <c r="C2420">
        <v>396.33999633789063</v>
      </c>
      <c r="D2420">
        <v>385.3900146484375</v>
      </c>
      <c r="E2420">
        <v>395.08999633789063</v>
      </c>
      <c r="F2420">
        <v>62617300</v>
      </c>
      <c r="G2420" s="2" t="s">
        <v>16</v>
      </c>
      <c r="H2420">
        <v>-2.7000928420799375</v>
      </c>
      <c r="I2420">
        <v>156.02337230031159</v>
      </c>
      <c r="J2420">
        <v>433.00880065917971</v>
      </c>
      <c r="K2420">
        <v>2.3669732272979953</v>
      </c>
      <c r="L2420">
        <v>0</v>
      </c>
      <c r="M2420" t="str">
        <f>VLOOKUP(fact_daily_prices[[#This Row],[Ticker]], dim_company[], 2, FALSE)</f>
        <v>Tesla Inc.</v>
      </c>
      <c r="N2420" t="str">
        <f>VLOOKUP(fact_daily_prices[[#This Row],[Ticker]], dim_company[], 3, FALSE)</f>
        <v>Consumer Discretionary</v>
      </c>
    </row>
    <row r="2421" spans="1:14" x14ac:dyDescent="0.3">
      <c r="A2421" s="1">
        <v>46085</v>
      </c>
      <c r="B2421">
        <v>405.94000244140631</v>
      </c>
      <c r="C2421">
        <v>408.32998657226563</v>
      </c>
      <c r="D2421">
        <v>394.57998657226563</v>
      </c>
      <c r="E2421">
        <v>397.85000610351563</v>
      </c>
      <c r="F2421">
        <v>68305500</v>
      </c>
      <c r="G2421" s="2" t="s">
        <v>16</v>
      </c>
      <c r="H2421">
        <v>3.4426547455017609</v>
      </c>
      <c r="I2421">
        <v>161.39471833090016</v>
      </c>
      <c r="J2421">
        <v>431.46020080566404</v>
      </c>
      <c r="K2421">
        <v>2.3495291837331109</v>
      </c>
      <c r="L2421">
        <v>0</v>
      </c>
      <c r="M2421" t="str">
        <f>VLOOKUP(fact_daily_prices[[#This Row],[Ticker]], dim_company[], 2, FALSE)</f>
        <v>Tesla Inc.</v>
      </c>
      <c r="N2421" t="str">
        <f>VLOOKUP(fact_daily_prices[[#This Row],[Ticker]], dim_company[], 3, FALSE)</f>
        <v>Consumer Discretionary</v>
      </c>
    </row>
    <row r="2422" spans="1:14" x14ac:dyDescent="0.3">
      <c r="A2422" s="1">
        <v>46086</v>
      </c>
      <c r="B2422">
        <v>405.54998779296881</v>
      </c>
      <c r="C2422">
        <v>408.6199951171875</v>
      </c>
      <c r="D2422">
        <v>399.42001342773438</v>
      </c>
      <c r="E2422">
        <v>401.57000732421881</v>
      </c>
      <c r="F2422">
        <v>51925900</v>
      </c>
      <c r="G2422" s="2" t="s">
        <v>16</v>
      </c>
      <c r="H2422">
        <v>-9.6076919271781414E-2</v>
      </c>
      <c r="I2422">
        <v>161.23965525766044</v>
      </c>
      <c r="J2422">
        <v>429.94720031738279</v>
      </c>
      <c r="K2422">
        <v>2.2807850706564183</v>
      </c>
      <c r="L2422">
        <v>0</v>
      </c>
      <c r="M2422" t="str">
        <f>VLOOKUP(fact_daily_prices[[#This Row],[Ticker]], dim_company[], 2, FALSE)</f>
        <v>Tesla Inc.</v>
      </c>
      <c r="N2422" t="str">
        <f>VLOOKUP(fact_daily_prices[[#This Row],[Ticker]], dim_company[], 3, FALSE)</f>
        <v>Consumer Discretionary</v>
      </c>
    </row>
    <row r="2423" spans="1:14" x14ac:dyDescent="0.3">
      <c r="A2423" s="1">
        <v>46087</v>
      </c>
      <c r="B2423">
        <v>396.73001098632813</v>
      </c>
      <c r="C2423">
        <v>402.35000610351563</v>
      </c>
      <c r="D2423">
        <v>394.20999145507813</v>
      </c>
      <c r="E2423">
        <v>398.08999633789063</v>
      </c>
      <c r="F2423">
        <v>64054600</v>
      </c>
      <c r="G2423" s="2" t="s">
        <v>16</v>
      </c>
      <c r="H2423">
        <v>-2.1748186591348695</v>
      </c>
      <c r="I2423">
        <v>157.73298514919213</v>
      </c>
      <c r="J2423">
        <v>428.10720031738282</v>
      </c>
      <c r="K2423">
        <v>2.1552711601816892</v>
      </c>
      <c r="L2423">
        <v>0</v>
      </c>
      <c r="M2423" t="str">
        <f>VLOOKUP(fact_daily_prices[[#This Row],[Ticker]], dim_company[], 2, FALSE)</f>
        <v>Tesla Inc.</v>
      </c>
      <c r="N2423" t="str">
        <f>VLOOKUP(fact_daily_prices[[#This Row],[Ticker]], dim_company[], 3, FALSE)</f>
        <v>Consumer Discretionary</v>
      </c>
    </row>
    <row r="2424" spans="1:14" x14ac:dyDescent="0.3">
      <c r="A2424" s="1">
        <v>46090</v>
      </c>
      <c r="B2424">
        <v>398.67999267578131</v>
      </c>
      <c r="C2424">
        <v>401.58999633789063</v>
      </c>
      <c r="D2424">
        <v>381.39999389648438</v>
      </c>
      <c r="E2424">
        <v>390.04998779296881</v>
      </c>
      <c r="F2424">
        <v>67018900</v>
      </c>
      <c r="G2424" s="2" t="s">
        <v>16</v>
      </c>
      <c r="H2424">
        <v>0.49151353198746417</v>
      </c>
      <c r="I2424">
        <v>158.50826411560817</v>
      </c>
      <c r="J2424">
        <v>426.36960021972658</v>
      </c>
      <c r="K2424">
        <v>2.1605786299904208</v>
      </c>
      <c r="L2424">
        <v>0</v>
      </c>
      <c r="M2424" t="str">
        <f>VLOOKUP(fact_daily_prices[[#This Row],[Ticker]], dim_company[], 2, FALSE)</f>
        <v>Tesla Inc.</v>
      </c>
      <c r="N2424" t="str">
        <f>VLOOKUP(fact_daily_prices[[#This Row],[Ticker]], dim_company[], 3, FALSE)</f>
        <v>Consumer Discretionary</v>
      </c>
    </row>
    <row r="2425" spans="1:14" x14ac:dyDescent="0.3">
      <c r="A2425" s="1">
        <v>46091</v>
      </c>
      <c r="B2425">
        <v>399.239990234375</v>
      </c>
      <c r="C2425">
        <v>406.58999633789063</v>
      </c>
      <c r="D2425">
        <v>398.19000244140631</v>
      </c>
      <c r="E2425">
        <v>402.22000122070313</v>
      </c>
      <c r="F2425">
        <v>59258700</v>
      </c>
      <c r="G2425" s="2" t="s">
        <v>16</v>
      </c>
      <c r="H2425">
        <v>0.14046291985589932</v>
      </c>
      <c r="I2425">
        <v>158.73090945159788</v>
      </c>
      <c r="J2425">
        <v>424.64640014648438</v>
      </c>
      <c r="K2425">
        <v>2.1003313107597226</v>
      </c>
      <c r="L2425">
        <v>0</v>
      </c>
      <c r="M2425" t="str">
        <f>VLOOKUP(fact_daily_prices[[#This Row],[Ticker]], dim_company[], 2, FALSE)</f>
        <v>Tesla Inc.</v>
      </c>
      <c r="N2425" t="str">
        <f>VLOOKUP(fact_daily_prices[[#This Row],[Ticker]], dim_company[], 3, FALSE)</f>
        <v>Consumer Discretionary</v>
      </c>
    </row>
    <row r="2426" spans="1:14" x14ac:dyDescent="0.3">
      <c r="A2426" s="1">
        <v>46092</v>
      </c>
      <c r="B2426">
        <v>407.82000732421881</v>
      </c>
      <c r="C2426">
        <v>416.3800048828125</v>
      </c>
      <c r="D2426">
        <v>402.14999389648438</v>
      </c>
      <c r="E2426">
        <v>402.27999877929688</v>
      </c>
      <c r="F2426">
        <v>62559900</v>
      </c>
      <c r="G2426" s="2" t="s">
        <v>16</v>
      </c>
      <c r="H2426">
        <v>2.1490875913524832</v>
      </c>
      <c r="I2426">
        <v>162.14217573026309</v>
      </c>
      <c r="J2426">
        <v>423.29900024414064</v>
      </c>
      <c r="K2426">
        <v>2.140832018191515</v>
      </c>
      <c r="L2426">
        <v>0</v>
      </c>
      <c r="M2426" t="str">
        <f>VLOOKUP(fact_daily_prices[[#This Row],[Ticker]], dim_company[], 2, FALSE)</f>
        <v>Tesla Inc.</v>
      </c>
      <c r="N2426" t="str">
        <f>VLOOKUP(fact_daily_prices[[#This Row],[Ticker]], dim_company[], 3, FALSE)</f>
        <v>Consumer Discretionary</v>
      </c>
    </row>
    <row r="2427" spans="1:14" x14ac:dyDescent="0.3">
      <c r="A2427" s="1">
        <v>46093</v>
      </c>
      <c r="B2427">
        <v>395.010009765625</v>
      </c>
      <c r="C2427">
        <v>406.5</v>
      </c>
      <c r="D2427">
        <v>394.64999389648438</v>
      </c>
      <c r="E2427">
        <v>405.17999267578131</v>
      </c>
      <c r="F2427">
        <v>60973800</v>
      </c>
      <c r="G2427" s="2" t="s">
        <v>16</v>
      </c>
      <c r="H2427">
        <v>-3.1410910030242323</v>
      </c>
      <c r="I2427">
        <v>157.04914243629207</v>
      </c>
      <c r="J2427">
        <v>422.0064001464844</v>
      </c>
      <c r="K2427">
        <v>2.2077487963185427</v>
      </c>
      <c r="L2427">
        <v>0</v>
      </c>
      <c r="M2427" t="str">
        <f>VLOOKUP(fact_daily_prices[[#This Row],[Ticker]], dim_company[], 2, FALSE)</f>
        <v>Tesla Inc.</v>
      </c>
      <c r="N2427" t="str">
        <f>VLOOKUP(fact_daily_prices[[#This Row],[Ticker]], dim_company[], 3, FALSE)</f>
        <v>Consumer Discretionary</v>
      </c>
    </row>
    <row r="2428" spans="1:14" x14ac:dyDescent="0.3">
      <c r="A2428" s="1">
        <v>46094</v>
      </c>
      <c r="B2428">
        <v>391.20001220703131</v>
      </c>
      <c r="C2428">
        <v>400.20001220703131</v>
      </c>
      <c r="D2428">
        <v>389.95001220703131</v>
      </c>
      <c r="E2428">
        <v>399.17001342773438</v>
      </c>
      <c r="F2428">
        <v>58504100</v>
      </c>
      <c r="G2428" s="2" t="s">
        <v>16</v>
      </c>
      <c r="H2428">
        <v>-0.96453190157239632</v>
      </c>
      <c r="I2428">
        <v>155.53435335634816</v>
      </c>
      <c r="J2428">
        <v>420.74180053710938</v>
      </c>
      <c r="K2428">
        <v>2.1293775822710819</v>
      </c>
      <c r="L2428">
        <v>0</v>
      </c>
      <c r="M2428" t="str">
        <f>VLOOKUP(fact_daily_prices[[#This Row],[Ticker]], dim_company[], 2, FALSE)</f>
        <v>Tesla Inc.</v>
      </c>
      <c r="N2428" t="str">
        <f>VLOOKUP(fact_daily_prices[[#This Row],[Ticker]], dim_company[], 3, FALSE)</f>
        <v>Consumer Discretionary</v>
      </c>
    </row>
    <row r="2429" spans="1:14" x14ac:dyDescent="0.3">
      <c r="A2429" s="1">
        <v>46097</v>
      </c>
      <c r="B2429">
        <v>395.55999755859375</v>
      </c>
      <c r="C2429">
        <v>403.73001098632813</v>
      </c>
      <c r="D2429">
        <v>394.42001342773438</v>
      </c>
      <c r="E2429">
        <v>396.22000122070313</v>
      </c>
      <c r="F2429">
        <v>58068300</v>
      </c>
      <c r="G2429" s="2" t="s">
        <v>16</v>
      </c>
      <c r="H2429">
        <v>1.1145156481373153</v>
      </c>
      <c r="I2429">
        <v>157.26780806273385</v>
      </c>
      <c r="J2429">
        <v>419.65860046386717</v>
      </c>
      <c r="K2429">
        <v>2.0400330964710709</v>
      </c>
      <c r="L2429">
        <v>0</v>
      </c>
      <c r="M2429" t="str">
        <f>VLOOKUP(fact_daily_prices[[#This Row],[Ticker]], dim_company[], 2, FALSE)</f>
        <v>Tesla Inc.</v>
      </c>
      <c r="N2429" t="str">
        <f>VLOOKUP(fact_daily_prices[[#This Row],[Ticker]], dim_company[], 3, FALSE)</f>
        <v>Consumer Discretionary</v>
      </c>
    </row>
    <row r="2430" spans="1:14" x14ac:dyDescent="0.3">
      <c r="A2430" s="1">
        <v>46098</v>
      </c>
      <c r="B2430">
        <v>399.26998901367188</v>
      </c>
      <c r="C2430">
        <v>400.1199951171875</v>
      </c>
      <c r="D2430">
        <v>393</v>
      </c>
      <c r="E2430">
        <v>395.69000244140631</v>
      </c>
      <c r="F2430">
        <v>46890500</v>
      </c>
      <c r="G2430" s="2" t="s">
        <v>16</v>
      </c>
      <c r="H2430">
        <v>0.93790865557090708</v>
      </c>
      <c r="I2430">
        <v>158.74283644698087</v>
      </c>
      <c r="J2430">
        <v>418.88260009765622</v>
      </c>
      <c r="K2430">
        <v>2.0241825790231043</v>
      </c>
      <c r="L2430">
        <v>0</v>
      </c>
      <c r="M2430" t="str">
        <f>VLOOKUP(fact_daily_prices[[#This Row],[Ticker]], dim_company[], 2, FALSE)</f>
        <v>Tesla Inc.</v>
      </c>
      <c r="N2430" t="str">
        <f>VLOOKUP(fact_daily_prices[[#This Row],[Ticker]], dim_company[], 3, FALSE)</f>
        <v>Consumer Discretionary</v>
      </c>
    </row>
    <row r="2431" spans="1:14" x14ac:dyDescent="0.3">
      <c r="A2431" s="1">
        <v>46099</v>
      </c>
      <c r="B2431">
        <v>392.77999877929688</v>
      </c>
      <c r="C2431">
        <v>403.07000732421881</v>
      </c>
      <c r="D2431">
        <v>392.30999755859375</v>
      </c>
      <c r="E2431">
        <v>399</v>
      </c>
      <c r="F2431">
        <v>50853100</v>
      </c>
      <c r="G2431" s="2" t="s">
        <v>16</v>
      </c>
      <c r="H2431">
        <v>-1.6254640751756533</v>
      </c>
      <c r="I2431">
        <v>156.16252866862035</v>
      </c>
      <c r="J2431">
        <v>417.70479980468753</v>
      </c>
      <c r="K2431">
        <v>2.0412091681431273</v>
      </c>
      <c r="L2431">
        <v>0</v>
      </c>
      <c r="M2431" t="str">
        <f>VLOOKUP(fact_daily_prices[[#This Row],[Ticker]], dim_company[], 2, FALSE)</f>
        <v>Tesla Inc.</v>
      </c>
      <c r="N2431" t="str">
        <f>VLOOKUP(fact_daily_prices[[#This Row],[Ticker]], dim_company[], 3, FALSE)</f>
        <v>Consumer Discretionary</v>
      </c>
    </row>
    <row r="2432" spans="1:14" x14ac:dyDescent="0.3">
      <c r="A2432" s="1">
        <v>46100</v>
      </c>
      <c r="B2432">
        <v>380.29998779296881</v>
      </c>
      <c r="C2432">
        <v>387.26998901367188</v>
      </c>
      <c r="D2432">
        <v>378.73001098632813</v>
      </c>
      <c r="E2432">
        <v>387.26998901367188</v>
      </c>
      <c r="F2432">
        <v>67078300</v>
      </c>
      <c r="G2432" s="2" t="s">
        <v>16</v>
      </c>
      <c r="H2432">
        <v>-3.1773539959046082</v>
      </c>
      <c r="I2432">
        <v>151.20069232386223</v>
      </c>
      <c r="J2432">
        <v>416.65159973144529</v>
      </c>
      <c r="K2432">
        <v>2.0076403455356022</v>
      </c>
      <c r="L2432">
        <v>0</v>
      </c>
      <c r="M2432" t="str">
        <f>VLOOKUP(fact_daily_prices[[#This Row],[Ticker]], dim_company[], 2, FALSE)</f>
        <v>Tesla Inc.</v>
      </c>
      <c r="N2432" t="str">
        <f>VLOOKUP(fact_daily_prices[[#This Row],[Ticker]], dim_company[], 3, FALSE)</f>
        <v>Consumer Discretionary</v>
      </c>
    </row>
    <row r="2433" spans="1:14" x14ac:dyDescent="0.3">
      <c r="A2433" s="1">
        <v>46101</v>
      </c>
      <c r="B2433">
        <v>367.95999145507813</v>
      </c>
      <c r="C2433">
        <v>379.8900146484375</v>
      </c>
      <c r="D2433">
        <v>364.45999145507813</v>
      </c>
      <c r="E2433">
        <v>379.85000610351563</v>
      </c>
      <c r="F2433">
        <v>78628600</v>
      </c>
      <c r="G2433" s="2" t="s">
        <v>16</v>
      </c>
      <c r="H2433">
        <v>-3.2448058727281515</v>
      </c>
      <c r="I2433">
        <v>146.29452337973194</v>
      </c>
      <c r="J2433">
        <v>415.38259948730467</v>
      </c>
      <c r="K2433">
        <v>2.053197612189956</v>
      </c>
      <c r="L2433">
        <v>0</v>
      </c>
      <c r="M2433" t="str">
        <f>VLOOKUP(fact_daily_prices[[#This Row],[Ticker]], dim_company[], 2, FALSE)</f>
        <v>Tesla Inc.</v>
      </c>
      <c r="N2433" t="str">
        <f>VLOOKUP(fact_daily_prices[[#This Row],[Ticker]], dim_company[], 3, FALSE)</f>
        <v>Consumer Discretionary</v>
      </c>
    </row>
    <row r="2434" spans="1:14" x14ac:dyDescent="0.3">
      <c r="A2434" s="1">
        <v>46104</v>
      </c>
      <c r="B2434">
        <v>380.85000610351563</v>
      </c>
      <c r="C2434">
        <v>385.32998657226563</v>
      </c>
      <c r="D2434">
        <v>372.73001098632813</v>
      </c>
      <c r="E2434">
        <v>373.08999633789063</v>
      </c>
      <c r="F2434">
        <v>74606000</v>
      </c>
      <c r="G2434" s="2" t="s">
        <v>16</v>
      </c>
      <c r="H2434">
        <v>3.5031022251806876</v>
      </c>
      <c r="I2434">
        <v>151.41937008356481</v>
      </c>
      <c r="J2434">
        <v>414.28359985351563</v>
      </c>
      <c r="K2434">
        <v>2.053429423506226</v>
      </c>
      <c r="L2434">
        <v>0</v>
      </c>
      <c r="M2434" t="str">
        <f>VLOOKUP(fact_daily_prices[[#This Row],[Ticker]], dim_company[], 2, FALSE)</f>
        <v>Tesla Inc.</v>
      </c>
      <c r="N2434" t="str">
        <f>VLOOKUP(fact_daily_prices[[#This Row],[Ticker]], dim_company[], 3, FALSE)</f>
        <v>Consumer Discretionary</v>
      </c>
    </row>
    <row r="2435" spans="1:14" x14ac:dyDescent="0.3">
      <c r="A2435" s="1">
        <v>46105</v>
      </c>
      <c r="B2435">
        <v>383.02999877929688</v>
      </c>
      <c r="C2435">
        <v>387.48001098632813</v>
      </c>
      <c r="D2435">
        <v>376.30999755859375</v>
      </c>
      <c r="E2435">
        <v>376.55999755859375</v>
      </c>
      <c r="F2435">
        <v>60004900</v>
      </c>
      <c r="G2435" s="2" t="s">
        <v>16</v>
      </c>
      <c r="H2435">
        <v>0.57240190123266643</v>
      </c>
      <c r="I2435">
        <v>152.28609743675767</v>
      </c>
      <c r="J2435">
        <v>413.04399963378904</v>
      </c>
      <c r="K2435">
        <v>2.0329860953352732</v>
      </c>
      <c r="L2435">
        <v>0</v>
      </c>
      <c r="M2435" t="str">
        <f>VLOOKUP(fact_daily_prices[[#This Row],[Ticker]], dim_company[], 2, FALSE)</f>
        <v>Tesla Inc.</v>
      </c>
      <c r="N2435" t="str">
        <f>VLOOKUP(fact_daily_prices[[#This Row],[Ticker]], dim_company[], 3, FALSE)</f>
        <v>Consumer Discretionary</v>
      </c>
    </row>
    <row r="2436" spans="1:14" x14ac:dyDescent="0.3">
      <c r="A2436" s="1">
        <v>46106</v>
      </c>
      <c r="B2436">
        <v>385.95001220703131</v>
      </c>
      <c r="C2436">
        <v>396.23001098632813</v>
      </c>
      <c r="D2436">
        <v>385.010009765625</v>
      </c>
      <c r="E2436">
        <v>389.989990234375</v>
      </c>
      <c r="F2436">
        <v>55157300</v>
      </c>
      <c r="G2436" s="2" t="s">
        <v>16</v>
      </c>
      <c r="H2436">
        <v>0.76234588336172582</v>
      </c>
      <c r="I2436">
        <v>153.44704423149901</v>
      </c>
      <c r="J2436">
        <v>411.86279968261721</v>
      </c>
      <c r="K2436">
        <v>2.0019249849839156</v>
      </c>
      <c r="L2436">
        <v>0</v>
      </c>
      <c r="M2436" t="str">
        <f>VLOOKUP(fact_daily_prices[[#This Row],[Ticker]], dim_company[], 2, FALSE)</f>
        <v>Tesla Inc.</v>
      </c>
      <c r="N2436" t="str">
        <f>VLOOKUP(fact_daily_prices[[#This Row],[Ticker]], dim_company[], 3, FALSE)</f>
        <v>Consumer Discretionary</v>
      </c>
    </row>
    <row r="2437" spans="1:14" x14ac:dyDescent="0.3">
      <c r="A2437" s="1">
        <v>46107</v>
      </c>
      <c r="B2437">
        <v>372.1099853515625</v>
      </c>
      <c r="C2437">
        <v>384.44000244140631</v>
      </c>
      <c r="D2437">
        <v>371.8699951171875</v>
      </c>
      <c r="E2437">
        <v>381.60000610351563</v>
      </c>
      <c r="F2437">
        <v>55522900</v>
      </c>
      <c r="G2437" s="2" t="s">
        <v>16</v>
      </c>
      <c r="H2437">
        <v>-3.5859635750043029</v>
      </c>
      <c r="I2437">
        <v>147.94448911843671</v>
      </c>
      <c r="J2437">
        <v>410.36099914550783</v>
      </c>
      <c r="K2437">
        <v>2.078940784805078</v>
      </c>
      <c r="L2437">
        <v>0</v>
      </c>
      <c r="M2437" t="str">
        <f>VLOOKUP(fact_daily_prices[[#This Row],[Ticker]], dim_company[], 2, FALSE)</f>
        <v>Tesla Inc.</v>
      </c>
      <c r="N2437" t="str">
        <f>VLOOKUP(fact_daily_prices[[#This Row],[Ticker]], dim_company[], 3, FALSE)</f>
        <v>Consumer Discretionary</v>
      </c>
    </row>
    <row r="2438" spans="1:14" x14ac:dyDescent="0.3">
      <c r="A2438" s="1">
        <v>46108</v>
      </c>
      <c r="B2438">
        <v>361.82998657226563</v>
      </c>
      <c r="C2438">
        <v>369.8599853515625</v>
      </c>
      <c r="D2438">
        <v>359.47000122070313</v>
      </c>
      <c r="E2438">
        <v>369.69000244140631</v>
      </c>
      <c r="F2438">
        <v>62065700</v>
      </c>
      <c r="G2438" s="2" t="s">
        <v>16</v>
      </c>
      <c r="H2438">
        <v>-2.7626237359861583</v>
      </c>
      <c r="I2438">
        <v>143.85733954596733</v>
      </c>
      <c r="J2438">
        <v>408.8135986328125</v>
      </c>
      <c r="K2438">
        <v>2.0844120631790615</v>
      </c>
      <c r="L2438">
        <v>0</v>
      </c>
      <c r="M2438" t="str">
        <f>VLOOKUP(fact_daily_prices[[#This Row],[Ticker]], dim_company[], 2, FALSE)</f>
        <v>Tesla Inc.</v>
      </c>
      <c r="N2438" t="str">
        <f>VLOOKUP(fact_daily_prices[[#This Row],[Ticker]], dim_company[], 3, FALSE)</f>
        <v>Consumer Discretionary</v>
      </c>
    </row>
    <row r="2439" spans="1:14" x14ac:dyDescent="0.3">
      <c r="A2439" s="1">
        <v>46111</v>
      </c>
      <c r="B2439">
        <v>361.82998657226563</v>
      </c>
      <c r="C2439">
        <v>367.29000854492188</v>
      </c>
      <c r="D2439">
        <v>352.1400146484375</v>
      </c>
      <c r="E2439">
        <v>365.8599853515625</v>
      </c>
      <c r="F2439">
        <v>67954400</v>
      </c>
      <c r="G2439" s="2" t="s">
        <v>16</v>
      </c>
      <c r="H2439">
        <v>0</v>
      </c>
      <c r="I2439">
        <v>143.85733954596733</v>
      </c>
      <c r="J2439">
        <v>407.27879821777344</v>
      </c>
      <c r="K2439">
        <v>2.0836822022485166</v>
      </c>
      <c r="L2439">
        <v>0</v>
      </c>
      <c r="M2439" t="str">
        <f>VLOOKUP(fact_daily_prices[[#This Row],[Ticker]], dim_company[], 2, FALSE)</f>
        <v>Tesla Inc.</v>
      </c>
      <c r="N2439" t="str">
        <f>VLOOKUP(fact_daily_prices[[#This Row],[Ticker]], dim_company[], 3, FALSE)</f>
        <v>Consumer Discretionary</v>
      </c>
    </row>
    <row r="2440" spans="1:14" x14ac:dyDescent="0.3">
      <c r="A2440" s="1">
        <v>46112</v>
      </c>
      <c r="B2440">
        <v>371.75</v>
      </c>
      <c r="C2440">
        <v>373.32998657226563</v>
      </c>
      <c r="D2440">
        <v>361</v>
      </c>
      <c r="E2440">
        <v>361.510009765625</v>
      </c>
      <c r="F2440">
        <v>75534900</v>
      </c>
      <c r="G2440" s="2" t="s">
        <v>16</v>
      </c>
      <c r="H2440">
        <v>2.7416228051494462</v>
      </c>
      <c r="I2440">
        <v>147.80136517384085</v>
      </c>
      <c r="J2440">
        <v>405.96379821777344</v>
      </c>
      <c r="K2440">
        <v>2.1503942826040854</v>
      </c>
      <c r="L2440">
        <v>0</v>
      </c>
      <c r="M2440" t="str">
        <f>VLOOKUP(fact_daily_prices[[#This Row],[Ticker]], dim_company[], 2, FALSE)</f>
        <v>Tesla Inc.</v>
      </c>
      <c r="N2440" t="str">
        <f>VLOOKUP(fact_daily_prices[[#This Row],[Ticker]], dim_company[], 3, FALSE)</f>
        <v>Consumer Discretionary</v>
      </c>
    </row>
    <row r="2441" spans="1:14" x14ac:dyDescent="0.3">
      <c r="A2441" s="1">
        <v>46113</v>
      </c>
      <c r="B2441">
        <v>381.260009765625</v>
      </c>
      <c r="C2441">
        <v>383.1400146484375</v>
      </c>
      <c r="D2441">
        <v>374.07998657226563</v>
      </c>
      <c r="E2441">
        <v>378.6300048828125</v>
      </c>
      <c r="F2441">
        <v>58683800</v>
      </c>
      <c r="G2441" s="2" t="s">
        <v>16</v>
      </c>
      <c r="H2441">
        <v>2.5581734406523227</v>
      </c>
      <c r="I2441">
        <v>151.58238044263956</v>
      </c>
      <c r="J2441">
        <v>405.20399841308591</v>
      </c>
      <c r="K2441">
        <v>2.2120546958896781</v>
      </c>
      <c r="L2441">
        <v>0</v>
      </c>
      <c r="M2441" t="str">
        <f>VLOOKUP(fact_daily_prices[[#This Row],[Ticker]], dim_company[], 2, FALSE)</f>
        <v>Tesla Inc.</v>
      </c>
      <c r="N2441" t="str">
        <f>VLOOKUP(fact_daily_prices[[#This Row],[Ticker]], dim_company[], 3, FALSE)</f>
        <v>Consumer Discretionary</v>
      </c>
    </row>
    <row r="2442" spans="1:14" x14ac:dyDescent="0.3">
      <c r="A2442" s="1">
        <v>46114</v>
      </c>
      <c r="B2442">
        <v>360.58999633789063</v>
      </c>
      <c r="C2442">
        <v>370.27999877929688</v>
      </c>
      <c r="D2442">
        <v>359.02999877929688</v>
      </c>
      <c r="E2442">
        <v>364.20001220703131</v>
      </c>
      <c r="F2442">
        <v>83031200</v>
      </c>
      <c r="G2442" s="2" t="s">
        <v>16</v>
      </c>
      <c r="H2442">
        <v>-5.4215005241281418</v>
      </c>
      <c r="I2442">
        <v>143.36434089245594</v>
      </c>
      <c r="J2442">
        <v>403.78699829101561</v>
      </c>
      <c r="K2442">
        <v>2.4050679645787407</v>
      </c>
      <c r="L2442">
        <v>0</v>
      </c>
      <c r="M2442" t="str">
        <f>VLOOKUP(fact_daily_prices[[#This Row],[Ticker]], dim_company[], 2, FALSE)</f>
        <v>Tesla Inc.</v>
      </c>
      <c r="N2442" t="str">
        <f>VLOOKUP(fact_daily_prices[[#This Row],[Ticker]], dim_company[], 3, FALSE)</f>
        <v>Consumer Discretionary</v>
      </c>
    </row>
    <row r="2443" spans="1:14" x14ac:dyDescent="0.3">
      <c r="A2443" s="1">
        <v>46118</v>
      </c>
      <c r="B2443">
        <v>352.82000732421875</v>
      </c>
      <c r="C2443">
        <v>367.72000122070313</v>
      </c>
      <c r="D2443">
        <v>346.6400146484375</v>
      </c>
      <c r="E2443">
        <v>362.58999633789063</v>
      </c>
      <c r="F2443">
        <v>77697600</v>
      </c>
      <c r="G2443" s="2" t="s">
        <v>16</v>
      </c>
      <c r="H2443">
        <v>-2.1547988276388597</v>
      </c>
      <c r="I2443">
        <v>140.27512775565313</v>
      </c>
      <c r="J2443">
        <v>401.85619873046875</v>
      </c>
      <c r="K2443">
        <v>2.4242238904557945</v>
      </c>
      <c r="L2443">
        <v>0</v>
      </c>
      <c r="M2443" t="str">
        <f>VLOOKUP(fact_daily_prices[[#This Row],[Ticker]], dim_company[], 2, FALSE)</f>
        <v>Tesla Inc.</v>
      </c>
      <c r="N2443" t="str">
        <f>VLOOKUP(fact_daily_prices[[#This Row],[Ticker]], dim_company[], 3, FALSE)</f>
        <v>Consumer Discretionary</v>
      </c>
    </row>
    <row r="2444" spans="1:14" x14ac:dyDescent="0.3">
      <c r="A2444" s="1">
        <v>46119</v>
      </c>
      <c r="B2444">
        <v>346.64999389648438</v>
      </c>
      <c r="C2444">
        <v>348.01998901367188</v>
      </c>
      <c r="D2444">
        <v>337.239990234375</v>
      </c>
      <c r="E2444">
        <v>346.44000244140625</v>
      </c>
      <c r="F2444">
        <v>74515400</v>
      </c>
      <c r="G2444" s="2" t="s">
        <v>16</v>
      </c>
      <c r="H2444">
        <v>-1.7487708462248674</v>
      </c>
      <c r="I2444">
        <v>137.8220372169576</v>
      </c>
      <c r="J2444">
        <v>399.80799865722656</v>
      </c>
      <c r="K2444">
        <v>2.3931976968428605</v>
      </c>
      <c r="L2444">
        <v>0</v>
      </c>
      <c r="M2444" t="str">
        <f>VLOOKUP(fact_daily_prices[[#This Row],[Ticker]], dim_company[], 2, FALSE)</f>
        <v>Tesla Inc.</v>
      </c>
      <c r="N2444" t="str">
        <f>VLOOKUP(fact_daily_prices[[#This Row],[Ticker]], dim_company[], 3, FALSE)</f>
        <v>Consumer Discretionary</v>
      </c>
    </row>
    <row r="2445" spans="1:14" x14ac:dyDescent="0.3">
      <c r="A2445" s="1">
        <v>46120</v>
      </c>
      <c r="B2445">
        <v>343.25</v>
      </c>
      <c r="C2445">
        <v>364.5</v>
      </c>
      <c r="D2445">
        <v>339.67001342773438</v>
      </c>
      <c r="E2445">
        <v>363.79000854492188</v>
      </c>
      <c r="F2445">
        <v>78838600</v>
      </c>
      <c r="G2445" s="2" t="s">
        <v>16</v>
      </c>
      <c r="H2445">
        <v>-0.98081464195832746</v>
      </c>
      <c r="I2445">
        <v>136.47025849608841</v>
      </c>
      <c r="J2445">
        <v>397.96899841308596</v>
      </c>
      <c r="K2445">
        <v>2.3338771474415196</v>
      </c>
      <c r="L2445">
        <v>0</v>
      </c>
      <c r="M2445" t="str">
        <f>VLOOKUP(fact_daily_prices[[#This Row],[Ticker]], dim_company[], 2, FALSE)</f>
        <v>Tesla Inc.</v>
      </c>
      <c r="N2445" t="str">
        <f>VLOOKUP(fact_daily_prices[[#This Row],[Ticker]], dim_company[], 3, FALSE)</f>
        <v>Consumer Discretionary</v>
      </c>
    </row>
    <row r="2446" spans="1:14" x14ac:dyDescent="0.3">
      <c r="A2446" s="1">
        <v>46121</v>
      </c>
      <c r="B2446">
        <v>345.6199951171875</v>
      </c>
      <c r="C2446">
        <v>348.8800048828125</v>
      </c>
      <c r="D2446">
        <v>337.25</v>
      </c>
      <c r="E2446">
        <v>343.14999389648438</v>
      </c>
      <c r="F2446">
        <v>62164000</v>
      </c>
      <c r="G2446" s="2" t="s">
        <v>16</v>
      </c>
      <c r="H2446">
        <v>0.69045742671158816</v>
      </c>
      <c r="I2446">
        <v>137.41252753112713</v>
      </c>
      <c r="J2446">
        <v>396.26339843749997</v>
      </c>
      <c r="K2446">
        <v>2.2978942059577467</v>
      </c>
      <c r="L2446">
        <v>0</v>
      </c>
      <c r="M2446" t="str">
        <f>VLOOKUP(fact_daily_prices[[#This Row],[Ticker]], dim_company[], 2, FALSE)</f>
        <v>Tesla Inc.</v>
      </c>
      <c r="N2446" t="str">
        <f>VLOOKUP(fact_daily_prices[[#This Row],[Ticker]], dim_company[], 3, FALSE)</f>
        <v>Consumer Discretionary</v>
      </c>
    </row>
    <row r="2447" spans="1:14" x14ac:dyDescent="0.3">
      <c r="A2447" s="1">
        <v>46122</v>
      </c>
      <c r="B2447">
        <v>348.95001220703125</v>
      </c>
      <c r="C2447">
        <v>350.3599853515625</v>
      </c>
      <c r="D2447">
        <v>342.739990234375</v>
      </c>
      <c r="E2447">
        <v>346.29000854492188</v>
      </c>
      <c r="F2447">
        <v>51336000</v>
      </c>
      <c r="G2447" s="2" t="s">
        <v>16</v>
      </c>
      <c r="H2447">
        <v>0.96349086768392489</v>
      </c>
      <c r="I2447">
        <v>138.73648468494321</v>
      </c>
      <c r="J2447">
        <v>394.61319885253909</v>
      </c>
      <c r="K2447">
        <v>2.31327040961737</v>
      </c>
      <c r="L2447">
        <v>0</v>
      </c>
      <c r="M2447" t="str">
        <f>VLOOKUP(fact_daily_prices[[#This Row],[Ticker]], dim_company[], 2, FALSE)</f>
        <v>Tesla Inc.</v>
      </c>
      <c r="N2447" t="str">
        <f>VLOOKUP(fact_daily_prices[[#This Row],[Ticker]], dim_company[], 3, FALSE)</f>
        <v>Consumer Discretionary</v>
      </c>
    </row>
    <row r="2448" spans="1:14" x14ac:dyDescent="0.3">
      <c r="A2448" s="1">
        <v>46125</v>
      </c>
      <c r="B2448">
        <v>352.42001342773438</v>
      </c>
      <c r="C2448">
        <v>356.35000610351563</v>
      </c>
      <c r="D2448">
        <v>348.57000732421875</v>
      </c>
      <c r="E2448">
        <v>350.07000732421875</v>
      </c>
      <c r="F2448">
        <v>53617500</v>
      </c>
      <c r="G2448" s="2" t="s">
        <v>16</v>
      </c>
      <c r="H2448">
        <v>0.9944121218842028</v>
      </c>
      <c r="I2448">
        <v>140.11609710612632</v>
      </c>
      <c r="J2448">
        <v>393.33039916992186</v>
      </c>
      <c r="K2448">
        <v>2.2586861149151791</v>
      </c>
      <c r="L2448">
        <v>0</v>
      </c>
      <c r="M2448" t="str">
        <f>VLOOKUP(fact_daily_prices[[#This Row],[Ticker]], dim_company[], 2, FALSE)</f>
        <v>Tesla Inc.</v>
      </c>
      <c r="N2448" t="str">
        <f>VLOOKUP(fact_daily_prices[[#This Row],[Ticker]], dim_company[], 3, FALSE)</f>
        <v>Consumer Discretionary</v>
      </c>
    </row>
    <row r="2449" spans="1:14" x14ac:dyDescent="0.3">
      <c r="A2449" s="1">
        <v>46126</v>
      </c>
      <c r="B2449">
        <v>364.20001220703131</v>
      </c>
      <c r="C2449">
        <v>367.6300048828125</v>
      </c>
      <c r="D2449">
        <v>354.76998901367188</v>
      </c>
      <c r="E2449">
        <v>357.67001342773438</v>
      </c>
      <c r="F2449">
        <v>59979600</v>
      </c>
      <c r="G2449" s="2" t="s">
        <v>16</v>
      </c>
      <c r="H2449">
        <v>3.3426021027357145</v>
      </c>
      <c r="I2449">
        <v>144.79962071426689</v>
      </c>
      <c r="J2449">
        <v>392.00619934082033</v>
      </c>
      <c r="K2449">
        <v>2.3589360004333679</v>
      </c>
      <c r="L2449">
        <v>0</v>
      </c>
      <c r="M2449" t="str">
        <f>VLOOKUP(fact_daily_prices[[#This Row],[Ticker]], dim_company[], 2, FALSE)</f>
        <v>Tesla Inc.</v>
      </c>
      <c r="N2449" t="str">
        <f>VLOOKUP(fact_daily_prices[[#This Row],[Ticker]], dim_company[], 3, FALSE)</f>
        <v>Consumer Discretionary</v>
      </c>
    </row>
    <row r="2450" spans="1:14" x14ac:dyDescent="0.3">
      <c r="A2450" s="1">
        <v>46127</v>
      </c>
      <c r="B2450">
        <v>391.95001220703131</v>
      </c>
      <c r="C2450">
        <v>394.64999389648438</v>
      </c>
      <c r="D2450">
        <v>362.5</v>
      </c>
      <c r="E2450">
        <v>366.82998657226563</v>
      </c>
      <c r="F2450">
        <v>113810400</v>
      </c>
      <c r="G2450" s="2" t="s">
        <v>16</v>
      </c>
      <c r="H2450">
        <v>7.6194396128205888</v>
      </c>
      <c r="I2450">
        <v>155.83254037418374</v>
      </c>
      <c r="J2450">
        <v>391.40899963378905</v>
      </c>
      <c r="K2450">
        <v>2.7230648435844627</v>
      </c>
      <c r="L2450">
        <v>0</v>
      </c>
      <c r="M2450" t="str">
        <f>VLOOKUP(fact_daily_prices[[#This Row],[Ticker]], dim_company[], 2, FALSE)</f>
        <v>Tesla Inc.</v>
      </c>
      <c r="N2450" t="str">
        <f>VLOOKUP(fact_daily_prices[[#This Row],[Ticker]], dim_company[], 3, FALSE)</f>
        <v>Consumer Discretionary</v>
      </c>
    </row>
    <row r="2451" spans="1:14" x14ac:dyDescent="0.3">
      <c r="A2451" s="1">
        <v>46128</v>
      </c>
      <c r="B2451">
        <v>388.89999389648438</v>
      </c>
      <c r="C2451">
        <v>394.05999755859375</v>
      </c>
      <c r="D2451">
        <v>381.79998779296881</v>
      </c>
      <c r="E2451">
        <v>393.80999755859375</v>
      </c>
      <c r="F2451">
        <v>63515100</v>
      </c>
      <c r="G2451" s="2" t="s">
        <v>16</v>
      </c>
      <c r="H2451">
        <v>-0.77816512707132857</v>
      </c>
      <c r="I2451">
        <v>154.6199058883625</v>
      </c>
      <c r="J2451">
        <v>390.7477996826172</v>
      </c>
      <c r="K2451">
        <v>2.6487686232697465</v>
      </c>
      <c r="L2451">
        <v>0</v>
      </c>
      <c r="M2451" t="str">
        <f>VLOOKUP(fact_daily_prices[[#This Row],[Ticker]], dim_company[], 2, FALSE)</f>
        <v>Tesla Inc.</v>
      </c>
      <c r="N2451" t="str">
        <f>VLOOKUP(fact_daily_prices[[#This Row],[Ticker]], dim_company[], 3, FALSE)</f>
        <v>Consumer Discretionary</v>
      </c>
    </row>
    <row r="2452" spans="1:14" x14ac:dyDescent="0.3">
      <c r="A2452" s="1">
        <v>46129</v>
      </c>
      <c r="B2452">
        <v>400.6199951171875</v>
      </c>
      <c r="C2452">
        <v>409.27999877929688</v>
      </c>
      <c r="D2452">
        <v>391.64999389648438</v>
      </c>
      <c r="E2452">
        <v>395.92001342773438</v>
      </c>
      <c r="F2452">
        <v>90640000</v>
      </c>
      <c r="G2452" s="2" t="s">
        <v>16</v>
      </c>
      <c r="H2452">
        <v>3.0136285432348808</v>
      </c>
      <c r="I2452">
        <v>159.27957550573709</v>
      </c>
      <c r="J2452">
        <v>390.63999938964844</v>
      </c>
      <c r="K2452">
        <v>2.709451325375277</v>
      </c>
      <c r="L2452">
        <v>0</v>
      </c>
      <c r="M2452" t="str">
        <f>VLOOKUP(fact_daily_prices[[#This Row],[Ticker]], dim_company[], 2, FALSE)</f>
        <v>Tesla Inc.</v>
      </c>
      <c r="N2452" t="str">
        <f>VLOOKUP(fact_daily_prices[[#This Row],[Ticker]], dim_company[], 3, FALSE)</f>
        <v>Consumer Discretionary</v>
      </c>
    </row>
    <row r="2453" spans="1:14" x14ac:dyDescent="0.3">
      <c r="A2453" s="1">
        <v>46132</v>
      </c>
      <c r="B2453">
        <v>392.5</v>
      </c>
      <c r="C2453">
        <v>406.79998779296881</v>
      </c>
      <c r="D2453">
        <v>388.32998657226563</v>
      </c>
      <c r="E2453">
        <v>402.57998657226563</v>
      </c>
      <c r="F2453">
        <v>64603900</v>
      </c>
      <c r="G2453" s="2" t="s">
        <v>16</v>
      </c>
      <c r="H2453">
        <v>-2.0268571754168851</v>
      </c>
      <c r="I2453">
        <v>156.05120600062548</v>
      </c>
      <c r="J2453">
        <v>390.54579956054687</v>
      </c>
      <c r="K2453">
        <v>2.705498137491777</v>
      </c>
      <c r="L2453">
        <v>0</v>
      </c>
      <c r="M2453" t="str">
        <f>VLOOKUP(fact_daily_prices[[#This Row],[Ticker]], dim_company[], 2, FALSE)</f>
        <v>Tesla Inc.</v>
      </c>
      <c r="N2453" t="str">
        <f>VLOOKUP(fact_daily_prices[[#This Row],[Ticker]], dim_company[], 3, FALSE)</f>
        <v>Consumer Discretionary</v>
      </c>
    </row>
    <row r="2454" spans="1:14" x14ac:dyDescent="0.3">
      <c r="A2454" s="1">
        <v>46133</v>
      </c>
      <c r="B2454">
        <v>386.42001342773438</v>
      </c>
      <c r="C2454">
        <v>393.95001220703131</v>
      </c>
      <c r="D2454">
        <v>385.22000122070313</v>
      </c>
      <c r="E2454">
        <v>393</v>
      </c>
      <c r="F2454">
        <v>50530600</v>
      </c>
      <c r="G2454" s="2" t="s">
        <v>16</v>
      </c>
      <c r="H2454">
        <v>-1.5490411649084379</v>
      </c>
      <c r="I2454">
        <v>153.63390858133974</v>
      </c>
      <c r="J2454">
        <v>390.0520001220703</v>
      </c>
      <c r="K2454">
        <v>2.7183199776594558</v>
      </c>
      <c r="L2454">
        <v>0</v>
      </c>
      <c r="M2454" t="str">
        <f>VLOOKUP(fact_daily_prices[[#This Row],[Ticker]], dim_company[], 2, FALSE)</f>
        <v>Tesla Inc.</v>
      </c>
      <c r="N2454" t="str">
        <f>VLOOKUP(fact_daily_prices[[#This Row],[Ticker]], dim_company[], 3, FALSE)</f>
        <v>Consumer Discretionary</v>
      </c>
    </row>
    <row r="2455" spans="1:14" x14ac:dyDescent="0.3">
      <c r="A2455" s="1">
        <v>46134</v>
      </c>
      <c r="B2455">
        <v>387.510009765625</v>
      </c>
      <c r="C2455">
        <v>393.010009765625</v>
      </c>
      <c r="D2455">
        <v>385.29998779296881</v>
      </c>
      <c r="E2455">
        <v>387.57000732421881</v>
      </c>
      <c r="F2455">
        <v>62362800</v>
      </c>
      <c r="G2455" s="2" t="s">
        <v>16</v>
      </c>
      <c r="H2455">
        <v>0.28207553957204645</v>
      </c>
      <c r="I2455">
        <v>154.06727225793614</v>
      </c>
      <c r="J2455">
        <v>389.45580017089844</v>
      </c>
      <c r="K2455">
        <v>2.7188184573698271</v>
      </c>
      <c r="L2455">
        <v>0</v>
      </c>
      <c r="M2455" t="str">
        <f>VLOOKUP(fact_daily_prices[[#This Row],[Ticker]], dim_company[], 2, FALSE)</f>
        <v>Tesla Inc.</v>
      </c>
      <c r="N2455" t="str">
        <f>VLOOKUP(fact_daily_prices[[#This Row],[Ticker]], dim_company[], 3, FALSE)</f>
        <v>Consumer Discretionary</v>
      </c>
    </row>
    <row r="2456" spans="1:14" x14ac:dyDescent="0.3">
      <c r="A2456" s="1">
        <v>46135</v>
      </c>
      <c r="B2456">
        <v>373.72000122070313</v>
      </c>
      <c r="C2456">
        <v>386</v>
      </c>
      <c r="D2456">
        <v>368.3900146484375</v>
      </c>
      <c r="E2456">
        <v>375.27999877929688</v>
      </c>
      <c r="F2456">
        <v>93969500</v>
      </c>
      <c r="G2456" s="2" t="s">
        <v>16</v>
      </c>
      <c r="H2456">
        <v>-3.5586199575237787</v>
      </c>
      <c r="I2456">
        <v>148.58460355935276</v>
      </c>
      <c r="J2456">
        <v>388.42600036621093</v>
      </c>
      <c r="K2456">
        <v>2.7580430739942616</v>
      </c>
      <c r="L2456">
        <v>0</v>
      </c>
      <c r="M2456" t="str">
        <f>VLOOKUP(fact_daily_prices[[#This Row],[Ticker]], dim_company[], 2, FALSE)</f>
        <v>Tesla Inc.</v>
      </c>
      <c r="N2456" t="str">
        <f>VLOOKUP(fact_daily_prices[[#This Row],[Ticker]], dim_company[], 3, FALSE)</f>
        <v>Consumer Discretionary</v>
      </c>
    </row>
    <row r="2457" spans="1:14" x14ac:dyDescent="0.3">
      <c r="A2457" s="1">
        <v>46136</v>
      </c>
      <c r="B2457">
        <v>376.29998779296881</v>
      </c>
      <c r="C2457">
        <v>382.760009765625</v>
      </c>
      <c r="D2457">
        <v>370.73001098632813</v>
      </c>
      <c r="E2457">
        <v>373.5</v>
      </c>
      <c r="F2457">
        <v>62893300</v>
      </c>
      <c r="G2457" s="2" t="s">
        <v>16</v>
      </c>
      <c r="H2457">
        <v>0.69035282132037246</v>
      </c>
      <c r="I2457">
        <v>149.61036156207243</v>
      </c>
      <c r="J2457">
        <v>387.38660034179685</v>
      </c>
      <c r="K2457">
        <v>2.7080053827076753</v>
      </c>
      <c r="L2457">
        <v>0</v>
      </c>
      <c r="M2457" t="str">
        <f>VLOOKUP(fact_daily_prices[[#This Row],[Ticker]], dim_company[], 2, FALSE)</f>
        <v>Tesla Inc.</v>
      </c>
      <c r="N2457" t="str">
        <f>VLOOKUP(fact_daily_prices[[#This Row],[Ticker]], dim_company[], 3, FALSE)</f>
        <v>Consumer Discretionary</v>
      </c>
    </row>
    <row r="2458" spans="1:14" x14ac:dyDescent="0.3">
      <c r="A2458" s="1">
        <v>46139</v>
      </c>
      <c r="B2458">
        <v>378.67001342773438</v>
      </c>
      <c r="C2458">
        <v>380.77999877929688</v>
      </c>
      <c r="D2458">
        <v>364.01998901367188</v>
      </c>
      <c r="E2458">
        <v>372.08999633789063</v>
      </c>
      <c r="F2458">
        <v>66735800</v>
      </c>
      <c r="G2458" s="2" t="s">
        <v>16</v>
      </c>
      <c r="H2458">
        <v>0.62982346841571335</v>
      </c>
      <c r="I2458">
        <v>150.55264273037196</v>
      </c>
      <c r="J2458">
        <v>386.61860046386721</v>
      </c>
      <c r="K2458">
        <v>2.7066346394918979</v>
      </c>
      <c r="L2458">
        <v>0</v>
      </c>
      <c r="M2458" t="str">
        <f>VLOOKUP(fact_daily_prices[[#This Row],[Ticker]], dim_company[], 2, FALSE)</f>
        <v>Tesla Inc.</v>
      </c>
      <c r="N2458" t="str">
        <f>VLOOKUP(fact_daily_prices[[#This Row],[Ticker]], dim_company[], 3, FALSE)</f>
        <v>Consumer Discretionary</v>
      </c>
    </row>
    <row r="2459" spans="1:14" x14ac:dyDescent="0.3">
      <c r="A2459" s="1">
        <v>46140</v>
      </c>
      <c r="B2459">
        <v>376.01998901367188</v>
      </c>
      <c r="C2459">
        <v>382.29000854492188</v>
      </c>
      <c r="D2459">
        <v>372.54000854492188</v>
      </c>
      <c r="E2459">
        <v>374.67999267578131</v>
      </c>
      <c r="F2459">
        <v>50864400</v>
      </c>
      <c r="G2459" s="2" t="s">
        <v>16</v>
      </c>
      <c r="H2459">
        <v>-0.69982420579712823</v>
      </c>
      <c r="I2459">
        <v>149.49903889407756</v>
      </c>
      <c r="J2459">
        <v>385.79020019531248</v>
      </c>
      <c r="K2459">
        <v>2.6994394653299518</v>
      </c>
      <c r="L2459">
        <v>0</v>
      </c>
      <c r="M2459" t="str">
        <f>VLOOKUP(fact_daily_prices[[#This Row],[Ticker]], dim_company[], 2, FALSE)</f>
        <v>Tesla Inc.</v>
      </c>
      <c r="N2459" t="str">
        <f>VLOOKUP(fact_daily_prices[[#This Row],[Ticker]], dim_company[], 3, FALSE)</f>
        <v>Consumer Discretionary</v>
      </c>
    </row>
    <row r="2460" spans="1:14" x14ac:dyDescent="0.3">
      <c r="A2460" s="1">
        <v>46141</v>
      </c>
      <c r="B2460">
        <v>372.79998779296881</v>
      </c>
      <c r="C2460">
        <v>376.39999389648438</v>
      </c>
      <c r="D2460">
        <v>370.04000854492188</v>
      </c>
      <c r="E2460">
        <v>375.39999389648438</v>
      </c>
      <c r="F2460">
        <v>45384800</v>
      </c>
      <c r="G2460" s="2" t="s">
        <v>16</v>
      </c>
      <c r="H2460">
        <v>-0.85633777851793491</v>
      </c>
      <c r="I2460">
        <v>148.21882214550635</v>
      </c>
      <c r="J2460">
        <v>385.03359985351563</v>
      </c>
      <c r="K2460">
        <v>2.6947494776750132</v>
      </c>
      <c r="L2460">
        <v>0</v>
      </c>
      <c r="M2460" t="str">
        <f>VLOOKUP(fact_daily_prices[[#This Row],[Ticker]], dim_company[], 2, FALSE)</f>
        <v>Tesla Inc.</v>
      </c>
      <c r="N2460" t="str">
        <f>VLOOKUP(fact_daily_prices[[#This Row],[Ticker]], dim_company[], 3, FALSE)</f>
        <v>Consumer Discretionary</v>
      </c>
    </row>
    <row r="2461" spans="1:14" x14ac:dyDescent="0.3">
      <c r="A2461" s="1">
        <v>46142</v>
      </c>
      <c r="B2461">
        <v>381.6300048828125</v>
      </c>
      <c r="C2461">
        <v>384.75</v>
      </c>
      <c r="D2461">
        <v>368.17001342773438</v>
      </c>
      <c r="E2461">
        <v>372.75</v>
      </c>
      <c r="F2461">
        <v>51076000</v>
      </c>
      <c r="G2461" s="2" t="s">
        <v>16</v>
      </c>
      <c r="H2461">
        <v>2.3685668935019777</v>
      </c>
      <c r="I2461">
        <v>151.72948409678341</v>
      </c>
      <c r="J2461">
        <v>384.43979980468748</v>
      </c>
      <c r="K2461">
        <v>2.7201104597319721</v>
      </c>
      <c r="L2461">
        <v>0</v>
      </c>
      <c r="M2461" t="str">
        <f>VLOOKUP(fact_daily_prices[[#This Row],[Ticker]], dim_company[], 2, FALSE)</f>
        <v>Tesla Inc.</v>
      </c>
      <c r="N2461" t="str">
        <f>VLOOKUP(fact_daily_prices[[#This Row],[Ticker]], dim_company[], 3, FALSE)</f>
        <v>Consumer Discretionary</v>
      </c>
    </row>
    <row r="2462" spans="1:14" x14ac:dyDescent="0.3">
      <c r="A2462" s="1">
        <v>46143</v>
      </c>
      <c r="B2462">
        <v>390.82000732421881</v>
      </c>
      <c r="C2462">
        <v>397.82000732421881</v>
      </c>
      <c r="D2462">
        <v>378.79998779296881</v>
      </c>
      <c r="E2462">
        <v>382.489990234375</v>
      </c>
      <c r="F2462">
        <v>65338300</v>
      </c>
      <c r="G2462" s="2" t="s">
        <v>16</v>
      </c>
      <c r="H2462">
        <v>2.4080922159745555</v>
      </c>
      <c r="I2462">
        <v>155.38326999265638</v>
      </c>
      <c r="J2462">
        <v>384.02200012207032</v>
      </c>
      <c r="K2462">
        <v>2.6904014357960135</v>
      </c>
      <c r="L2462">
        <v>0</v>
      </c>
      <c r="M2462" t="str">
        <f>VLOOKUP(fact_daily_prices[[#This Row],[Ticker]], dim_company[], 2, FALSE)</f>
        <v>Tesla Inc.</v>
      </c>
      <c r="N2462" t="str">
        <f>VLOOKUP(fact_daily_prices[[#This Row],[Ticker]], dim_company[], 3, FALSE)</f>
        <v>Consumer Discretionary</v>
      </c>
    </row>
    <row r="2463" spans="1:14" x14ac:dyDescent="0.3">
      <c r="A2463" s="1">
        <v>46146</v>
      </c>
      <c r="B2463">
        <v>392.510009765625</v>
      </c>
      <c r="C2463">
        <v>394.6400146484375</v>
      </c>
      <c r="D2463">
        <v>384.79998779296881</v>
      </c>
      <c r="E2463">
        <v>390.23001098632813</v>
      </c>
      <c r="F2463">
        <v>48765100</v>
      </c>
      <c r="G2463" s="2" t="s">
        <v>16</v>
      </c>
      <c r="H2463">
        <v>0.43242475045659479</v>
      </c>
      <c r="I2463">
        <v>156.05518571017342</v>
      </c>
      <c r="J2463">
        <v>383.63580017089845</v>
      </c>
      <c r="K2463">
        <v>2.6142330169962924</v>
      </c>
      <c r="L2463">
        <v>0</v>
      </c>
      <c r="M2463" t="str">
        <f>VLOOKUP(fact_daily_prices[[#This Row],[Ticker]], dim_company[], 2, FALSE)</f>
        <v>Tesla Inc.</v>
      </c>
      <c r="N2463" t="str">
        <f>VLOOKUP(fact_daily_prices[[#This Row],[Ticker]], dim_company[], 3, FALSE)</f>
        <v>Consumer Discretionary</v>
      </c>
    </row>
    <row r="2464" spans="1:14" x14ac:dyDescent="0.3">
      <c r="A2464" s="1">
        <v>46147</v>
      </c>
      <c r="B2464">
        <v>389.3699951171875</v>
      </c>
      <c r="C2464">
        <v>402.1199951171875</v>
      </c>
      <c r="D2464">
        <v>389</v>
      </c>
      <c r="E2464">
        <v>395.19000244140631</v>
      </c>
      <c r="F2464">
        <v>47780600</v>
      </c>
      <c r="G2464" s="2" t="s">
        <v>16</v>
      </c>
      <c r="H2464">
        <v>-0.7999833304410453</v>
      </c>
      <c r="I2464">
        <v>154.80677023820323</v>
      </c>
      <c r="J2464">
        <v>383.42660034179687</v>
      </c>
      <c r="K2464">
        <v>2.5466702762362141</v>
      </c>
      <c r="L2464">
        <v>0</v>
      </c>
      <c r="M2464" t="str">
        <f>VLOOKUP(fact_daily_prices[[#This Row],[Ticker]], dim_company[], 2, FALSE)</f>
        <v>Tesla Inc.</v>
      </c>
      <c r="N2464" t="str">
        <f>VLOOKUP(fact_daily_prices[[#This Row],[Ticker]], dim_company[], 3, FALSE)</f>
        <v>Consumer Discretionary</v>
      </c>
    </row>
    <row r="2465" spans="1:14" x14ac:dyDescent="0.3">
      <c r="A2465" s="1">
        <v>46148</v>
      </c>
      <c r="B2465">
        <v>398.73001098632813</v>
      </c>
      <c r="C2465">
        <v>401.67999267578131</v>
      </c>
      <c r="D2465">
        <v>384.01998901367188</v>
      </c>
      <c r="E2465">
        <v>386.25</v>
      </c>
      <c r="F2465">
        <v>53465400</v>
      </c>
      <c r="G2465" s="2" t="s">
        <v>16</v>
      </c>
      <c r="H2465">
        <v>2.4038873016714035</v>
      </c>
      <c r="I2465">
        <v>158.52815053008703</v>
      </c>
      <c r="J2465">
        <v>383.21360046386718</v>
      </c>
      <c r="K2465">
        <v>2.5799985054289043</v>
      </c>
      <c r="L2465">
        <v>0</v>
      </c>
      <c r="M2465" t="str">
        <f>VLOOKUP(fact_daily_prices[[#This Row],[Ticker]], dim_company[], 2, FALSE)</f>
        <v>Tesla Inc.</v>
      </c>
      <c r="N2465" t="str">
        <f>VLOOKUP(fact_daily_prices[[#This Row],[Ticker]], dim_company[], 3, FALSE)</f>
        <v>Consumer Discretionary</v>
      </c>
    </row>
    <row r="2466" spans="1:14" x14ac:dyDescent="0.3">
      <c r="A2466" s="1">
        <v>46149</v>
      </c>
      <c r="B2466">
        <v>411.79000854492188</v>
      </c>
      <c r="C2466">
        <v>415.82998657226563</v>
      </c>
      <c r="D2466">
        <v>402.1199951171875</v>
      </c>
      <c r="E2466">
        <v>407.48001098632813</v>
      </c>
      <c r="F2466">
        <v>64294200</v>
      </c>
      <c r="G2466" s="2" t="s">
        <v>16</v>
      </c>
      <c r="H2466">
        <v>3.275398690529352</v>
      </c>
      <c r="I2466">
        <v>163.7205794966699</v>
      </c>
      <c r="J2466">
        <v>383.10140075683591</v>
      </c>
      <c r="K2466">
        <v>2.6401274319415835</v>
      </c>
      <c r="L2466">
        <v>0</v>
      </c>
      <c r="M2466" t="str">
        <f>VLOOKUP(fact_daily_prices[[#This Row],[Ticker]], dim_company[], 2, FALSE)</f>
        <v>Tesla Inc.</v>
      </c>
      <c r="N2466" t="str">
        <f>VLOOKUP(fact_daily_prices[[#This Row],[Ticker]], dim_company[], 3, FALSE)</f>
        <v>Consumer Discretionary</v>
      </c>
    </row>
    <row r="2467" spans="1:14" x14ac:dyDescent="0.3">
      <c r="A2467" s="1">
        <v>46150</v>
      </c>
      <c r="B2467">
        <v>428.35000610351563</v>
      </c>
      <c r="C2467">
        <v>431.20001220703131</v>
      </c>
      <c r="D2467">
        <v>416.3900146484375</v>
      </c>
      <c r="E2467">
        <v>416.48001098632813</v>
      </c>
      <c r="F2467">
        <v>65050000</v>
      </c>
      <c r="G2467" s="2" t="s">
        <v>16</v>
      </c>
      <c r="H2467">
        <v>4.0214665764012114</v>
      </c>
      <c r="I2467">
        <v>170.30454787981887</v>
      </c>
      <c r="J2467">
        <v>383.32040100097657</v>
      </c>
      <c r="K2467">
        <v>2.6243071085440315</v>
      </c>
      <c r="L2467">
        <v>0</v>
      </c>
      <c r="M2467" t="str">
        <f>VLOOKUP(fact_daily_prices[[#This Row],[Ticker]], dim_company[], 2, FALSE)</f>
        <v>Tesla Inc.</v>
      </c>
      <c r="N2467" t="str">
        <f>VLOOKUP(fact_daily_prices[[#This Row],[Ticker]], dim_company[], 3, FALSE)</f>
        <v>Consumer Discretionary</v>
      </c>
    </row>
    <row r="2468" spans="1:14" x14ac:dyDescent="0.3">
      <c r="A2468" s="1">
        <v>46153</v>
      </c>
      <c r="B2468">
        <v>445</v>
      </c>
      <c r="C2468">
        <v>449.16000366210938</v>
      </c>
      <c r="D2468">
        <v>416.79998779296881</v>
      </c>
      <c r="E2468">
        <v>422.16000366210938</v>
      </c>
      <c r="F2468">
        <v>78376100</v>
      </c>
      <c r="G2468" s="2" t="s">
        <v>16</v>
      </c>
      <c r="H2468">
        <v>3.8870068073398656</v>
      </c>
      <c r="I2468">
        <v>176.92429724911679</v>
      </c>
      <c r="J2468">
        <v>384.17020080566408</v>
      </c>
      <c r="K2468">
        <v>2.6197665577692844</v>
      </c>
      <c r="L2468">
        <v>0</v>
      </c>
      <c r="M2468" t="str">
        <f>VLOOKUP(fact_daily_prices[[#This Row],[Ticker]], dim_company[], 2, FALSE)</f>
        <v>Tesla Inc.</v>
      </c>
      <c r="N2468" t="str">
        <f>VLOOKUP(fact_daily_prices[[#This Row],[Ticker]], dim_company[], 3, FALSE)</f>
        <v>Consumer Discretionary</v>
      </c>
    </row>
    <row r="2469" spans="1:14" x14ac:dyDescent="0.3">
      <c r="A2469" s="1">
        <v>46154</v>
      </c>
      <c r="B2469">
        <v>433.45001220703131</v>
      </c>
      <c r="C2469">
        <v>447.79998779296881</v>
      </c>
      <c r="D2469">
        <v>422.260009765625</v>
      </c>
      <c r="E2469">
        <v>441.41000366210938</v>
      </c>
      <c r="F2469">
        <v>60569300</v>
      </c>
      <c r="G2469" s="2" t="s">
        <v>16</v>
      </c>
      <c r="H2469">
        <v>-2.5955028748244291</v>
      </c>
      <c r="I2469">
        <v>172.33222202775303</v>
      </c>
      <c r="J2469">
        <v>384.77280090332033</v>
      </c>
      <c r="K2469">
        <v>2.6865397404222646</v>
      </c>
      <c r="L2469">
        <v>0</v>
      </c>
      <c r="M2469" t="str">
        <f>VLOOKUP(fact_daily_prices[[#This Row],[Ticker]], dim_company[], 2, FALSE)</f>
        <v>Tesla Inc.</v>
      </c>
      <c r="N2469" t="str">
        <f>VLOOKUP(fact_daily_prices[[#This Row],[Ticker]], dim_company[], 3, FALSE)</f>
        <v>Consumer Discretionary</v>
      </c>
    </row>
    <row r="2470" spans="1:14" x14ac:dyDescent="0.3">
      <c r="A2470" s="1">
        <v>46155</v>
      </c>
      <c r="B2470">
        <v>445.26998901367188</v>
      </c>
      <c r="C2470">
        <v>453.39999389648438</v>
      </c>
      <c r="D2470">
        <v>430.20999145507813</v>
      </c>
      <c r="E2470">
        <v>436.67001342773438</v>
      </c>
      <c r="F2470">
        <v>68283200</v>
      </c>
      <c r="G2470" s="2" t="s">
        <v>16</v>
      </c>
      <c r="H2470">
        <v>2.7269526989873283</v>
      </c>
      <c r="I2470">
        <v>177.03164020756373</v>
      </c>
      <c r="J2470">
        <v>385.82960083007811</v>
      </c>
      <c r="K2470">
        <v>2.6861450217211575</v>
      </c>
      <c r="L2470">
        <v>0</v>
      </c>
      <c r="M2470" t="str">
        <f>VLOOKUP(fact_daily_prices[[#This Row],[Ticker]], dim_company[], 2, FALSE)</f>
        <v>Tesla Inc.</v>
      </c>
      <c r="N2470" t="str">
        <f>VLOOKUP(fact_daily_prices[[#This Row],[Ticker]], dim_company[], 3, FALSE)</f>
        <v>Consumer Discretionary</v>
      </c>
    </row>
    <row r="2471" spans="1:14" x14ac:dyDescent="0.3">
      <c r="A2471" s="1">
        <v>46156</v>
      </c>
      <c r="B2471">
        <v>443.29998779296881</v>
      </c>
      <c r="C2471">
        <v>451.98001098632813</v>
      </c>
      <c r="D2471">
        <v>441.16000366210938</v>
      </c>
      <c r="E2471">
        <v>446.489990234375</v>
      </c>
      <c r="F2471">
        <v>46070400</v>
      </c>
      <c r="G2471" s="2" t="s">
        <v>16</v>
      </c>
      <c r="H2471">
        <v>-0.44242847470292723</v>
      </c>
      <c r="I2471">
        <v>176.24840182205182</v>
      </c>
      <c r="J2471">
        <v>386.57680053710936</v>
      </c>
      <c r="K2471">
        <v>2.6679814370940371</v>
      </c>
      <c r="L2471">
        <v>0</v>
      </c>
      <c r="M2471" t="str">
        <f>VLOOKUP(fact_daily_prices[[#This Row],[Ticker]], dim_company[], 2, FALSE)</f>
        <v>Tesla Inc.</v>
      </c>
      <c r="N2471" t="str">
        <f>VLOOKUP(fact_daily_prices[[#This Row],[Ticker]], dim_company[], 3, FALSE)</f>
        <v>Consumer Discretionary</v>
      </c>
    </row>
    <row r="2472" spans="1:14" x14ac:dyDescent="0.3">
      <c r="A2472" s="1">
        <v>46157</v>
      </c>
      <c r="B2472">
        <v>422.239990234375</v>
      </c>
      <c r="C2472">
        <v>434.66000366210938</v>
      </c>
      <c r="D2472">
        <v>422</v>
      </c>
      <c r="E2472">
        <v>433.98001098632813</v>
      </c>
      <c r="F2472">
        <v>52688700</v>
      </c>
      <c r="G2472" s="2" t="s">
        <v>16</v>
      </c>
      <c r="H2472">
        <v>-4.7507327179150067</v>
      </c>
      <c r="I2472">
        <v>167.87531133188929</v>
      </c>
      <c r="J2472">
        <v>386.91060058593752</v>
      </c>
      <c r="K2472">
        <v>2.6186716025346852</v>
      </c>
      <c r="L2472">
        <v>0</v>
      </c>
      <c r="M2472" t="str">
        <f>VLOOKUP(fact_daily_prices[[#This Row],[Ticker]], dim_company[], 2, FALSE)</f>
        <v>Tesla Inc.</v>
      </c>
      <c r="N2472" t="str">
        <f>VLOOKUP(fact_daily_prices[[#This Row],[Ticker]], dim_company[], 3, FALSE)</f>
        <v>Consumer Discretionary</v>
      </c>
    </row>
    <row r="2473" spans="1:14" x14ac:dyDescent="0.3">
      <c r="A2473" s="1">
        <v>46160</v>
      </c>
      <c r="B2473">
        <v>409.989990234375</v>
      </c>
      <c r="C2473">
        <v>421.1300048828125</v>
      </c>
      <c r="D2473">
        <v>405.32998657226563</v>
      </c>
      <c r="E2473">
        <v>419.26998901367188</v>
      </c>
      <c r="F2473">
        <v>52474200</v>
      </c>
      <c r="G2473" s="2" t="s">
        <v>16</v>
      </c>
      <c r="H2473">
        <v>-2.9011937010514632</v>
      </c>
      <c r="I2473">
        <v>163.00492337390799</v>
      </c>
      <c r="J2473">
        <v>387.17580017089841</v>
      </c>
      <c r="K2473">
        <v>2.6487300468739212</v>
      </c>
      <c r="L2473">
        <v>0</v>
      </c>
      <c r="M2473" t="str">
        <f>VLOOKUP(fact_daily_prices[[#This Row],[Ticker]], dim_company[], 2, FALSE)</f>
        <v>Tesla Inc.</v>
      </c>
      <c r="N2473" t="str">
        <f>VLOOKUP(fact_daily_prices[[#This Row],[Ticker]], dim_company[], 3, FALSE)</f>
        <v>Consumer Discretionary</v>
      </c>
    </row>
    <row r="2474" spans="1:14" x14ac:dyDescent="0.3">
      <c r="A2474" s="1">
        <v>46161</v>
      </c>
      <c r="B2474">
        <v>404.1099853515625</v>
      </c>
      <c r="C2474">
        <v>405.6300048828125</v>
      </c>
      <c r="D2474">
        <v>393.6300048828125</v>
      </c>
      <c r="E2474">
        <v>403.16000366210938</v>
      </c>
      <c r="F2474">
        <v>46500600</v>
      </c>
      <c r="G2474" s="2" t="s">
        <v>16</v>
      </c>
      <c r="H2474">
        <v>-1.4341825466156255</v>
      </c>
      <c r="I2474">
        <v>160.66713521275523</v>
      </c>
      <c r="J2474">
        <v>387.28440002441408</v>
      </c>
      <c r="K2474">
        <v>2.6399835365722515</v>
      </c>
      <c r="L2474">
        <v>0</v>
      </c>
      <c r="M2474" t="str">
        <f>VLOOKUP(fact_daily_prices[[#This Row],[Ticker]], dim_company[], 2, FALSE)</f>
        <v>Tesla Inc.</v>
      </c>
      <c r="N2474" t="str">
        <f>VLOOKUP(fact_daily_prices[[#This Row],[Ticker]], dim_company[], 3, FALSE)</f>
        <v>Consumer Discretionary</v>
      </c>
    </row>
    <row r="2475" spans="1:14" x14ac:dyDescent="0.3">
      <c r="A2475" s="1">
        <v>46162</v>
      </c>
      <c r="B2475">
        <v>417.260009765625</v>
      </c>
      <c r="C2475">
        <v>417.45999145507813</v>
      </c>
      <c r="D2475">
        <v>406.3900146484375</v>
      </c>
      <c r="E2475">
        <v>407.60000610351563</v>
      </c>
      <c r="F2475">
        <v>45294700</v>
      </c>
      <c r="G2475" s="2" t="s">
        <v>16</v>
      </c>
      <c r="H2475">
        <v>3.2540706467875102</v>
      </c>
      <c r="I2475">
        <v>165.89535729874788</v>
      </c>
      <c r="J2475">
        <v>387.64480041503913</v>
      </c>
      <c r="K2475">
        <v>2.6686014173431709</v>
      </c>
      <c r="L2475">
        <v>0</v>
      </c>
      <c r="M2475" t="str">
        <f>VLOOKUP(fact_daily_prices[[#This Row],[Ticker]], dim_company[], 2, FALSE)</f>
        <v>Tesla Inc.</v>
      </c>
      <c r="N2475" t="str">
        <f>VLOOKUP(fact_daily_prices[[#This Row],[Ticker]], dim_company[], 3, FALSE)</f>
        <v>Consumer Discretionary</v>
      </c>
    </row>
    <row r="2476" spans="1:14" x14ac:dyDescent="0.3">
      <c r="A2476" s="1">
        <v>46163</v>
      </c>
      <c r="B2476">
        <v>417.85000610351563</v>
      </c>
      <c r="C2476">
        <v>426.95001220703131</v>
      </c>
      <c r="D2476">
        <v>412.89999389648438</v>
      </c>
      <c r="E2476">
        <v>422.17999267578131</v>
      </c>
      <c r="F2476">
        <v>42636900</v>
      </c>
      <c r="G2476" s="2" t="s">
        <v>16</v>
      </c>
      <c r="H2476">
        <v>0.14139776735901943</v>
      </c>
      <c r="I2476">
        <v>166.12992963012059</v>
      </c>
      <c r="J2476">
        <v>387.845400390625</v>
      </c>
      <c r="K2476">
        <v>2.6704593433351911</v>
      </c>
      <c r="L2476">
        <v>0</v>
      </c>
      <c r="M2476" t="str">
        <f>VLOOKUP(fact_daily_prices[[#This Row],[Ticker]], dim_company[], 2, FALSE)</f>
        <v>Tesla Inc.</v>
      </c>
      <c r="N2476" t="str">
        <f>VLOOKUP(fact_daily_prices[[#This Row],[Ticker]], dim_company[], 3, FALSE)</f>
        <v>Consumer Discretionary</v>
      </c>
    </row>
    <row r="2477" spans="1:14" x14ac:dyDescent="0.3">
      <c r="A2477" s="1">
        <v>46164</v>
      </c>
      <c r="B2477">
        <v>426.010009765625</v>
      </c>
      <c r="C2477">
        <v>431.510009765625</v>
      </c>
      <c r="D2477">
        <v>420.510009765625</v>
      </c>
      <c r="E2477">
        <v>422.67001342773438</v>
      </c>
      <c r="F2477">
        <v>46104700</v>
      </c>
      <c r="G2477" s="2" t="s">
        <v>16</v>
      </c>
      <c r="H2477">
        <v>1.9528547428303344</v>
      </c>
      <c r="I2477">
        <v>169.37420584016311</v>
      </c>
      <c r="J2477">
        <v>388.46540039062501</v>
      </c>
      <c r="K2477">
        <v>2.6803157511730564</v>
      </c>
      <c r="L2477">
        <v>0</v>
      </c>
      <c r="M2477" t="str">
        <f>VLOOKUP(fact_daily_prices[[#This Row],[Ticker]], dim_company[], 2, FALSE)</f>
        <v>Tesla Inc.</v>
      </c>
      <c r="N2477" t="str">
        <f>VLOOKUP(fact_daily_prices[[#This Row],[Ticker]], dim_company[], 3, FALSE)</f>
        <v>Consumer Discretionary</v>
      </c>
    </row>
    <row r="2478" spans="1:14" x14ac:dyDescent="0.3">
      <c r="A2478" s="1">
        <v>46168</v>
      </c>
      <c r="B2478">
        <v>433.58999633789063</v>
      </c>
      <c r="C2478">
        <v>435.20001220703131</v>
      </c>
      <c r="D2478">
        <v>426.1199951171875</v>
      </c>
      <c r="E2478">
        <v>430.260009765625</v>
      </c>
      <c r="F2478">
        <v>45658900</v>
      </c>
      <c r="G2478" s="2" t="s">
        <v>16</v>
      </c>
      <c r="H2478">
        <v>1.7792977626126305</v>
      </c>
      <c r="I2478">
        <v>172.38787729512006</v>
      </c>
      <c r="J2478">
        <v>389.31320007324223</v>
      </c>
      <c r="K2478">
        <v>2.6870933814939364</v>
      </c>
      <c r="L2478">
        <v>0</v>
      </c>
      <c r="M2478" t="str">
        <f>VLOOKUP(fact_daily_prices[[#This Row],[Ticker]], dim_company[], 2, FALSE)</f>
        <v>Tesla Inc.</v>
      </c>
      <c r="N2478" t="str">
        <f>VLOOKUP(fact_daily_prices[[#This Row],[Ticker]], dim_company[], 3, FALSE)</f>
        <v>Consumer Discretionary</v>
      </c>
    </row>
    <row r="2479" spans="1:14" x14ac:dyDescent="0.3">
      <c r="A2479" s="1">
        <v>46169</v>
      </c>
      <c r="B2479">
        <v>440.3599853515625</v>
      </c>
      <c r="C2479">
        <v>445.60000610351563</v>
      </c>
      <c r="D2479">
        <v>435.51998901367188</v>
      </c>
      <c r="E2479">
        <v>442.8900146484375</v>
      </c>
      <c r="F2479">
        <v>44656500</v>
      </c>
      <c r="G2479" s="2" t="s">
        <v>16</v>
      </c>
      <c r="H2479">
        <v>1.5613803526030035</v>
      </c>
      <c r="I2479">
        <v>175.07950774147542</v>
      </c>
      <c r="J2479">
        <v>390.20919982910158</v>
      </c>
      <c r="K2479">
        <v>2.6467016264450365</v>
      </c>
      <c r="L2479">
        <v>0</v>
      </c>
      <c r="M2479" t="str">
        <f>VLOOKUP(fact_daily_prices[[#This Row],[Ticker]], dim_company[], 2, FALSE)</f>
        <v>Tesla Inc.</v>
      </c>
      <c r="N2479" t="str">
        <f>VLOOKUP(fact_daily_prices[[#This Row],[Ticker]], dim_company[], 3, FALSE)</f>
        <v>Consumer Discretionary</v>
      </c>
    </row>
    <row r="2480" spans="1:14" x14ac:dyDescent="0.3">
      <c r="A2480" s="1">
        <v>46170</v>
      </c>
      <c r="B2480">
        <v>442.10000610351563</v>
      </c>
      <c r="C2480">
        <v>443.95999145507813</v>
      </c>
      <c r="D2480">
        <v>436.29998779296881</v>
      </c>
      <c r="E2480">
        <v>437.6199951171875</v>
      </c>
      <c r="F2480">
        <v>32435000</v>
      </c>
      <c r="G2480" s="2" t="s">
        <v>16</v>
      </c>
      <c r="H2480">
        <v>0.3951359818862743</v>
      </c>
      <c r="I2480">
        <v>175.77130987347132</v>
      </c>
      <c r="J2480">
        <v>391.06580017089846</v>
      </c>
      <c r="K2480">
        <v>2.2981661050459019</v>
      </c>
      <c r="L2480">
        <v>0</v>
      </c>
      <c r="M2480" t="str">
        <f>VLOOKUP(fact_daily_prices[[#This Row],[Ticker]], dim_company[], 2, FALSE)</f>
        <v>Tesla Inc.</v>
      </c>
      <c r="N2480" t="str">
        <f>VLOOKUP(fact_daily_prices[[#This Row],[Ticker]], dim_company[], 3, FALSE)</f>
        <v>Consumer Discretionary</v>
      </c>
    </row>
    <row r="2481" spans="1:14" x14ac:dyDescent="0.3">
      <c r="A2481" s="1">
        <v>46171</v>
      </c>
      <c r="B2481">
        <v>435.79000854492188</v>
      </c>
      <c r="C2481">
        <v>441.07000732421881</v>
      </c>
      <c r="D2481">
        <v>428.1400146484375</v>
      </c>
      <c r="E2481">
        <v>439.85000610351563</v>
      </c>
      <c r="F2481">
        <v>45176800</v>
      </c>
      <c r="G2481" s="2" t="s">
        <v>16</v>
      </c>
      <c r="H2481">
        <v>-1.4272783242432974</v>
      </c>
      <c r="I2481">
        <v>173.26256406740879</v>
      </c>
      <c r="J2481">
        <v>391.92600036621093</v>
      </c>
      <c r="K2481">
        <v>2.3129190579554009</v>
      </c>
      <c r="L2481">
        <v>0</v>
      </c>
      <c r="M2481" t="str">
        <f>VLOOKUP(fact_daily_prices[[#This Row],[Ticker]], dim_company[], 2, FALSE)</f>
        <v>Tesla Inc.</v>
      </c>
      <c r="N2481" t="str">
        <f>VLOOKUP(fact_daily_prices[[#This Row],[Ticker]], dim_company[], 3, FALSE)</f>
        <v>Consumer Discretionary</v>
      </c>
    </row>
    <row r="2482" spans="1:14" x14ac:dyDescent="0.3">
      <c r="A2482" s="1">
        <v>46174</v>
      </c>
      <c r="B2482">
        <v>415.8800048828125</v>
      </c>
      <c r="C2482">
        <v>429.60000610351563</v>
      </c>
      <c r="D2482">
        <v>415.42999267578131</v>
      </c>
      <c r="E2482">
        <v>427.489990234375</v>
      </c>
      <c r="F2482">
        <v>44937900</v>
      </c>
      <c r="G2482" s="2" t="s">
        <v>16</v>
      </c>
      <c r="H2482">
        <v>-4.568715039747639</v>
      </c>
      <c r="I2482">
        <v>165.34669124460868</v>
      </c>
      <c r="J2482">
        <v>392.63760070800782</v>
      </c>
      <c r="K2482">
        <v>2.4294942960312249</v>
      </c>
      <c r="L2482">
        <v>0</v>
      </c>
      <c r="M2482" t="str">
        <f>VLOOKUP(fact_daily_prices[[#This Row],[Ticker]], dim_company[], 2, FALSE)</f>
        <v>Tesla Inc.</v>
      </c>
      <c r="N2482" t="str">
        <f>VLOOKUP(fact_daily_prices[[#This Row],[Ticker]], dim_company[], 3, FALSE)</f>
        <v>Consumer Discretionary</v>
      </c>
    </row>
    <row r="2483" spans="1:14" x14ac:dyDescent="0.3">
      <c r="A2483" s="1">
        <v>46175</v>
      </c>
      <c r="B2483">
        <v>423.739990234375</v>
      </c>
      <c r="C2483">
        <v>424.42001342773438</v>
      </c>
      <c r="D2483">
        <v>413.64999389648438</v>
      </c>
      <c r="E2483">
        <v>418.22000122070313</v>
      </c>
      <c r="F2483">
        <v>37596000</v>
      </c>
      <c r="G2483" s="2" t="s">
        <v>16</v>
      </c>
      <c r="H2483">
        <v>1.8899647156100485</v>
      </c>
      <c r="I2483">
        <v>168.47168536756047</v>
      </c>
      <c r="J2483">
        <v>393.75320068359378</v>
      </c>
      <c r="K2483">
        <v>2.4134839750998891</v>
      </c>
      <c r="L2483">
        <v>0</v>
      </c>
      <c r="M2483" t="str">
        <f>VLOOKUP(fact_daily_prices[[#This Row],[Ticker]], dim_company[], 2, FALSE)</f>
        <v>Tesla Inc.</v>
      </c>
      <c r="N2483" t="str">
        <f>VLOOKUP(fact_daily_prices[[#This Row],[Ticker]], dim_company[], 3, FALSE)</f>
        <v>Consumer Discretionary</v>
      </c>
    </row>
    <row r="2484" spans="1:14" x14ac:dyDescent="0.3">
      <c r="A2484" s="1">
        <v>46176</v>
      </c>
      <c r="B2484">
        <v>423.70001220703131</v>
      </c>
      <c r="C2484">
        <v>433.60000610351563</v>
      </c>
      <c r="D2484">
        <v>416</v>
      </c>
      <c r="E2484">
        <v>418.70001220703131</v>
      </c>
      <c r="F2484">
        <v>44500700</v>
      </c>
      <c r="G2484" s="2" t="s">
        <v>16</v>
      </c>
      <c r="H2484">
        <v>-9.4345655980210275E-3</v>
      </c>
      <c r="I2484">
        <v>168.45579079589038</v>
      </c>
      <c r="J2484">
        <v>394.61020080566408</v>
      </c>
      <c r="K2484">
        <v>2.3894139507203591</v>
      </c>
      <c r="L2484">
        <v>0</v>
      </c>
      <c r="M2484" t="str">
        <f>VLOOKUP(fact_daily_prices[[#This Row],[Ticker]], dim_company[], 2, FALSE)</f>
        <v>Tesla Inc.</v>
      </c>
      <c r="N2484" t="str">
        <f>VLOOKUP(fact_daily_prices[[#This Row],[Ticker]], dim_company[], 3, FALSE)</f>
        <v>Consumer Discretionary</v>
      </c>
    </row>
    <row r="2485" spans="1:14" x14ac:dyDescent="0.3">
      <c r="A2485" s="1">
        <v>46177</v>
      </c>
      <c r="B2485">
        <v>418.45001220703131</v>
      </c>
      <c r="C2485">
        <v>426.35000610351563</v>
      </c>
      <c r="D2485">
        <v>417.16000366210938</v>
      </c>
      <c r="E2485">
        <v>419.83999633789063</v>
      </c>
      <c r="F2485">
        <v>35323300</v>
      </c>
      <c r="G2485" s="2" t="s">
        <v>16</v>
      </c>
      <c r="H2485">
        <v>-1.2390842220308285</v>
      </c>
      <c r="I2485">
        <v>166.36848167104125</v>
      </c>
      <c r="J2485">
        <v>395.3186010742188</v>
      </c>
      <c r="K2485">
        <v>2.4066580134348605</v>
      </c>
      <c r="L2485">
        <v>0</v>
      </c>
      <c r="M2485" t="str">
        <f>VLOOKUP(fact_daily_prices[[#This Row],[Ticker]], dim_company[], 2, FALSE)</f>
        <v>Tesla Inc.</v>
      </c>
      <c r="N2485" t="str">
        <f>VLOOKUP(fact_daily_prices[[#This Row],[Ticker]], dim_company[], 3, FALSE)</f>
        <v>Consumer Discretionary</v>
      </c>
    </row>
    <row r="2486" spans="1:14" x14ac:dyDescent="0.3">
      <c r="A2486" s="1">
        <v>46178</v>
      </c>
      <c r="B2486">
        <v>391</v>
      </c>
      <c r="C2486">
        <v>424.67999267578131</v>
      </c>
      <c r="D2486">
        <v>388.58999633789063</v>
      </c>
      <c r="E2486">
        <v>420.5</v>
      </c>
      <c r="F2486">
        <v>63420200</v>
      </c>
      <c r="G2486" s="2" t="s">
        <v>16</v>
      </c>
      <c r="H2486">
        <v>-6.5599262531387375</v>
      </c>
      <c r="I2486">
        <v>155.45483196495431</v>
      </c>
      <c r="J2486">
        <v>395.4196008300782</v>
      </c>
      <c r="K2486">
        <v>2.6244498319737009</v>
      </c>
      <c r="L2486">
        <v>0</v>
      </c>
      <c r="M2486" t="str">
        <f>VLOOKUP(fact_daily_prices[[#This Row],[Ticker]], dim_company[], 2, FALSE)</f>
        <v>Tesla Inc.</v>
      </c>
      <c r="N2486" t="str">
        <f>VLOOKUP(fact_daily_prices[[#This Row],[Ticker]], dim_company[], 3, FALSE)</f>
        <v>Consumer Discretionary</v>
      </c>
    </row>
    <row r="2487" spans="1:14" x14ac:dyDescent="0.3">
      <c r="A2487" s="1">
        <v>46181</v>
      </c>
      <c r="B2487">
        <v>408.95001220703131</v>
      </c>
      <c r="C2487">
        <v>412.94000244140631</v>
      </c>
      <c r="D2487">
        <v>394.72000122070313</v>
      </c>
      <c r="E2487">
        <v>396.32998657226563</v>
      </c>
      <c r="F2487">
        <v>50328800</v>
      </c>
      <c r="G2487" s="2" t="s">
        <v>16</v>
      </c>
      <c r="H2487">
        <v>4.5907959608775695</v>
      </c>
      <c r="I2487">
        <v>162.59144611179045</v>
      </c>
      <c r="J2487">
        <v>396.15640136718758</v>
      </c>
      <c r="K2487">
        <v>2.744255539368639</v>
      </c>
      <c r="L2487">
        <v>0</v>
      </c>
      <c r="M2487" t="str">
        <f>VLOOKUP(fact_daily_prices[[#This Row],[Ticker]], dim_company[], 2, FALSE)</f>
        <v>Tesla Inc.</v>
      </c>
      <c r="N2487" t="str">
        <f>VLOOKUP(fact_daily_prices[[#This Row],[Ticker]], dim_company[], 3, FALSE)</f>
        <v>Consumer Discretionary</v>
      </c>
    </row>
    <row r="2488" spans="1:14" x14ac:dyDescent="0.3">
      <c r="A2488" s="1">
        <v>46182</v>
      </c>
      <c r="B2488">
        <v>396.67999267578131</v>
      </c>
      <c r="C2488">
        <v>418.5</v>
      </c>
      <c r="D2488">
        <v>384.239990234375</v>
      </c>
      <c r="E2488">
        <v>411.02999877929688</v>
      </c>
      <c r="F2488">
        <v>59940200</v>
      </c>
      <c r="G2488" s="2" t="s">
        <v>16</v>
      </c>
      <c r="H2488">
        <v>-3.0003714793969238</v>
      </c>
      <c r="I2488">
        <v>157.71309873471327</v>
      </c>
      <c r="J2488">
        <v>396.85340148925786</v>
      </c>
      <c r="K2488">
        <v>2.8091391153720484</v>
      </c>
      <c r="L2488">
        <v>0</v>
      </c>
      <c r="M2488" t="str">
        <f>VLOOKUP(fact_daily_prices[[#This Row],[Ticker]], dim_company[], 2, FALSE)</f>
        <v>Tesla Inc.</v>
      </c>
      <c r="N2488" t="str">
        <f>VLOOKUP(fact_daily_prices[[#This Row],[Ticker]], dim_company[], 3, FALSE)</f>
        <v>Consumer Discretionary</v>
      </c>
    </row>
    <row r="2489" spans="1:14" x14ac:dyDescent="0.3">
      <c r="A2489" s="1">
        <v>46183</v>
      </c>
      <c r="B2489">
        <v>381.58999633789063</v>
      </c>
      <c r="C2489">
        <v>397.08999633789063</v>
      </c>
      <c r="D2489">
        <v>380.14999389648438</v>
      </c>
      <c r="E2489">
        <v>391.54000854492188</v>
      </c>
      <c r="F2489">
        <v>49695600</v>
      </c>
      <c r="G2489" s="2" t="s">
        <v>16</v>
      </c>
      <c r="H2489">
        <v>-3.8040729596927725</v>
      </c>
      <c r="I2489">
        <v>151.71357739185248</v>
      </c>
      <c r="J2489">
        <v>397.24860168457036</v>
      </c>
      <c r="K2489">
        <v>2.898915936264685</v>
      </c>
      <c r="L2489">
        <v>0</v>
      </c>
      <c r="M2489" t="str">
        <f>VLOOKUP(fact_daily_prices[[#This Row],[Ticker]], dim_company[], 2, FALSE)</f>
        <v>Tesla Inc.</v>
      </c>
      <c r="N2489" t="str">
        <f>VLOOKUP(fact_daily_prices[[#This Row],[Ticker]], dim_company[], 3, FALSE)</f>
        <v>Consumer Discretionary</v>
      </c>
    </row>
    <row r="2490" spans="1:14" x14ac:dyDescent="0.3">
      <c r="A2490" s="1">
        <v>46184</v>
      </c>
      <c r="B2490">
        <v>399.14999389648438</v>
      </c>
      <c r="C2490">
        <v>399.54000854492188</v>
      </c>
      <c r="D2490">
        <v>380.66000366210938</v>
      </c>
      <c r="E2490">
        <v>388.27999877929688</v>
      </c>
      <c r="F2490">
        <v>45324300</v>
      </c>
      <c r="G2490" s="2" t="s">
        <v>16</v>
      </c>
      <c r="H2490">
        <v>4.6017971453959916</v>
      </c>
      <c r="I2490">
        <v>158.69512846544887</v>
      </c>
      <c r="J2490">
        <v>397.79660156250009</v>
      </c>
      <c r="K2490">
        <v>3.0067487991833155</v>
      </c>
      <c r="L2490">
        <v>0</v>
      </c>
      <c r="M2490" t="str">
        <f>VLOOKUP(fact_daily_prices[[#This Row],[Ticker]], dim_company[], 2, FALSE)</f>
        <v>Tesla Inc.</v>
      </c>
      <c r="N2490" t="str">
        <f>VLOOKUP(fact_daily_prices[[#This Row],[Ticker]], dim_company[], 3, FALSE)</f>
        <v>Consumer Discretionary</v>
      </c>
    </row>
    <row r="2491" spans="1:14" x14ac:dyDescent="0.3">
      <c r="A2491" s="1">
        <v>46185</v>
      </c>
      <c r="B2491">
        <v>406.42999267578131</v>
      </c>
      <c r="C2491">
        <v>406.67999267578131</v>
      </c>
      <c r="D2491">
        <v>386.760009765625</v>
      </c>
      <c r="E2491">
        <v>399.489990234375</v>
      </c>
      <c r="F2491">
        <v>63514500</v>
      </c>
      <c r="G2491" s="2" t="s">
        <v>16</v>
      </c>
      <c r="H2491">
        <v>1.8238754580026217</v>
      </c>
      <c r="I2491">
        <v>161.58952996657595</v>
      </c>
      <c r="J2491">
        <v>398.30000122070322</v>
      </c>
      <c r="K2491">
        <v>2.99527420459418</v>
      </c>
      <c r="L2491">
        <v>0</v>
      </c>
      <c r="M2491" t="str">
        <f>VLOOKUP(fact_daily_prices[[#This Row],[Ticker]], dim_company[], 2, FALSE)</f>
        <v>Tesla Inc.</v>
      </c>
      <c r="N2491" t="str">
        <f>VLOOKUP(fact_daily_prices[[#This Row],[Ticker]], dim_company[], 3, FALSE)</f>
        <v>Consumer Discretionary</v>
      </c>
    </row>
    <row r="2492" spans="1:14" x14ac:dyDescent="0.3">
      <c r="A2492" s="1">
        <v>46188</v>
      </c>
      <c r="B2492">
        <v>411.14999389648438</v>
      </c>
      <c r="C2492">
        <v>416</v>
      </c>
      <c r="D2492">
        <v>407.10000610351563</v>
      </c>
      <c r="E2492">
        <v>412.3699951171875</v>
      </c>
      <c r="F2492">
        <v>45620500</v>
      </c>
      <c r="G2492" s="2" t="s">
        <v>16</v>
      </c>
      <c r="H2492">
        <v>1.1613319158924273</v>
      </c>
      <c r="I2492">
        <v>163.46612075081833</v>
      </c>
      <c r="J2492">
        <v>399.3112011718751</v>
      </c>
      <c r="K2492">
        <v>2.972918528727591</v>
      </c>
      <c r="L2492">
        <v>0</v>
      </c>
      <c r="M2492" t="str">
        <f>VLOOKUP(fact_daily_prices[[#This Row],[Ticker]], dim_company[], 2, FALSE)</f>
        <v>Tesla Inc.</v>
      </c>
      <c r="N2492" t="str">
        <f>VLOOKUP(fact_daily_prices[[#This Row],[Ticker]], dim_company[], 3, FALSE)</f>
        <v>Consumer Discretionary</v>
      </c>
    </row>
    <row r="2493" spans="1:14" x14ac:dyDescent="0.3">
      <c r="A2493" s="1">
        <v>46189</v>
      </c>
      <c r="B2493">
        <v>404.66000366210938</v>
      </c>
      <c r="C2493">
        <v>412.42001342773438</v>
      </c>
      <c r="D2493">
        <v>400.54000854492188</v>
      </c>
      <c r="E2493">
        <v>404.1099853515625</v>
      </c>
      <c r="F2493">
        <v>40255500</v>
      </c>
      <c r="G2493" s="2" t="s">
        <v>16</v>
      </c>
      <c r="H2493">
        <v>-1.5784969793794956</v>
      </c>
      <c r="I2493">
        <v>160.88581297245781</v>
      </c>
      <c r="J2493">
        <v>400.34800109863289</v>
      </c>
      <c r="K2493">
        <v>2.9904008136823692</v>
      </c>
      <c r="L2493">
        <v>0</v>
      </c>
      <c r="M2493" t="str">
        <f>VLOOKUP(fact_daily_prices[[#This Row],[Ticker]], dim_company[], 2, FALSE)</f>
        <v>Tesla Inc.</v>
      </c>
      <c r="N2493" t="str">
        <f>VLOOKUP(fact_daily_prices[[#This Row],[Ticker]], dim_company[], 3, FALSE)</f>
        <v>Consumer Discretionary</v>
      </c>
    </row>
    <row r="2494" spans="1:14" x14ac:dyDescent="0.3">
      <c r="A2494" s="1">
        <v>46190</v>
      </c>
      <c r="B2494">
        <v>396.3800048828125</v>
      </c>
      <c r="C2494">
        <v>405.94000244140631</v>
      </c>
      <c r="D2494">
        <v>393.760009765625</v>
      </c>
      <c r="E2494">
        <v>401.52999877929688</v>
      </c>
      <c r="F2494">
        <v>43534300</v>
      </c>
      <c r="G2494" s="2" t="s">
        <v>16</v>
      </c>
      <c r="H2494">
        <v>-2.0461618900717071</v>
      </c>
      <c r="I2494">
        <v>157.59382878088331</v>
      </c>
      <c r="J2494">
        <v>401.34260131835947</v>
      </c>
      <c r="K2494">
        <v>3.0125557843552708</v>
      </c>
      <c r="L2494">
        <v>0</v>
      </c>
      <c r="M2494" t="str">
        <f>VLOOKUP(fact_daily_prices[[#This Row],[Ticker]], dim_company[], 2, FALSE)</f>
        <v>Tesla Inc.</v>
      </c>
      <c r="N2494" t="str">
        <f>VLOOKUP(fact_daily_prices[[#This Row],[Ticker]], dim_company[], 3, FALSE)</f>
        <v>Consumer Discretionary</v>
      </c>
    </row>
    <row r="2495" spans="1:14" x14ac:dyDescent="0.3">
      <c r="A2495" s="1">
        <v>46191</v>
      </c>
      <c r="B2495">
        <v>400.489990234375</v>
      </c>
      <c r="C2495">
        <v>402.51998901367188</v>
      </c>
      <c r="D2495">
        <v>384.70001220703131</v>
      </c>
      <c r="E2495">
        <v>398.10000610351563</v>
      </c>
      <c r="F2495">
        <v>58384700</v>
      </c>
      <c r="G2495" s="2" t="s">
        <v>16</v>
      </c>
      <c r="H2495">
        <v>1.0368800900483421</v>
      </c>
      <c r="I2495">
        <v>159.22788781465718</v>
      </c>
      <c r="J2495">
        <v>402.48740112304694</v>
      </c>
      <c r="K2495">
        <v>2.9867914518168974</v>
      </c>
      <c r="L2495">
        <v>0</v>
      </c>
      <c r="M2495" t="str">
        <f>VLOOKUP(fact_daily_prices[[#This Row],[Ticker]], dim_company[], 2, FALSE)</f>
        <v>Tesla Inc.</v>
      </c>
      <c r="N2495" t="str">
        <f>VLOOKUP(fact_daily_prices[[#This Row],[Ticker]], dim_company[], 3, FALSE)</f>
        <v>Consumer Discretionary</v>
      </c>
    </row>
    <row r="2496" spans="1:14" x14ac:dyDescent="0.3">
      <c r="A2496" s="1">
        <v>46195</v>
      </c>
      <c r="B2496">
        <v>405.04998779296881</v>
      </c>
      <c r="C2496">
        <v>414.75</v>
      </c>
      <c r="D2496">
        <v>394.39999389648438</v>
      </c>
      <c r="E2496">
        <v>394.85000610351563</v>
      </c>
      <c r="F2496">
        <v>47819500</v>
      </c>
      <c r="G2496" s="2" t="s">
        <v>16</v>
      </c>
      <c r="H2496">
        <v>1.1386046267786165</v>
      </c>
      <c r="I2496">
        <v>161.04086391243672</v>
      </c>
      <c r="J2496">
        <v>403.67600097656259</v>
      </c>
      <c r="K2496">
        <v>2.9324046644138693</v>
      </c>
      <c r="L2496">
        <v>0</v>
      </c>
      <c r="M2496" t="str">
        <f>VLOOKUP(fact_daily_prices[[#This Row],[Ticker]], dim_company[], 2, FALSE)</f>
        <v>Tesla Inc.</v>
      </c>
      <c r="N2496" t="str">
        <f>VLOOKUP(fact_daily_prices[[#This Row],[Ticker]], dim_company[], 3, FALSE)</f>
        <v>Consumer Discretionary</v>
      </c>
    </row>
    <row r="2497" spans="1:14" x14ac:dyDescent="0.3">
      <c r="A2497" s="1">
        <v>46196</v>
      </c>
      <c r="B2497">
        <v>381.6099853515625</v>
      </c>
      <c r="C2497">
        <v>392.8699951171875</v>
      </c>
      <c r="D2497">
        <v>379.05999755859375</v>
      </c>
      <c r="E2497">
        <v>392.6099853515625</v>
      </c>
      <c r="F2497">
        <v>50420200</v>
      </c>
      <c r="G2497" s="2" t="s">
        <v>16</v>
      </c>
      <c r="H2497">
        <v>-5.7869406611084973</v>
      </c>
      <c r="I2497">
        <v>151.72152467768754</v>
      </c>
      <c r="J2497">
        <v>404.32920043945319</v>
      </c>
      <c r="K2497">
        <v>3.0127455680098381</v>
      </c>
      <c r="L2497">
        <v>0</v>
      </c>
      <c r="M2497" t="str">
        <f>VLOOKUP(fact_daily_prices[[#This Row],[Ticker]], dim_company[], 2, FALSE)</f>
        <v>Tesla Inc.</v>
      </c>
      <c r="N2497" t="str">
        <f>VLOOKUP(fact_daily_prices[[#This Row],[Ticker]], dim_company[], 3, FALSE)</f>
        <v>Consumer Discretionary</v>
      </c>
    </row>
    <row r="2498" spans="1:14" x14ac:dyDescent="0.3">
      <c r="A2498" s="1">
        <v>46197</v>
      </c>
      <c r="B2498">
        <v>375.52999877929688</v>
      </c>
      <c r="C2498">
        <v>384.57998657226563</v>
      </c>
      <c r="D2498">
        <v>373.04998779296881</v>
      </c>
      <c r="E2498">
        <v>380.07998657226563</v>
      </c>
      <c r="F2498">
        <v>37081400</v>
      </c>
      <c r="G2498" s="2" t="s">
        <v>16</v>
      </c>
      <c r="H2498">
        <v>-1.5932461952389398</v>
      </c>
      <c r="I2498">
        <v>149.30422725840177</v>
      </c>
      <c r="J2498">
        <v>404.79140014648442</v>
      </c>
      <c r="K2498">
        <v>2.9120629802178306</v>
      </c>
      <c r="L2498">
        <v>0</v>
      </c>
      <c r="M2498" t="str">
        <f>VLOOKUP(fact_daily_prices[[#This Row],[Ticker]], dim_company[], 2, FALSE)</f>
        <v>Tesla Inc.</v>
      </c>
      <c r="N2498" t="str">
        <f>VLOOKUP(fact_daily_prices[[#This Row],[Ticker]], dim_company[], 3, FALSE)</f>
        <v>Consumer Discretionary</v>
      </c>
    </row>
    <row r="2499" spans="1:14" x14ac:dyDescent="0.3">
      <c r="A2499" s="1">
        <v>46198</v>
      </c>
      <c r="B2499">
        <v>375.1199951171875</v>
      </c>
      <c r="C2499">
        <v>379.1199951171875</v>
      </c>
      <c r="D2499">
        <v>371.22000122070313</v>
      </c>
      <c r="E2499">
        <v>375.26998901367188</v>
      </c>
      <c r="F2499">
        <v>30138800</v>
      </c>
      <c r="G2499" s="2" t="s">
        <v>16</v>
      </c>
      <c r="H2499">
        <v>-0.109180002514353</v>
      </c>
      <c r="I2499">
        <v>149.14121689932702</v>
      </c>
      <c r="J2499">
        <v>405.00979980468759</v>
      </c>
      <c r="K2499">
        <v>2.8863056140102228</v>
      </c>
      <c r="L2499">
        <v>0</v>
      </c>
      <c r="M2499" t="str">
        <f>VLOOKUP(fact_daily_prices[[#This Row],[Ticker]], dim_company[], 2, FALSE)</f>
        <v>Tesla Inc.</v>
      </c>
      <c r="N2499" t="str">
        <f>VLOOKUP(fact_daily_prices[[#This Row],[Ticker]], dim_company[], 3, FALSE)</f>
        <v>Consumer Discretionary</v>
      </c>
    </row>
    <row r="2500" spans="1:14" x14ac:dyDescent="0.3">
      <c r="A2500" s="1">
        <v>46199</v>
      </c>
      <c r="B2500">
        <v>379.70999145507813</v>
      </c>
      <c r="C2500">
        <v>387.79998779296881</v>
      </c>
      <c r="D2500">
        <v>368.60000610351563</v>
      </c>
      <c r="E2500">
        <v>370.14999389648438</v>
      </c>
      <c r="F2500">
        <v>53434100</v>
      </c>
      <c r="G2500" s="2" t="s">
        <v>16</v>
      </c>
      <c r="H2500">
        <v>1.2236074849746981</v>
      </c>
      <c r="I2500">
        <v>150.96611999248952</v>
      </c>
      <c r="J2500">
        <v>404.76499938964849</v>
      </c>
      <c r="K2500">
        <v>2.8421397865914595</v>
      </c>
      <c r="L2500">
        <v>0</v>
      </c>
      <c r="M2500" t="str">
        <f>VLOOKUP(fact_daily_prices[[#This Row],[Ticker]], dim_company[], 2, FALSE)</f>
        <v>Tesla Inc.</v>
      </c>
      <c r="N2500" t="str">
        <f>VLOOKUP(fact_daily_prices[[#This Row],[Ticker]], dim_company[], 3, FALSE)</f>
        <v>Consumer Discretionary</v>
      </c>
    </row>
    <row r="2501" spans="1:14" x14ac:dyDescent="0.3">
      <c r="A2501" s="1">
        <v>46202</v>
      </c>
      <c r="B2501">
        <v>411.83999633789063</v>
      </c>
      <c r="C2501">
        <v>413.26998901367188</v>
      </c>
      <c r="D2501">
        <v>379.29998779296881</v>
      </c>
      <c r="E2501">
        <v>381.79000854492188</v>
      </c>
      <c r="F2501">
        <v>57645800</v>
      </c>
      <c r="G2501" s="2" t="s">
        <v>16</v>
      </c>
      <c r="H2501">
        <v>8.4617222632693547</v>
      </c>
      <c r="I2501">
        <v>163.74045377788792</v>
      </c>
      <c r="J2501">
        <v>405.22379943847665</v>
      </c>
      <c r="K2501">
        <v>3.2786852816725638</v>
      </c>
      <c r="L2501">
        <v>0</v>
      </c>
      <c r="M2501" t="str">
        <f>VLOOKUP(fact_daily_prices[[#This Row],[Ticker]], dim_company[], 2, FALSE)</f>
        <v>Tesla Inc.</v>
      </c>
      <c r="N2501" t="str">
        <f>VLOOKUP(fact_daily_prices[[#This Row],[Ticker]], dim_company[], 3, FALSE)</f>
        <v>Consumer Discretionary</v>
      </c>
    </row>
    <row r="2502" spans="1:14" x14ac:dyDescent="0.3">
      <c r="A2502" s="1">
        <v>46203</v>
      </c>
      <c r="B2502">
        <v>420.60000610351563</v>
      </c>
      <c r="C2502">
        <v>424.54000854492188</v>
      </c>
      <c r="D2502">
        <v>406</v>
      </c>
      <c r="E2502">
        <v>406</v>
      </c>
      <c r="F2502">
        <v>43385600</v>
      </c>
      <c r="G2502" s="2" t="s">
        <v>16</v>
      </c>
      <c r="H2502">
        <v>2.1270420171716209</v>
      </c>
      <c r="I2502">
        <v>167.22328202885109</v>
      </c>
      <c r="J2502">
        <v>405.6233996582032</v>
      </c>
      <c r="K2502">
        <v>3.1882288978761748</v>
      </c>
      <c r="L2502">
        <v>0</v>
      </c>
      <c r="M2502" t="str">
        <f>VLOOKUP(fact_daily_prices[[#This Row],[Ticker]], dim_company[], 2, FALSE)</f>
        <v>Tesla Inc.</v>
      </c>
      <c r="N2502" t="str">
        <f>VLOOKUP(fact_daily_prices[[#This Row],[Ticker]], dim_company[], 3, FALSE)</f>
        <v>Consumer Discretionary</v>
      </c>
    </row>
    <row r="2503" spans="1:14" x14ac:dyDescent="0.3">
      <c r="A2503" s="1">
        <v>46204</v>
      </c>
      <c r="B2503">
        <v>425.29998779296881</v>
      </c>
      <c r="C2503">
        <v>432.8599853515625</v>
      </c>
      <c r="D2503">
        <v>418.08999633789063</v>
      </c>
      <c r="E2503">
        <v>421.45999145507813</v>
      </c>
      <c r="F2503">
        <v>40127900</v>
      </c>
      <c r="G2503" s="2" t="s">
        <v>16</v>
      </c>
      <c r="H2503">
        <v>1.1174468904540324</v>
      </c>
      <c r="I2503">
        <v>169.09191339399766</v>
      </c>
      <c r="J2503">
        <v>406.2793994140626</v>
      </c>
      <c r="K2503">
        <v>3.144689072526107</v>
      </c>
      <c r="L2503">
        <v>0</v>
      </c>
      <c r="M2503" t="str">
        <f>VLOOKUP(fact_daily_prices[[#This Row],[Ticker]], dim_company[], 2, FALSE)</f>
        <v>Tesla Inc.</v>
      </c>
      <c r="N2503" t="str">
        <f>VLOOKUP(fact_daily_prices[[#This Row],[Ticker]], dim_company[], 3, FALSE)</f>
        <v>Consumer Discretionary</v>
      </c>
    </row>
    <row r="2504" spans="1:14" x14ac:dyDescent="0.3">
      <c r="A2504" s="1">
        <v>46205</v>
      </c>
      <c r="B2504">
        <v>393.45001220703131</v>
      </c>
      <c r="C2504">
        <v>432.35000610351563</v>
      </c>
      <c r="D2504">
        <v>389.29998779296881</v>
      </c>
      <c r="E2504">
        <v>428.010009765625</v>
      </c>
      <c r="F2504">
        <v>73717700</v>
      </c>
      <c r="G2504" s="2" t="s">
        <v>16</v>
      </c>
      <c r="H2504">
        <v>-7.4888258876324549</v>
      </c>
      <c r="I2504">
        <v>156.42891440985491</v>
      </c>
      <c r="J2504">
        <v>406.41999938964852</v>
      </c>
      <c r="K2504">
        <v>3.4323276172422124</v>
      </c>
      <c r="L2504">
        <v>0</v>
      </c>
      <c r="M2504" t="str">
        <f>VLOOKUP(fact_daily_prices[[#This Row],[Ticker]], dim_company[], 2, FALSE)</f>
        <v>Tesla Inc.</v>
      </c>
      <c r="N2504" t="str">
        <f>VLOOKUP(fact_daily_prices[[#This Row],[Ticker]], dim_company[], 3, FALSE)</f>
        <v>Consumer Discretionary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C08D-9156-4820-B41B-88DEC987793E}">
  <dimension ref="A1:G732"/>
  <sheetViews>
    <sheetView workbookViewId="0"/>
  </sheetViews>
  <sheetFormatPr defaultRowHeight="14.4" x14ac:dyDescent="0.3"/>
  <cols>
    <col min="1" max="1" width="10.33203125" bestFit="1" customWidth="1"/>
    <col min="2" max="2" width="7.109375" bestFit="1" customWidth="1"/>
    <col min="3" max="3" width="9.88671875" bestFit="1" customWidth="1"/>
    <col min="4" max="4" width="13.21875" bestFit="1" customWidth="1"/>
    <col min="5" max="5" width="9" bestFit="1" customWidth="1"/>
    <col min="6" max="6" width="12.88671875" bestFit="1" customWidth="1"/>
    <col min="7" max="7" width="11.33203125" bestFit="1" customWidth="1"/>
  </cols>
  <sheetData>
    <row r="1" spans="1:7" x14ac:dyDescent="0.3">
      <c r="A1" t="s">
        <v>0</v>
      </c>
      <c r="B1" t="s">
        <v>17</v>
      </c>
      <c r="C1" t="s">
        <v>18</v>
      </c>
      <c r="D1" t="s">
        <v>19</v>
      </c>
      <c r="E1" t="s">
        <v>20</v>
      </c>
      <c r="F1" t="s">
        <v>21</v>
      </c>
      <c r="G1" t="s">
        <v>22</v>
      </c>
    </row>
    <row r="2" spans="1:7" x14ac:dyDescent="0.3">
      <c r="A2" s="1">
        <v>45476</v>
      </c>
      <c r="B2">
        <v>2024</v>
      </c>
      <c r="C2" s="2" t="s">
        <v>23</v>
      </c>
      <c r="D2">
        <v>7</v>
      </c>
      <c r="E2" s="2" t="s">
        <v>24</v>
      </c>
      <c r="F2" s="1">
        <v>45474</v>
      </c>
      <c r="G2" s="2" t="s">
        <v>25</v>
      </c>
    </row>
    <row r="3" spans="1:7" x14ac:dyDescent="0.3">
      <c r="A3" s="1">
        <v>45477</v>
      </c>
      <c r="B3">
        <v>2024</v>
      </c>
      <c r="C3" s="2" t="s">
        <v>23</v>
      </c>
      <c r="D3">
        <v>7</v>
      </c>
      <c r="E3" s="2" t="s">
        <v>24</v>
      </c>
      <c r="F3" s="1">
        <v>45474</v>
      </c>
      <c r="G3" s="2" t="s">
        <v>26</v>
      </c>
    </row>
    <row r="4" spans="1:7" x14ac:dyDescent="0.3">
      <c r="A4" s="1">
        <v>45478</v>
      </c>
      <c r="B4">
        <v>2024</v>
      </c>
      <c r="C4" s="2" t="s">
        <v>23</v>
      </c>
      <c r="D4">
        <v>7</v>
      </c>
      <c r="E4" s="2" t="s">
        <v>24</v>
      </c>
      <c r="F4" s="1">
        <v>45474</v>
      </c>
      <c r="G4" s="2" t="s">
        <v>27</v>
      </c>
    </row>
    <row r="5" spans="1:7" x14ac:dyDescent="0.3">
      <c r="A5" s="1">
        <v>45479</v>
      </c>
      <c r="B5">
        <v>2024</v>
      </c>
      <c r="C5" s="2" t="s">
        <v>23</v>
      </c>
      <c r="D5">
        <v>7</v>
      </c>
      <c r="E5" s="2" t="s">
        <v>24</v>
      </c>
      <c r="F5" s="1">
        <v>45474</v>
      </c>
      <c r="G5" s="2" t="s">
        <v>28</v>
      </c>
    </row>
    <row r="6" spans="1:7" x14ac:dyDescent="0.3">
      <c r="A6" s="1">
        <v>45480</v>
      </c>
      <c r="B6">
        <v>2024</v>
      </c>
      <c r="C6" s="2" t="s">
        <v>23</v>
      </c>
      <c r="D6">
        <v>7</v>
      </c>
      <c r="E6" s="2" t="s">
        <v>24</v>
      </c>
      <c r="F6" s="1">
        <v>45474</v>
      </c>
      <c r="G6" s="2" t="s">
        <v>29</v>
      </c>
    </row>
    <row r="7" spans="1:7" x14ac:dyDescent="0.3">
      <c r="A7" s="1">
        <v>45481</v>
      </c>
      <c r="B7">
        <v>2024</v>
      </c>
      <c r="C7" s="2" t="s">
        <v>23</v>
      </c>
      <c r="D7">
        <v>7</v>
      </c>
      <c r="E7" s="2" t="s">
        <v>24</v>
      </c>
      <c r="F7" s="1">
        <v>45474</v>
      </c>
      <c r="G7" s="2" t="s">
        <v>30</v>
      </c>
    </row>
    <row r="8" spans="1:7" x14ac:dyDescent="0.3">
      <c r="A8" s="1">
        <v>45482</v>
      </c>
      <c r="B8">
        <v>2024</v>
      </c>
      <c r="C8" s="2" t="s">
        <v>23</v>
      </c>
      <c r="D8">
        <v>7</v>
      </c>
      <c r="E8" s="2" t="s">
        <v>24</v>
      </c>
      <c r="F8" s="1">
        <v>45474</v>
      </c>
      <c r="G8" s="2" t="s">
        <v>31</v>
      </c>
    </row>
    <row r="9" spans="1:7" x14ac:dyDescent="0.3">
      <c r="A9" s="1">
        <v>45483</v>
      </c>
      <c r="B9">
        <v>2024</v>
      </c>
      <c r="C9" s="2" t="s">
        <v>23</v>
      </c>
      <c r="D9">
        <v>7</v>
      </c>
      <c r="E9" s="2" t="s">
        <v>24</v>
      </c>
      <c r="F9" s="1">
        <v>45474</v>
      </c>
      <c r="G9" s="2" t="s">
        <v>25</v>
      </c>
    </row>
    <row r="10" spans="1:7" x14ac:dyDescent="0.3">
      <c r="A10" s="1">
        <v>45484</v>
      </c>
      <c r="B10">
        <v>2024</v>
      </c>
      <c r="C10" s="2" t="s">
        <v>23</v>
      </c>
      <c r="D10">
        <v>7</v>
      </c>
      <c r="E10" s="2" t="s">
        <v>24</v>
      </c>
      <c r="F10" s="1">
        <v>45474</v>
      </c>
      <c r="G10" s="2" t="s">
        <v>26</v>
      </c>
    </row>
    <row r="11" spans="1:7" x14ac:dyDescent="0.3">
      <c r="A11" s="1">
        <v>45485</v>
      </c>
      <c r="B11">
        <v>2024</v>
      </c>
      <c r="C11" s="2" t="s">
        <v>23</v>
      </c>
      <c r="D11">
        <v>7</v>
      </c>
      <c r="E11" s="2" t="s">
        <v>24</v>
      </c>
      <c r="F11" s="1">
        <v>45474</v>
      </c>
      <c r="G11" s="2" t="s">
        <v>27</v>
      </c>
    </row>
    <row r="12" spans="1:7" x14ac:dyDescent="0.3">
      <c r="A12" s="1">
        <v>45486</v>
      </c>
      <c r="B12">
        <v>2024</v>
      </c>
      <c r="C12" s="2" t="s">
        <v>23</v>
      </c>
      <c r="D12">
        <v>7</v>
      </c>
      <c r="E12" s="2" t="s">
        <v>24</v>
      </c>
      <c r="F12" s="1">
        <v>45474</v>
      </c>
      <c r="G12" s="2" t="s">
        <v>28</v>
      </c>
    </row>
    <row r="13" spans="1:7" x14ac:dyDescent="0.3">
      <c r="A13" s="1">
        <v>45487</v>
      </c>
      <c r="B13">
        <v>2024</v>
      </c>
      <c r="C13" s="2" t="s">
        <v>23</v>
      </c>
      <c r="D13">
        <v>7</v>
      </c>
      <c r="E13" s="2" t="s">
        <v>24</v>
      </c>
      <c r="F13" s="1">
        <v>45474</v>
      </c>
      <c r="G13" s="2" t="s">
        <v>29</v>
      </c>
    </row>
    <row r="14" spans="1:7" x14ac:dyDescent="0.3">
      <c r="A14" s="1">
        <v>45488</v>
      </c>
      <c r="B14">
        <v>2024</v>
      </c>
      <c r="C14" s="2" t="s">
        <v>23</v>
      </c>
      <c r="D14">
        <v>7</v>
      </c>
      <c r="E14" s="2" t="s">
        <v>24</v>
      </c>
      <c r="F14" s="1">
        <v>45474</v>
      </c>
      <c r="G14" s="2" t="s">
        <v>30</v>
      </c>
    </row>
    <row r="15" spans="1:7" x14ac:dyDescent="0.3">
      <c r="A15" s="1">
        <v>45489</v>
      </c>
      <c r="B15">
        <v>2024</v>
      </c>
      <c r="C15" s="2" t="s">
        <v>23</v>
      </c>
      <c r="D15">
        <v>7</v>
      </c>
      <c r="E15" s="2" t="s">
        <v>24</v>
      </c>
      <c r="F15" s="1">
        <v>45474</v>
      </c>
      <c r="G15" s="2" t="s">
        <v>31</v>
      </c>
    </row>
    <row r="16" spans="1:7" x14ac:dyDescent="0.3">
      <c r="A16" s="1">
        <v>45490</v>
      </c>
      <c r="B16">
        <v>2024</v>
      </c>
      <c r="C16" s="2" t="s">
        <v>23</v>
      </c>
      <c r="D16">
        <v>7</v>
      </c>
      <c r="E16" s="2" t="s">
        <v>24</v>
      </c>
      <c r="F16" s="1">
        <v>45474</v>
      </c>
      <c r="G16" s="2" t="s">
        <v>25</v>
      </c>
    </row>
    <row r="17" spans="1:7" x14ac:dyDescent="0.3">
      <c r="A17" s="1">
        <v>45491</v>
      </c>
      <c r="B17">
        <v>2024</v>
      </c>
      <c r="C17" s="2" t="s">
        <v>23</v>
      </c>
      <c r="D17">
        <v>7</v>
      </c>
      <c r="E17" s="2" t="s">
        <v>24</v>
      </c>
      <c r="F17" s="1">
        <v>45474</v>
      </c>
      <c r="G17" s="2" t="s">
        <v>26</v>
      </c>
    </row>
    <row r="18" spans="1:7" x14ac:dyDescent="0.3">
      <c r="A18" s="1">
        <v>45492</v>
      </c>
      <c r="B18">
        <v>2024</v>
      </c>
      <c r="C18" s="2" t="s">
        <v>23</v>
      </c>
      <c r="D18">
        <v>7</v>
      </c>
      <c r="E18" s="2" t="s">
        <v>24</v>
      </c>
      <c r="F18" s="1">
        <v>45474</v>
      </c>
      <c r="G18" s="2" t="s">
        <v>27</v>
      </c>
    </row>
    <row r="19" spans="1:7" x14ac:dyDescent="0.3">
      <c r="A19" s="1">
        <v>45493</v>
      </c>
      <c r="B19">
        <v>2024</v>
      </c>
      <c r="C19" s="2" t="s">
        <v>23</v>
      </c>
      <c r="D19">
        <v>7</v>
      </c>
      <c r="E19" s="2" t="s">
        <v>24</v>
      </c>
      <c r="F19" s="1">
        <v>45474</v>
      </c>
      <c r="G19" s="2" t="s">
        <v>28</v>
      </c>
    </row>
    <row r="20" spans="1:7" x14ac:dyDescent="0.3">
      <c r="A20" s="1">
        <v>45494</v>
      </c>
      <c r="B20">
        <v>2024</v>
      </c>
      <c r="C20" s="2" t="s">
        <v>23</v>
      </c>
      <c r="D20">
        <v>7</v>
      </c>
      <c r="E20" s="2" t="s">
        <v>24</v>
      </c>
      <c r="F20" s="1">
        <v>45474</v>
      </c>
      <c r="G20" s="2" t="s">
        <v>29</v>
      </c>
    </row>
    <row r="21" spans="1:7" x14ac:dyDescent="0.3">
      <c r="A21" s="1">
        <v>45495</v>
      </c>
      <c r="B21">
        <v>2024</v>
      </c>
      <c r="C21" s="2" t="s">
        <v>23</v>
      </c>
      <c r="D21">
        <v>7</v>
      </c>
      <c r="E21" s="2" t="s">
        <v>24</v>
      </c>
      <c r="F21" s="1">
        <v>45474</v>
      </c>
      <c r="G21" s="2" t="s">
        <v>30</v>
      </c>
    </row>
    <row r="22" spans="1:7" x14ac:dyDescent="0.3">
      <c r="A22" s="1">
        <v>45496</v>
      </c>
      <c r="B22">
        <v>2024</v>
      </c>
      <c r="C22" s="2" t="s">
        <v>23</v>
      </c>
      <c r="D22">
        <v>7</v>
      </c>
      <c r="E22" s="2" t="s">
        <v>24</v>
      </c>
      <c r="F22" s="1">
        <v>45474</v>
      </c>
      <c r="G22" s="2" t="s">
        <v>31</v>
      </c>
    </row>
    <row r="23" spans="1:7" x14ac:dyDescent="0.3">
      <c r="A23" s="1">
        <v>45497</v>
      </c>
      <c r="B23">
        <v>2024</v>
      </c>
      <c r="C23" s="2" t="s">
        <v>23</v>
      </c>
      <c r="D23">
        <v>7</v>
      </c>
      <c r="E23" s="2" t="s">
        <v>24</v>
      </c>
      <c r="F23" s="1">
        <v>45474</v>
      </c>
      <c r="G23" s="2" t="s">
        <v>25</v>
      </c>
    </row>
    <row r="24" spans="1:7" x14ac:dyDescent="0.3">
      <c r="A24" s="1">
        <v>45498</v>
      </c>
      <c r="B24">
        <v>2024</v>
      </c>
      <c r="C24" s="2" t="s">
        <v>23</v>
      </c>
      <c r="D24">
        <v>7</v>
      </c>
      <c r="E24" s="2" t="s">
        <v>24</v>
      </c>
      <c r="F24" s="1">
        <v>45474</v>
      </c>
      <c r="G24" s="2" t="s">
        <v>26</v>
      </c>
    </row>
    <row r="25" spans="1:7" x14ac:dyDescent="0.3">
      <c r="A25" s="1">
        <v>45499</v>
      </c>
      <c r="B25">
        <v>2024</v>
      </c>
      <c r="C25" s="2" t="s">
        <v>23</v>
      </c>
      <c r="D25">
        <v>7</v>
      </c>
      <c r="E25" s="2" t="s">
        <v>24</v>
      </c>
      <c r="F25" s="1">
        <v>45474</v>
      </c>
      <c r="G25" s="2" t="s">
        <v>27</v>
      </c>
    </row>
    <row r="26" spans="1:7" x14ac:dyDescent="0.3">
      <c r="A26" s="1">
        <v>45500</v>
      </c>
      <c r="B26">
        <v>2024</v>
      </c>
      <c r="C26" s="2" t="s">
        <v>23</v>
      </c>
      <c r="D26">
        <v>7</v>
      </c>
      <c r="E26" s="2" t="s">
        <v>24</v>
      </c>
      <c r="F26" s="1">
        <v>45474</v>
      </c>
      <c r="G26" s="2" t="s">
        <v>28</v>
      </c>
    </row>
    <row r="27" spans="1:7" x14ac:dyDescent="0.3">
      <c r="A27" s="1">
        <v>45501</v>
      </c>
      <c r="B27">
        <v>2024</v>
      </c>
      <c r="C27" s="2" t="s">
        <v>23</v>
      </c>
      <c r="D27">
        <v>7</v>
      </c>
      <c r="E27" s="2" t="s">
        <v>24</v>
      </c>
      <c r="F27" s="1">
        <v>45474</v>
      </c>
      <c r="G27" s="2" t="s">
        <v>29</v>
      </c>
    </row>
    <row r="28" spans="1:7" x14ac:dyDescent="0.3">
      <c r="A28" s="1">
        <v>45502</v>
      </c>
      <c r="B28">
        <v>2024</v>
      </c>
      <c r="C28" s="2" t="s">
        <v>23</v>
      </c>
      <c r="D28">
        <v>7</v>
      </c>
      <c r="E28" s="2" t="s">
        <v>24</v>
      </c>
      <c r="F28" s="1">
        <v>45474</v>
      </c>
      <c r="G28" s="2" t="s">
        <v>30</v>
      </c>
    </row>
    <row r="29" spans="1:7" x14ac:dyDescent="0.3">
      <c r="A29" s="1">
        <v>45503</v>
      </c>
      <c r="B29">
        <v>2024</v>
      </c>
      <c r="C29" s="2" t="s">
        <v>23</v>
      </c>
      <c r="D29">
        <v>7</v>
      </c>
      <c r="E29" s="2" t="s">
        <v>24</v>
      </c>
      <c r="F29" s="1">
        <v>45474</v>
      </c>
      <c r="G29" s="2" t="s">
        <v>31</v>
      </c>
    </row>
    <row r="30" spans="1:7" x14ac:dyDescent="0.3">
      <c r="A30" s="1">
        <v>45504</v>
      </c>
      <c r="B30">
        <v>2024</v>
      </c>
      <c r="C30" s="2" t="s">
        <v>23</v>
      </c>
      <c r="D30">
        <v>7</v>
      </c>
      <c r="E30" s="2" t="s">
        <v>24</v>
      </c>
      <c r="F30" s="1">
        <v>45474</v>
      </c>
      <c r="G30" s="2" t="s">
        <v>25</v>
      </c>
    </row>
    <row r="31" spans="1:7" x14ac:dyDescent="0.3">
      <c r="A31" s="1">
        <v>45505</v>
      </c>
      <c r="B31">
        <v>2024</v>
      </c>
      <c r="C31" s="2" t="s">
        <v>23</v>
      </c>
      <c r="D31">
        <v>8</v>
      </c>
      <c r="E31" s="2" t="s">
        <v>32</v>
      </c>
      <c r="F31" s="1">
        <v>45505</v>
      </c>
      <c r="G31" s="2" t="s">
        <v>26</v>
      </c>
    </row>
    <row r="32" spans="1:7" x14ac:dyDescent="0.3">
      <c r="A32" s="1">
        <v>45506</v>
      </c>
      <c r="B32">
        <v>2024</v>
      </c>
      <c r="C32" s="2" t="s">
        <v>23</v>
      </c>
      <c r="D32">
        <v>8</v>
      </c>
      <c r="E32" s="2" t="s">
        <v>32</v>
      </c>
      <c r="F32" s="1">
        <v>45505</v>
      </c>
      <c r="G32" s="2" t="s">
        <v>27</v>
      </c>
    </row>
    <row r="33" spans="1:7" x14ac:dyDescent="0.3">
      <c r="A33" s="1">
        <v>45507</v>
      </c>
      <c r="B33">
        <v>2024</v>
      </c>
      <c r="C33" s="2" t="s">
        <v>23</v>
      </c>
      <c r="D33">
        <v>8</v>
      </c>
      <c r="E33" s="2" t="s">
        <v>32</v>
      </c>
      <c r="F33" s="1">
        <v>45505</v>
      </c>
      <c r="G33" s="2" t="s">
        <v>28</v>
      </c>
    </row>
    <row r="34" spans="1:7" x14ac:dyDescent="0.3">
      <c r="A34" s="1">
        <v>45508</v>
      </c>
      <c r="B34">
        <v>2024</v>
      </c>
      <c r="C34" s="2" t="s">
        <v>23</v>
      </c>
      <c r="D34">
        <v>8</v>
      </c>
      <c r="E34" s="2" t="s">
        <v>32</v>
      </c>
      <c r="F34" s="1">
        <v>45505</v>
      </c>
      <c r="G34" s="2" t="s">
        <v>29</v>
      </c>
    </row>
    <row r="35" spans="1:7" x14ac:dyDescent="0.3">
      <c r="A35" s="1">
        <v>45509</v>
      </c>
      <c r="B35">
        <v>2024</v>
      </c>
      <c r="C35" s="2" t="s">
        <v>23</v>
      </c>
      <c r="D35">
        <v>8</v>
      </c>
      <c r="E35" s="2" t="s">
        <v>32</v>
      </c>
      <c r="F35" s="1">
        <v>45505</v>
      </c>
      <c r="G35" s="2" t="s">
        <v>30</v>
      </c>
    </row>
    <row r="36" spans="1:7" x14ac:dyDescent="0.3">
      <c r="A36" s="1">
        <v>45510</v>
      </c>
      <c r="B36">
        <v>2024</v>
      </c>
      <c r="C36" s="2" t="s">
        <v>23</v>
      </c>
      <c r="D36">
        <v>8</v>
      </c>
      <c r="E36" s="2" t="s">
        <v>32</v>
      </c>
      <c r="F36" s="1">
        <v>45505</v>
      </c>
      <c r="G36" s="2" t="s">
        <v>31</v>
      </c>
    </row>
    <row r="37" spans="1:7" x14ac:dyDescent="0.3">
      <c r="A37" s="1">
        <v>45511</v>
      </c>
      <c r="B37">
        <v>2024</v>
      </c>
      <c r="C37" s="2" t="s">
        <v>23</v>
      </c>
      <c r="D37">
        <v>8</v>
      </c>
      <c r="E37" s="2" t="s">
        <v>32</v>
      </c>
      <c r="F37" s="1">
        <v>45505</v>
      </c>
      <c r="G37" s="2" t="s">
        <v>25</v>
      </c>
    </row>
    <row r="38" spans="1:7" x14ac:dyDescent="0.3">
      <c r="A38" s="1">
        <v>45512</v>
      </c>
      <c r="B38">
        <v>2024</v>
      </c>
      <c r="C38" s="2" t="s">
        <v>23</v>
      </c>
      <c r="D38">
        <v>8</v>
      </c>
      <c r="E38" s="2" t="s">
        <v>32</v>
      </c>
      <c r="F38" s="1">
        <v>45505</v>
      </c>
      <c r="G38" s="2" t="s">
        <v>26</v>
      </c>
    </row>
    <row r="39" spans="1:7" x14ac:dyDescent="0.3">
      <c r="A39" s="1">
        <v>45513</v>
      </c>
      <c r="B39">
        <v>2024</v>
      </c>
      <c r="C39" s="2" t="s">
        <v>23</v>
      </c>
      <c r="D39">
        <v>8</v>
      </c>
      <c r="E39" s="2" t="s">
        <v>32</v>
      </c>
      <c r="F39" s="1">
        <v>45505</v>
      </c>
      <c r="G39" s="2" t="s">
        <v>27</v>
      </c>
    </row>
    <row r="40" spans="1:7" x14ac:dyDescent="0.3">
      <c r="A40" s="1">
        <v>45514</v>
      </c>
      <c r="B40">
        <v>2024</v>
      </c>
      <c r="C40" s="2" t="s">
        <v>23</v>
      </c>
      <c r="D40">
        <v>8</v>
      </c>
      <c r="E40" s="2" t="s">
        <v>32</v>
      </c>
      <c r="F40" s="1">
        <v>45505</v>
      </c>
      <c r="G40" s="2" t="s">
        <v>28</v>
      </c>
    </row>
    <row r="41" spans="1:7" x14ac:dyDescent="0.3">
      <c r="A41" s="1">
        <v>45515</v>
      </c>
      <c r="B41">
        <v>2024</v>
      </c>
      <c r="C41" s="2" t="s">
        <v>23</v>
      </c>
      <c r="D41">
        <v>8</v>
      </c>
      <c r="E41" s="2" t="s">
        <v>32</v>
      </c>
      <c r="F41" s="1">
        <v>45505</v>
      </c>
      <c r="G41" s="2" t="s">
        <v>29</v>
      </c>
    </row>
    <row r="42" spans="1:7" x14ac:dyDescent="0.3">
      <c r="A42" s="1">
        <v>45516</v>
      </c>
      <c r="B42">
        <v>2024</v>
      </c>
      <c r="C42" s="2" t="s">
        <v>23</v>
      </c>
      <c r="D42">
        <v>8</v>
      </c>
      <c r="E42" s="2" t="s">
        <v>32</v>
      </c>
      <c r="F42" s="1">
        <v>45505</v>
      </c>
      <c r="G42" s="2" t="s">
        <v>30</v>
      </c>
    </row>
    <row r="43" spans="1:7" x14ac:dyDescent="0.3">
      <c r="A43" s="1">
        <v>45517</v>
      </c>
      <c r="B43">
        <v>2024</v>
      </c>
      <c r="C43" s="2" t="s">
        <v>23</v>
      </c>
      <c r="D43">
        <v>8</v>
      </c>
      <c r="E43" s="2" t="s">
        <v>32</v>
      </c>
      <c r="F43" s="1">
        <v>45505</v>
      </c>
      <c r="G43" s="2" t="s">
        <v>31</v>
      </c>
    </row>
    <row r="44" spans="1:7" x14ac:dyDescent="0.3">
      <c r="A44" s="1">
        <v>45518</v>
      </c>
      <c r="B44">
        <v>2024</v>
      </c>
      <c r="C44" s="2" t="s">
        <v>23</v>
      </c>
      <c r="D44">
        <v>8</v>
      </c>
      <c r="E44" s="2" t="s">
        <v>32</v>
      </c>
      <c r="F44" s="1">
        <v>45505</v>
      </c>
      <c r="G44" s="2" t="s">
        <v>25</v>
      </c>
    </row>
    <row r="45" spans="1:7" x14ac:dyDescent="0.3">
      <c r="A45" s="1">
        <v>45519</v>
      </c>
      <c r="B45">
        <v>2024</v>
      </c>
      <c r="C45" s="2" t="s">
        <v>23</v>
      </c>
      <c r="D45">
        <v>8</v>
      </c>
      <c r="E45" s="2" t="s">
        <v>32</v>
      </c>
      <c r="F45" s="1">
        <v>45505</v>
      </c>
      <c r="G45" s="2" t="s">
        <v>26</v>
      </c>
    </row>
    <row r="46" spans="1:7" x14ac:dyDescent="0.3">
      <c r="A46" s="1">
        <v>45520</v>
      </c>
      <c r="B46">
        <v>2024</v>
      </c>
      <c r="C46" s="2" t="s">
        <v>23</v>
      </c>
      <c r="D46">
        <v>8</v>
      </c>
      <c r="E46" s="2" t="s">
        <v>32</v>
      </c>
      <c r="F46" s="1">
        <v>45505</v>
      </c>
      <c r="G46" s="2" t="s">
        <v>27</v>
      </c>
    </row>
    <row r="47" spans="1:7" x14ac:dyDescent="0.3">
      <c r="A47" s="1">
        <v>45521</v>
      </c>
      <c r="B47">
        <v>2024</v>
      </c>
      <c r="C47" s="2" t="s">
        <v>23</v>
      </c>
      <c r="D47">
        <v>8</v>
      </c>
      <c r="E47" s="2" t="s">
        <v>32</v>
      </c>
      <c r="F47" s="1">
        <v>45505</v>
      </c>
      <c r="G47" s="2" t="s">
        <v>28</v>
      </c>
    </row>
    <row r="48" spans="1:7" x14ac:dyDescent="0.3">
      <c r="A48" s="1">
        <v>45522</v>
      </c>
      <c r="B48">
        <v>2024</v>
      </c>
      <c r="C48" s="2" t="s">
        <v>23</v>
      </c>
      <c r="D48">
        <v>8</v>
      </c>
      <c r="E48" s="2" t="s">
        <v>32</v>
      </c>
      <c r="F48" s="1">
        <v>45505</v>
      </c>
      <c r="G48" s="2" t="s">
        <v>29</v>
      </c>
    </row>
    <row r="49" spans="1:7" x14ac:dyDescent="0.3">
      <c r="A49" s="1">
        <v>45523</v>
      </c>
      <c r="B49">
        <v>2024</v>
      </c>
      <c r="C49" s="2" t="s">
        <v>23</v>
      </c>
      <c r="D49">
        <v>8</v>
      </c>
      <c r="E49" s="2" t="s">
        <v>32</v>
      </c>
      <c r="F49" s="1">
        <v>45505</v>
      </c>
      <c r="G49" s="2" t="s">
        <v>30</v>
      </c>
    </row>
    <row r="50" spans="1:7" x14ac:dyDescent="0.3">
      <c r="A50" s="1">
        <v>45524</v>
      </c>
      <c r="B50">
        <v>2024</v>
      </c>
      <c r="C50" s="2" t="s">
        <v>23</v>
      </c>
      <c r="D50">
        <v>8</v>
      </c>
      <c r="E50" s="2" t="s">
        <v>32</v>
      </c>
      <c r="F50" s="1">
        <v>45505</v>
      </c>
      <c r="G50" s="2" t="s">
        <v>31</v>
      </c>
    </row>
    <row r="51" spans="1:7" x14ac:dyDescent="0.3">
      <c r="A51" s="1">
        <v>45525</v>
      </c>
      <c r="B51">
        <v>2024</v>
      </c>
      <c r="C51" s="2" t="s">
        <v>23</v>
      </c>
      <c r="D51">
        <v>8</v>
      </c>
      <c r="E51" s="2" t="s">
        <v>32</v>
      </c>
      <c r="F51" s="1">
        <v>45505</v>
      </c>
      <c r="G51" s="2" t="s">
        <v>25</v>
      </c>
    </row>
    <row r="52" spans="1:7" x14ac:dyDescent="0.3">
      <c r="A52" s="1">
        <v>45526</v>
      </c>
      <c r="B52">
        <v>2024</v>
      </c>
      <c r="C52" s="2" t="s">
        <v>23</v>
      </c>
      <c r="D52">
        <v>8</v>
      </c>
      <c r="E52" s="2" t="s">
        <v>32</v>
      </c>
      <c r="F52" s="1">
        <v>45505</v>
      </c>
      <c r="G52" s="2" t="s">
        <v>26</v>
      </c>
    </row>
    <row r="53" spans="1:7" x14ac:dyDescent="0.3">
      <c r="A53" s="1">
        <v>45527</v>
      </c>
      <c r="B53">
        <v>2024</v>
      </c>
      <c r="C53" s="2" t="s">
        <v>23</v>
      </c>
      <c r="D53">
        <v>8</v>
      </c>
      <c r="E53" s="2" t="s">
        <v>32</v>
      </c>
      <c r="F53" s="1">
        <v>45505</v>
      </c>
      <c r="G53" s="2" t="s">
        <v>27</v>
      </c>
    </row>
    <row r="54" spans="1:7" x14ac:dyDescent="0.3">
      <c r="A54" s="1">
        <v>45528</v>
      </c>
      <c r="B54">
        <v>2024</v>
      </c>
      <c r="C54" s="2" t="s">
        <v>23</v>
      </c>
      <c r="D54">
        <v>8</v>
      </c>
      <c r="E54" s="2" t="s">
        <v>32</v>
      </c>
      <c r="F54" s="1">
        <v>45505</v>
      </c>
      <c r="G54" s="2" t="s">
        <v>28</v>
      </c>
    </row>
    <row r="55" spans="1:7" x14ac:dyDescent="0.3">
      <c r="A55" s="1">
        <v>45529</v>
      </c>
      <c r="B55">
        <v>2024</v>
      </c>
      <c r="C55" s="2" t="s">
        <v>23</v>
      </c>
      <c r="D55">
        <v>8</v>
      </c>
      <c r="E55" s="2" t="s">
        <v>32</v>
      </c>
      <c r="F55" s="1">
        <v>45505</v>
      </c>
      <c r="G55" s="2" t="s">
        <v>29</v>
      </c>
    </row>
    <row r="56" spans="1:7" x14ac:dyDescent="0.3">
      <c r="A56" s="1">
        <v>45530</v>
      </c>
      <c r="B56">
        <v>2024</v>
      </c>
      <c r="C56" s="2" t="s">
        <v>23</v>
      </c>
      <c r="D56">
        <v>8</v>
      </c>
      <c r="E56" s="2" t="s">
        <v>32</v>
      </c>
      <c r="F56" s="1">
        <v>45505</v>
      </c>
      <c r="G56" s="2" t="s">
        <v>30</v>
      </c>
    </row>
    <row r="57" spans="1:7" x14ac:dyDescent="0.3">
      <c r="A57" s="1">
        <v>45531</v>
      </c>
      <c r="B57">
        <v>2024</v>
      </c>
      <c r="C57" s="2" t="s">
        <v>23</v>
      </c>
      <c r="D57">
        <v>8</v>
      </c>
      <c r="E57" s="2" t="s">
        <v>32</v>
      </c>
      <c r="F57" s="1">
        <v>45505</v>
      </c>
      <c r="G57" s="2" t="s">
        <v>31</v>
      </c>
    </row>
    <row r="58" spans="1:7" x14ac:dyDescent="0.3">
      <c r="A58" s="1">
        <v>45532</v>
      </c>
      <c r="B58">
        <v>2024</v>
      </c>
      <c r="C58" s="2" t="s">
        <v>23</v>
      </c>
      <c r="D58">
        <v>8</v>
      </c>
      <c r="E58" s="2" t="s">
        <v>32</v>
      </c>
      <c r="F58" s="1">
        <v>45505</v>
      </c>
      <c r="G58" s="2" t="s">
        <v>25</v>
      </c>
    </row>
    <row r="59" spans="1:7" x14ac:dyDescent="0.3">
      <c r="A59" s="1">
        <v>45533</v>
      </c>
      <c r="B59">
        <v>2024</v>
      </c>
      <c r="C59" s="2" t="s">
        <v>23</v>
      </c>
      <c r="D59">
        <v>8</v>
      </c>
      <c r="E59" s="2" t="s">
        <v>32</v>
      </c>
      <c r="F59" s="1">
        <v>45505</v>
      </c>
      <c r="G59" s="2" t="s">
        <v>26</v>
      </c>
    </row>
    <row r="60" spans="1:7" x14ac:dyDescent="0.3">
      <c r="A60" s="1">
        <v>45534</v>
      </c>
      <c r="B60">
        <v>2024</v>
      </c>
      <c r="C60" s="2" t="s">
        <v>23</v>
      </c>
      <c r="D60">
        <v>8</v>
      </c>
      <c r="E60" s="2" t="s">
        <v>32</v>
      </c>
      <c r="F60" s="1">
        <v>45505</v>
      </c>
      <c r="G60" s="2" t="s">
        <v>27</v>
      </c>
    </row>
    <row r="61" spans="1:7" x14ac:dyDescent="0.3">
      <c r="A61" s="1">
        <v>45535</v>
      </c>
      <c r="B61">
        <v>2024</v>
      </c>
      <c r="C61" s="2" t="s">
        <v>23</v>
      </c>
      <c r="D61">
        <v>8</v>
      </c>
      <c r="E61" s="2" t="s">
        <v>32</v>
      </c>
      <c r="F61" s="1">
        <v>45505</v>
      </c>
      <c r="G61" s="2" t="s">
        <v>28</v>
      </c>
    </row>
    <row r="62" spans="1:7" x14ac:dyDescent="0.3">
      <c r="A62" s="1">
        <v>45536</v>
      </c>
      <c r="B62">
        <v>2024</v>
      </c>
      <c r="C62" s="2" t="s">
        <v>23</v>
      </c>
      <c r="D62">
        <v>9</v>
      </c>
      <c r="E62" s="2" t="s">
        <v>33</v>
      </c>
      <c r="F62" s="1">
        <v>45536</v>
      </c>
      <c r="G62" s="2" t="s">
        <v>29</v>
      </c>
    </row>
    <row r="63" spans="1:7" x14ac:dyDescent="0.3">
      <c r="A63" s="1">
        <v>45537</v>
      </c>
      <c r="B63">
        <v>2024</v>
      </c>
      <c r="C63" s="2" t="s">
        <v>23</v>
      </c>
      <c r="D63">
        <v>9</v>
      </c>
      <c r="E63" s="2" t="s">
        <v>33</v>
      </c>
      <c r="F63" s="1">
        <v>45536</v>
      </c>
      <c r="G63" s="2" t="s">
        <v>30</v>
      </c>
    </row>
    <row r="64" spans="1:7" x14ac:dyDescent="0.3">
      <c r="A64" s="1">
        <v>45538</v>
      </c>
      <c r="B64">
        <v>2024</v>
      </c>
      <c r="C64" s="2" t="s">
        <v>23</v>
      </c>
      <c r="D64">
        <v>9</v>
      </c>
      <c r="E64" s="2" t="s">
        <v>33</v>
      </c>
      <c r="F64" s="1">
        <v>45536</v>
      </c>
      <c r="G64" s="2" t="s">
        <v>31</v>
      </c>
    </row>
    <row r="65" spans="1:7" x14ac:dyDescent="0.3">
      <c r="A65" s="1">
        <v>45539</v>
      </c>
      <c r="B65">
        <v>2024</v>
      </c>
      <c r="C65" s="2" t="s">
        <v>23</v>
      </c>
      <c r="D65">
        <v>9</v>
      </c>
      <c r="E65" s="2" t="s">
        <v>33</v>
      </c>
      <c r="F65" s="1">
        <v>45536</v>
      </c>
      <c r="G65" s="2" t="s">
        <v>25</v>
      </c>
    </row>
    <row r="66" spans="1:7" x14ac:dyDescent="0.3">
      <c r="A66" s="1">
        <v>45540</v>
      </c>
      <c r="B66">
        <v>2024</v>
      </c>
      <c r="C66" s="2" t="s">
        <v>23</v>
      </c>
      <c r="D66">
        <v>9</v>
      </c>
      <c r="E66" s="2" t="s">
        <v>33</v>
      </c>
      <c r="F66" s="1">
        <v>45536</v>
      </c>
      <c r="G66" s="2" t="s">
        <v>26</v>
      </c>
    </row>
    <row r="67" spans="1:7" x14ac:dyDescent="0.3">
      <c r="A67" s="1">
        <v>45541</v>
      </c>
      <c r="B67">
        <v>2024</v>
      </c>
      <c r="C67" s="2" t="s">
        <v>23</v>
      </c>
      <c r="D67">
        <v>9</v>
      </c>
      <c r="E67" s="2" t="s">
        <v>33</v>
      </c>
      <c r="F67" s="1">
        <v>45536</v>
      </c>
      <c r="G67" s="2" t="s">
        <v>27</v>
      </c>
    </row>
    <row r="68" spans="1:7" x14ac:dyDescent="0.3">
      <c r="A68" s="1">
        <v>45542</v>
      </c>
      <c r="B68">
        <v>2024</v>
      </c>
      <c r="C68" s="2" t="s">
        <v>23</v>
      </c>
      <c r="D68">
        <v>9</v>
      </c>
      <c r="E68" s="2" t="s">
        <v>33</v>
      </c>
      <c r="F68" s="1">
        <v>45536</v>
      </c>
      <c r="G68" s="2" t="s">
        <v>28</v>
      </c>
    </row>
    <row r="69" spans="1:7" x14ac:dyDescent="0.3">
      <c r="A69" s="1">
        <v>45543</v>
      </c>
      <c r="B69">
        <v>2024</v>
      </c>
      <c r="C69" s="2" t="s">
        <v>23</v>
      </c>
      <c r="D69">
        <v>9</v>
      </c>
      <c r="E69" s="2" t="s">
        <v>33</v>
      </c>
      <c r="F69" s="1">
        <v>45536</v>
      </c>
      <c r="G69" s="2" t="s">
        <v>29</v>
      </c>
    </row>
    <row r="70" spans="1:7" x14ac:dyDescent="0.3">
      <c r="A70" s="1">
        <v>45544</v>
      </c>
      <c r="B70">
        <v>2024</v>
      </c>
      <c r="C70" s="2" t="s">
        <v>23</v>
      </c>
      <c r="D70">
        <v>9</v>
      </c>
      <c r="E70" s="2" t="s">
        <v>33</v>
      </c>
      <c r="F70" s="1">
        <v>45536</v>
      </c>
      <c r="G70" s="2" t="s">
        <v>30</v>
      </c>
    </row>
    <row r="71" spans="1:7" x14ac:dyDescent="0.3">
      <c r="A71" s="1">
        <v>45545</v>
      </c>
      <c r="B71">
        <v>2024</v>
      </c>
      <c r="C71" s="2" t="s">
        <v>23</v>
      </c>
      <c r="D71">
        <v>9</v>
      </c>
      <c r="E71" s="2" t="s">
        <v>33</v>
      </c>
      <c r="F71" s="1">
        <v>45536</v>
      </c>
      <c r="G71" s="2" t="s">
        <v>31</v>
      </c>
    </row>
    <row r="72" spans="1:7" x14ac:dyDescent="0.3">
      <c r="A72" s="1">
        <v>45546</v>
      </c>
      <c r="B72">
        <v>2024</v>
      </c>
      <c r="C72" s="2" t="s">
        <v>23</v>
      </c>
      <c r="D72">
        <v>9</v>
      </c>
      <c r="E72" s="2" t="s">
        <v>33</v>
      </c>
      <c r="F72" s="1">
        <v>45536</v>
      </c>
      <c r="G72" s="2" t="s">
        <v>25</v>
      </c>
    </row>
    <row r="73" spans="1:7" x14ac:dyDescent="0.3">
      <c r="A73" s="1">
        <v>45547</v>
      </c>
      <c r="B73">
        <v>2024</v>
      </c>
      <c r="C73" s="2" t="s">
        <v>23</v>
      </c>
      <c r="D73">
        <v>9</v>
      </c>
      <c r="E73" s="2" t="s">
        <v>33</v>
      </c>
      <c r="F73" s="1">
        <v>45536</v>
      </c>
      <c r="G73" s="2" t="s">
        <v>26</v>
      </c>
    </row>
    <row r="74" spans="1:7" x14ac:dyDescent="0.3">
      <c r="A74" s="1">
        <v>45548</v>
      </c>
      <c r="B74">
        <v>2024</v>
      </c>
      <c r="C74" s="2" t="s">
        <v>23</v>
      </c>
      <c r="D74">
        <v>9</v>
      </c>
      <c r="E74" s="2" t="s">
        <v>33</v>
      </c>
      <c r="F74" s="1">
        <v>45536</v>
      </c>
      <c r="G74" s="2" t="s">
        <v>27</v>
      </c>
    </row>
    <row r="75" spans="1:7" x14ac:dyDescent="0.3">
      <c r="A75" s="1">
        <v>45549</v>
      </c>
      <c r="B75">
        <v>2024</v>
      </c>
      <c r="C75" s="2" t="s">
        <v>23</v>
      </c>
      <c r="D75">
        <v>9</v>
      </c>
      <c r="E75" s="2" t="s">
        <v>33</v>
      </c>
      <c r="F75" s="1">
        <v>45536</v>
      </c>
      <c r="G75" s="2" t="s">
        <v>28</v>
      </c>
    </row>
    <row r="76" spans="1:7" x14ac:dyDescent="0.3">
      <c r="A76" s="1">
        <v>45550</v>
      </c>
      <c r="B76">
        <v>2024</v>
      </c>
      <c r="C76" s="2" t="s">
        <v>23</v>
      </c>
      <c r="D76">
        <v>9</v>
      </c>
      <c r="E76" s="2" t="s">
        <v>33</v>
      </c>
      <c r="F76" s="1">
        <v>45536</v>
      </c>
      <c r="G76" s="2" t="s">
        <v>29</v>
      </c>
    </row>
    <row r="77" spans="1:7" x14ac:dyDescent="0.3">
      <c r="A77" s="1">
        <v>45551</v>
      </c>
      <c r="B77">
        <v>2024</v>
      </c>
      <c r="C77" s="2" t="s">
        <v>23</v>
      </c>
      <c r="D77">
        <v>9</v>
      </c>
      <c r="E77" s="2" t="s">
        <v>33</v>
      </c>
      <c r="F77" s="1">
        <v>45536</v>
      </c>
      <c r="G77" s="2" t="s">
        <v>30</v>
      </c>
    </row>
    <row r="78" spans="1:7" x14ac:dyDescent="0.3">
      <c r="A78" s="1">
        <v>45552</v>
      </c>
      <c r="B78">
        <v>2024</v>
      </c>
      <c r="C78" s="2" t="s">
        <v>23</v>
      </c>
      <c r="D78">
        <v>9</v>
      </c>
      <c r="E78" s="2" t="s">
        <v>33</v>
      </c>
      <c r="F78" s="1">
        <v>45536</v>
      </c>
      <c r="G78" s="2" t="s">
        <v>31</v>
      </c>
    </row>
    <row r="79" spans="1:7" x14ac:dyDescent="0.3">
      <c r="A79" s="1">
        <v>45553</v>
      </c>
      <c r="B79">
        <v>2024</v>
      </c>
      <c r="C79" s="2" t="s">
        <v>23</v>
      </c>
      <c r="D79">
        <v>9</v>
      </c>
      <c r="E79" s="2" t="s">
        <v>33</v>
      </c>
      <c r="F79" s="1">
        <v>45536</v>
      </c>
      <c r="G79" s="2" t="s">
        <v>25</v>
      </c>
    </row>
    <row r="80" spans="1:7" x14ac:dyDescent="0.3">
      <c r="A80" s="1">
        <v>45554</v>
      </c>
      <c r="B80">
        <v>2024</v>
      </c>
      <c r="C80" s="2" t="s">
        <v>23</v>
      </c>
      <c r="D80">
        <v>9</v>
      </c>
      <c r="E80" s="2" t="s">
        <v>33</v>
      </c>
      <c r="F80" s="1">
        <v>45536</v>
      </c>
      <c r="G80" s="2" t="s">
        <v>26</v>
      </c>
    </row>
    <row r="81" spans="1:7" x14ac:dyDescent="0.3">
      <c r="A81" s="1">
        <v>45555</v>
      </c>
      <c r="B81">
        <v>2024</v>
      </c>
      <c r="C81" s="2" t="s">
        <v>23</v>
      </c>
      <c r="D81">
        <v>9</v>
      </c>
      <c r="E81" s="2" t="s">
        <v>33</v>
      </c>
      <c r="F81" s="1">
        <v>45536</v>
      </c>
      <c r="G81" s="2" t="s">
        <v>27</v>
      </c>
    </row>
    <row r="82" spans="1:7" x14ac:dyDescent="0.3">
      <c r="A82" s="1">
        <v>45556</v>
      </c>
      <c r="B82">
        <v>2024</v>
      </c>
      <c r="C82" s="2" t="s">
        <v>23</v>
      </c>
      <c r="D82">
        <v>9</v>
      </c>
      <c r="E82" s="2" t="s">
        <v>33</v>
      </c>
      <c r="F82" s="1">
        <v>45536</v>
      </c>
      <c r="G82" s="2" t="s">
        <v>28</v>
      </c>
    </row>
    <row r="83" spans="1:7" x14ac:dyDescent="0.3">
      <c r="A83" s="1">
        <v>45557</v>
      </c>
      <c r="B83">
        <v>2024</v>
      </c>
      <c r="C83" s="2" t="s">
        <v>23</v>
      </c>
      <c r="D83">
        <v>9</v>
      </c>
      <c r="E83" s="2" t="s">
        <v>33</v>
      </c>
      <c r="F83" s="1">
        <v>45536</v>
      </c>
      <c r="G83" s="2" t="s">
        <v>29</v>
      </c>
    </row>
    <row r="84" spans="1:7" x14ac:dyDescent="0.3">
      <c r="A84" s="1">
        <v>45558</v>
      </c>
      <c r="B84">
        <v>2024</v>
      </c>
      <c r="C84" s="2" t="s">
        <v>23</v>
      </c>
      <c r="D84">
        <v>9</v>
      </c>
      <c r="E84" s="2" t="s">
        <v>33</v>
      </c>
      <c r="F84" s="1">
        <v>45536</v>
      </c>
      <c r="G84" s="2" t="s">
        <v>30</v>
      </c>
    </row>
    <row r="85" spans="1:7" x14ac:dyDescent="0.3">
      <c r="A85" s="1">
        <v>45559</v>
      </c>
      <c r="B85">
        <v>2024</v>
      </c>
      <c r="C85" s="2" t="s">
        <v>23</v>
      </c>
      <c r="D85">
        <v>9</v>
      </c>
      <c r="E85" s="2" t="s">
        <v>33</v>
      </c>
      <c r="F85" s="1">
        <v>45536</v>
      </c>
      <c r="G85" s="2" t="s">
        <v>31</v>
      </c>
    </row>
    <row r="86" spans="1:7" x14ac:dyDescent="0.3">
      <c r="A86" s="1">
        <v>45560</v>
      </c>
      <c r="B86">
        <v>2024</v>
      </c>
      <c r="C86" s="2" t="s">
        <v>23</v>
      </c>
      <c r="D86">
        <v>9</v>
      </c>
      <c r="E86" s="2" t="s">
        <v>33</v>
      </c>
      <c r="F86" s="1">
        <v>45536</v>
      </c>
      <c r="G86" s="2" t="s">
        <v>25</v>
      </c>
    </row>
    <row r="87" spans="1:7" x14ac:dyDescent="0.3">
      <c r="A87" s="1">
        <v>45561</v>
      </c>
      <c r="B87">
        <v>2024</v>
      </c>
      <c r="C87" s="2" t="s">
        <v>23</v>
      </c>
      <c r="D87">
        <v>9</v>
      </c>
      <c r="E87" s="2" t="s">
        <v>33</v>
      </c>
      <c r="F87" s="1">
        <v>45536</v>
      </c>
      <c r="G87" s="2" t="s">
        <v>26</v>
      </c>
    </row>
    <row r="88" spans="1:7" x14ac:dyDescent="0.3">
      <c r="A88" s="1">
        <v>45562</v>
      </c>
      <c r="B88">
        <v>2024</v>
      </c>
      <c r="C88" s="2" t="s">
        <v>23</v>
      </c>
      <c r="D88">
        <v>9</v>
      </c>
      <c r="E88" s="2" t="s">
        <v>33</v>
      </c>
      <c r="F88" s="1">
        <v>45536</v>
      </c>
      <c r="G88" s="2" t="s">
        <v>27</v>
      </c>
    </row>
    <row r="89" spans="1:7" x14ac:dyDescent="0.3">
      <c r="A89" s="1">
        <v>45563</v>
      </c>
      <c r="B89">
        <v>2024</v>
      </c>
      <c r="C89" s="2" t="s">
        <v>23</v>
      </c>
      <c r="D89">
        <v>9</v>
      </c>
      <c r="E89" s="2" t="s">
        <v>33</v>
      </c>
      <c r="F89" s="1">
        <v>45536</v>
      </c>
      <c r="G89" s="2" t="s">
        <v>28</v>
      </c>
    </row>
    <row r="90" spans="1:7" x14ac:dyDescent="0.3">
      <c r="A90" s="1">
        <v>45564</v>
      </c>
      <c r="B90">
        <v>2024</v>
      </c>
      <c r="C90" s="2" t="s">
        <v>23</v>
      </c>
      <c r="D90">
        <v>9</v>
      </c>
      <c r="E90" s="2" t="s">
        <v>33</v>
      </c>
      <c r="F90" s="1">
        <v>45536</v>
      </c>
      <c r="G90" s="2" t="s">
        <v>29</v>
      </c>
    </row>
    <row r="91" spans="1:7" x14ac:dyDescent="0.3">
      <c r="A91" s="1">
        <v>45565</v>
      </c>
      <c r="B91">
        <v>2024</v>
      </c>
      <c r="C91" s="2" t="s">
        <v>23</v>
      </c>
      <c r="D91">
        <v>9</v>
      </c>
      <c r="E91" s="2" t="s">
        <v>33</v>
      </c>
      <c r="F91" s="1">
        <v>45536</v>
      </c>
      <c r="G91" s="2" t="s">
        <v>30</v>
      </c>
    </row>
    <row r="92" spans="1:7" x14ac:dyDescent="0.3">
      <c r="A92" s="1">
        <v>45566</v>
      </c>
      <c r="B92">
        <v>2024</v>
      </c>
      <c r="C92" s="2" t="s">
        <v>34</v>
      </c>
      <c r="D92">
        <v>10</v>
      </c>
      <c r="E92" s="2" t="s">
        <v>35</v>
      </c>
      <c r="F92" s="1">
        <v>45566</v>
      </c>
      <c r="G92" s="2" t="s">
        <v>31</v>
      </c>
    </row>
    <row r="93" spans="1:7" x14ac:dyDescent="0.3">
      <c r="A93" s="1">
        <v>45567</v>
      </c>
      <c r="B93">
        <v>2024</v>
      </c>
      <c r="C93" s="2" t="s">
        <v>34</v>
      </c>
      <c r="D93">
        <v>10</v>
      </c>
      <c r="E93" s="2" t="s">
        <v>35</v>
      </c>
      <c r="F93" s="1">
        <v>45566</v>
      </c>
      <c r="G93" s="2" t="s">
        <v>25</v>
      </c>
    </row>
    <row r="94" spans="1:7" x14ac:dyDescent="0.3">
      <c r="A94" s="1">
        <v>45568</v>
      </c>
      <c r="B94">
        <v>2024</v>
      </c>
      <c r="C94" s="2" t="s">
        <v>34</v>
      </c>
      <c r="D94">
        <v>10</v>
      </c>
      <c r="E94" s="2" t="s">
        <v>35</v>
      </c>
      <c r="F94" s="1">
        <v>45566</v>
      </c>
      <c r="G94" s="2" t="s">
        <v>26</v>
      </c>
    </row>
    <row r="95" spans="1:7" x14ac:dyDescent="0.3">
      <c r="A95" s="1">
        <v>45569</v>
      </c>
      <c r="B95">
        <v>2024</v>
      </c>
      <c r="C95" s="2" t="s">
        <v>34</v>
      </c>
      <c r="D95">
        <v>10</v>
      </c>
      <c r="E95" s="2" t="s">
        <v>35</v>
      </c>
      <c r="F95" s="1">
        <v>45566</v>
      </c>
      <c r="G95" s="2" t="s">
        <v>27</v>
      </c>
    </row>
    <row r="96" spans="1:7" x14ac:dyDescent="0.3">
      <c r="A96" s="1">
        <v>45570</v>
      </c>
      <c r="B96">
        <v>2024</v>
      </c>
      <c r="C96" s="2" t="s">
        <v>34</v>
      </c>
      <c r="D96">
        <v>10</v>
      </c>
      <c r="E96" s="2" t="s">
        <v>35</v>
      </c>
      <c r="F96" s="1">
        <v>45566</v>
      </c>
      <c r="G96" s="2" t="s">
        <v>28</v>
      </c>
    </row>
    <row r="97" spans="1:7" x14ac:dyDescent="0.3">
      <c r="A97" s="1">
        <v>45571</v>
      </c>
      <c r="B97">
        <v>2024</v>
      </c>
      <c r="C97" s="2" t="s">
        <v>34</v>
      </c>
      <c r="D97">
        <v>10</v>
      </c>
      <c r="E97" s="2" t="s">
        <v>35</v>
      </c>
      <c r="F97" s="1">
        <v>45566</v>
      </c>
      <c r="G97" s="2" t="s">
        <v>29</v>
      </c>
    </row>
    <row r="98" spans="1:7" x14ac:dyDescent="0.3">
      <c r="A98" s="1">
        <v>45572</v>
      </c>
      <c r="B98">
        <v>2024</v>
      </c>
      <c r="C98" s="2" t="s">
        <v>34</v>
      </c>
      <c r="D98">
        <v>10</v>
      </c>
      <c r="E98" s="2" t="s">
        <v>35</v>
      </c>
      <c r="F98" s="1">
        <v>45566</v>
      </c>
      <c r="G98" s="2" t="s">
        <v>30</v>
      </c>
    </row>
    <row r="99" spans="1:7" x14ac:dyDescent="0.3">
      <c r="A99" s="1">
        <v>45573</v>
      </c>
      <c r="B99">
        <v>2024</v>
      </c>
      <c r="C99" s="2" t="s">
        <v>34</v>
      </c>
      <c r="D99">
        <v>10</v>
      </c>
      <c r="E99" s="2" t="s">
        <v>35</v>
      </c>
      <c r="F99" s="1">
        <v>45566</v>
      </c>
      <c r="G99" s="2" t="s">
        <v>31</v>
      </c>
    </row>
    <row r="100" spans="1:7" x14ac:dyDescent="0.3">
      <c r="A100" s="1">
        <v>45574</v>
      </c>
      <c r="B100">
        <v>2024</v>
      </c>
      <c r="C100" s="2" t="s">
        <v>34</v>
      </c>
      <c r="D100">
        <v>10</v>
      </c>
      <c r="E100" s="2" t="s">
        <v>35</v>
      </c>
      <c r="F100" s="1">
        <v>45566</v>
      </c>
      <c r="G100" s="2" t="s">
        <v>25</v>
      </c>
    </row>
    <row r="101" spans="1:7" x14ac:dyDescent="0.3">
      <c r="A101" s="1">
        <v>45575</v>
      </c>
      <c r="B101">
        <v>2024</v>
      </c>
      <c r="C101" s="2" t="s">
        <v>34</v>
      </c>
      <c r="D101">
        <v>10</v>
      </c>
      <c r="E101" s="2" t="s">
        <v>35</v>
      </c>
      <c r="F101" s="1">
        <v>45566</v>
      </c>
      <c r="G101" s="2" t="s">
        <v>26</v>
      </c>
    </row>
    <row r="102" spans="1:7" x14ac:dyDescent="0.3">
      <c r="A102" s="1">
        <v>45576</v>
      </c>
      <c r="B102">
        <v>2024</v>
      </c>
      <c r="C102" s="2" t="s">
        <v>34</v>
      </c>
      <c r="D102">
        <v>10</v>
      </c>
      <c r="E102" s="2" t="s">
        <v>35</v>
      </c>
      <c r="F102" s="1">
        <v>45566</v>
      </c>
      <c r="G102" s="2" t="s">
        <v>27</v>
      </c>
    </row>
    <row r="103" spans="1:7" x14ac:dyDescent="0.3">
      <c r="A103" s="1">
        <v>45577</v>
      </c>
      <c r="B103">
        <v>2024</v>
      </c>
      <c r="C103" s="2" t="s">
        <v>34</v>
      </c>
      <c r="D103">
        <v>10</v>
      </c>
      <c r="E103" s="2" t="s">
        <v>35</v>
      </c>
      <c r="F103" s="1">
        <v>45566</v>
      </c>
      <c r="G103" s="2" t="s">
        <v>28</v>
      </c>
    </row>
    <row r="104" spans="1:7" x14ac:dyDescent="0.3">
      <c r="A104" s="1">
        <v>45578</v>
      </c>
      <c r="B104">
        <v>2024</v>
      </c>
      <c r="C104" s="2" t="s">
        <v>34</v>
      </c>
      <c r="D104">
        <v>10</v>
      </c>
      <c r="E104" s="2" t="s">
        <v>35</v>
      </c>
      <c r="F104" s="1">
        <v>45566</v>
      </c>
      <c r="G104" s="2" t="s">
        <v>29</v>
      </c>
    </row>
    <row r="105" spans="1:7" x14ac:dyDescent="0.3">
      <c r="A105" s="1">
        <v>45579</v>
      </c>
      <c r="B105">
        <v>2024</v>
      </c>
      <c r="C105" s="2" t="s">
        <v>34</v>
      </c>
      <c r="D105">
        <v>10</v>
      </c>
      <c r="E105" s="2" t="s">
        <v>35</v>
      </c>
      <c r="F105" s="1">
        <v>45566</v>
      </c>
      <c r="G105" s="2" t="s">
        <v>30</v>
      </c>
    </row>
    <row r="106" spans="1:7" x14ac:dyDescent="0.3">
      <c r="A106" s="1">
        <v>45580</v>
      </c>
      <c r="B106">
        <v>2024</v>
      </c>
      <c r="C106" s="2" t="s">
        <v>34</v>
      </c>
      <c r="D106">
        <v>10</v>
      </c>
      <c r="E106" s="2" t="s">
        <v>35</v>
      </c>
      <c r="F106" s="1">
        <v>45566</v>
      </c>
      <c r="G106" s="2" t="s">
        <v>31</v>
      </c>
    </row>
    <row r="107" spans="1:7" x14ac:dyDescent="0.3">
      <c r="A107" s="1">
        <v>45581</v>
      </c>
      <c r="B107">
        <v>2024</v>
      </c>
      <c r="C107" s="2" t="s">
        <v>34</v>
      </c>
      <c r="D107">
        <v>10</v>
      </c>
      <c r="E107" s="2" t="s">
        <v>35</v>
      </c>
      <c r="F107" s="1">
        <v>45566</v>
      </c>
      <c r="G107" s="2" t="s">
        <v>25</v>
      </c>
    </row>
    <row r="108" spans="1:7" x14ac:dyDescent="0.3">
      <c r="A108" s="1">
        <v>45582</v>
      </c>
      <c r="B108">
        <v>2024</v>
      </c>
      <c r="C108" s="2" t="s">
        <v>34</v>
      </c>
      <c r="D108">
        <v>10</v>
      </c>
      <c r="E108" s="2" t="s">
        <v>35</v>
      </c>
      <c r="F108" s="1">
        <v>45566</v>
      </c>
      <c r="G108" s="2" t="s">
        <v>26</v>
      </c>
    </row>
    <row r="109" spans="1:7" x14ac:dyDescent="0.3">
      <c r="A109" s="1">
        <v>45583</v>
      </c>
      <c r="B109">
        <v>2024</v>
      </c>
      <c r="C109" s="2" t="s">
        <v>34</v>
      </c>
      <c r="D109">
        <v>10</v>
      </c>
      <c r="E109" s="2" t="s">
        <v>35</v>
      </c>
      <c r="F109" s="1">
        <v>45566</v>
      </c>
      <c r="G109" s="2" t="s">
        <v>27</v>
      </c>
    </row>
    <row r="110" spans="1:7" x14ac:dyDescent="0.3">
      <c r="A110" s="1">
        <v>45584</v>
      </c>
      <c r="B110">
        <v>2024</v>
      </c>
      <c r="C110" s="2" t="s">
        <v>34</v>
      </c>
      <c r="D110">
        <v>10</v>
      </c>
      <c r="E110" s="2" t="s">
        <v>35</v>
      </c>
      <c r="F110" s="1">
        <v>45566</v>
      </c>
      <c r="G110" s="2" t="s">
        <v>28</v>
      </c>
    </row>
    <row r="111" spans="1:7" x14ac:dyDescent="0.3">
      <c r="A111" s="1">
        <v>45585</v>
      </c>
      <c r="B111">
        <v>2024</v>
      </c>
      <c r="C111" s="2" t="s">
        <v>34</v>
      </c>
      <c r="D111">
        <v>10</v>
      </c>
      <c r="E111" s="2" t="s">
        <v>35</v>
      </c>
      <c r="F111" s="1">
        <v>45566</v>
      </c>
      <c r="G111" s="2" t="s">
        <v>29</v>
      </c>
    </row>
    <row r="112" spans="1:7" x14ac:dyDescent="0.3">
      <c r="A112" s="1">
        <v>45586</v>
      </c>
      <c r="B112">
        <v>2024</v>
      </c>
      <c r="C112" s="2" t="s">
        <v>34</v>
      </c>
      <c r="D112">
        <v>10</v>
      </c>
      <c r="E112" s="2" t="s">
        <v>35</v>
      </c>
      <c r="F112" s="1">
        <v>45566</v>
      </c>
      <c r="G112" s="2" t="s">
        <v>30</v>
      </c>
    </row>
    <row r="113" spans="1:7" x14ac:dyDescent="0.3">
      <c r="A113" s="1">
        <v>45587</v>
      </c>
      <c r="B113">
        <v>2024</v>
      </c>
      <c r="C113" s="2" t="s">
        <v>34</v>
      </c>
      <c r="D113">
        <v>10</v>
      </c>
      <c r="E113" s="2" t="s">
        <v>35</v>
      </c>
      <c r="F113" s="1">
        <v>45566</v>
      </c>
      <c r="G113" s="2" t="s">
        <v>31</v>
      </c>
    </row>
    <row r="114" spans="1:7" x14ac:dyDescent="0.3">
      <c r="A114" s="1">
        <v>45588</v>
      </c>
      <c r="B114">
        <v>2024</v>
      </c>
      <c r="C114" s="2" t="s">
        <v>34</v>
      </c>
      <c r="D114">
        <v>10</v>
      </c>
      <c r="E114" s="2" t="s">
        <v>35</v>
      </c>
      <c r="F114" s="1">
        <v>45566</v>
      </c>
      <c r="G114" s="2" t="s">
        <v>25</v>
      </c>
    </row>
    <row r="115" spans="1:7" x14ac:dyDescent="0.3">
      <c r="A115" s="1">
        <v>45589</v>
      </c>
      <c r="B115">
        <v>2024</v>
      </c>
      <c r="C115" s="2" t="s">
        <v>34</v>
      </c>
      <c r="D115">
        <v>10</v>
      </c>
      <c r="E115" s="2" t="s">
        <v>35</v>
      </c>
      <c r="F115" s="1">
        <v>45566</v>
      </c>
      <c r="G115" s="2" t="s">
        <v>26</v>
      </c>
    </row>
    <row r="116" spans="1:7" x14ac:dyDescent="0.3">
      <c r="A116" s="1">
        <v>45590</v>
      </c>
      <c r="B116">
        <v>2024</v>
      </c>
      <c r="C116" s="2" t="s">
        <v>34</v>
      </c>
      <c r="D116">
        <v>10</v>
      </c>
      <c r="E116" s="2" t="s">
        <v>35</v>
      </c>
      <c r="F116" s="1">
        <v>45566</v>
      </c>
      <c r="G116" s="2" t="s">
        <v>27</v>
      </c>
    </row>
    <row r="117" spans="1:7" x14ac:dyDescent="0.3">
      <c r="A117" s="1">
        <v>45591</v>
      </c>
      <c r="B117">
        <v>2024</v>
      </c>
      <c r="C117" s="2" t="s">
        <v>34</v>
      </c>
      <c r="D117">
        <v>10</v>
      </c>
      <c r="E117" s="2" t="s">
        <v>35</v>
      </c>
      <c r="F117" s="1">
        <v>45566</v>
      </c>
      <c r="G117" s="2" t="s">
        <v>28</v>
      </c>
    </row>
    <row r="118" spans="1:7" x14ac:dyDescent="0.3">
      <c r="A118" s="1">
        <v>45592</v>
      </c>
      <c r="B118">
        <v>2024</v>
      </c>
      <c r="C118" s="2" t="s">
        <v>34</v>
      </c>
      <c r="D118">
        <v>10</v>
      </c>
      <c r="E118" s="2" t="s">
        <v>35</v>
      </c>
      <c r="F118" s="1">
        <v>45566</v>
      </c>
      <c r="G118" s="2" t="s">
        <v>29</v>
      </c>
    </row>
    <row r="119" spans="1:7" x14ac:dyDescent="0.3">
      <c r="A119" s="1">
        <v>45593</v>
      </c>
      <c r="B119">
        <v>2024</v>
      </c>
      <c r="C119" s="2" t="s">
        <v>34</v>
      </c>
      <c r="D119">
        <v>10</v>
      </c>
      <c r="E119" s="2" t="s">
        <v>35</v>
      </c>
      <c r="F119" s="1">
        <v>45566</v>
      </c>
      <c r="G119" s="2" t="s">
        <v>30</v>
      </c>
    </row>
    <row r="120" spans="1:7" x14ac:dyDescent="0.3">
      <c r="A120" s="1">
        <v>45594</v>
      </c>
      <c r="B120">
        <v>2024</v>
      </c>
      <c r="C120" s="2" t="s">
        <v>34</v>
      </c>
      <c r="D120">
        <v>10</v>
      </c>
      <c r="E120" s="2" t="s">
        <v>35</v>
      </c>
      <c r="F120" s="1">
        <v>45566</v>
      </c>
      <c r="G120" s="2" t="s">
        <v>31</v>
      </c>
    </row>
    <row r="121" spans="1:7" x14ac:dyDescent="0.3">
      <c r="A121" s="1">
        <v>45595</v>
      </c>
      <c r="B121">
        <v>2024</v>
      </c>
      <c r="C121" s="2" t="s">
        <v>34</v>
      </c>
      <c r="D121">
        <v>10</v>
      </c>
      <c r="E121" s="2" t="s">
        <v>35</v>
      </c>
      <c r="F121" s="1">
        <v>45566</v>
      </c>
      <c r="G121" s="2" t="s">
        <v>25</v>
      </c>
    </row>
    <row r="122" spans="1:7" x14ac:dyDescent="0.3">
      <c r="A122" s="1">
        <v>45596</v>
      </c>
      <c r="B122">
        <v>2024</v>
      </c>
      <c r="C122" s="2" t="s">
        <v>34</v>
      </c>
      <c r="D122">
        <v>10</v>
      </c>
      <c r="E122" s="2" t="s">
        <v>35</v>
      </c>
      <c r="F122" s="1">
        <v>45566</v>
      </c>
      <c r="G122" s="2" t="s">
        <v>26</v>
      </c>
    </row>
    <row r="123" spans="1:7" x14ac:dyDescent="0.3">
      <c r="A123" s="1">
        <v>45597</v>
      </c>
      <c r="B123">
        <v>2024</v>
      </c>
      <c r="C123" s="2" t="s">
        <v>34</v>
      </c>
      <c r="D123">
        <v>11</v>
      </c>
      <c r="E123" s="2" t="s">
        <v>36</v>
      </c>
      <c r="F123" s="1">
        <v>45597</v>
      </c>
      <c r="G123" s="2" t="s">
        <v>27</v>
      </c>
    </row>
    <row r="124" spans="1:7" x14ac:dyDescent="0.3">
      <c r="A124" s="1">
        <v>45598</v>
      </c>
      <c r="B124">
        <v>2024</v>
      </c>
      <c r="C124" s="2" t="s">
        <v>34</v>
      </c>
      <c r="D124">
        <v>11</v>
      </c>
      <c r="E124" s="2" t="s">
        <v>36</v>
      </c>
      <c r="F124" s="1">
        <v>45597</v>
      </c>
      <c r="G124" s="2" t="s">
        <v>28</v>
      </c>
    </row>
    <row r="125" spans="1:7" x14ac:dyDescent="0.3">
      <c r="A125" s="1">
        <v>45599</v>
      </c>
      <c r="B125">
        <v>2024</v>
      </c>
      <c r="C125" s="2" t="s">
        <v>34</v>
      </c>
      <c r="D125">
        <v>11</v>
      </c>
      <c r="E125" s="2" t="s">
        <v>36</v>
      </c>
      <c r="F125" s="1">
        <v>45597</v>
      </c>
      <c r="G125" s="2" t="s">
        <v>29</v>
      </c>
    </row>
    <row r="126" spans="1:7" x14ac:dyDescent="0.3">
      <c r="A126" s="1">
        <v>45600</v>
      </c>
      <c r="B126">
        <v>2024</v>
      </c>
      <c r="C126" s="2" t="s">
        <v>34</v>
      </c>
      <c r="D126">
        <v>11</v>
      </c>
      <c r="E126" s="2" t="s">
        <v>36</v>
      </c>
      <c r="F126" s="1">
        <v>45597</v>
      </c>
      <c r="G126" s="2" t="s">
        <v>30</v>
      </c>
    </row>
    <row r="127" spans="1:7" x14ac:dyDescent="0.3">
      <c r="A127" s="1">
        <v>45601</v>
      </c>
      <c r="B127">
        <v>2024</v>
      </c>
      <c r="C127" s="2" t="s">
        <v>34</v>
      </c>
      <c r="D127">
        <v>11</v>
      </c>
      <c r="E127" s="2" t="s">
        <v>36</v>
      </c>
      <c r="F127" s="1">
        <v>45597</v>
      </c>
      <c r="G127" s="2" t="s">
        <v>31</v>
      </c>
    </row>
    <row r="128" spans="1:7" x14ac:dyDescent="0.3">
      <c r="A128" s="1">
        <v>45602</v>
      </c>
      <c r="B128">
        <v>2024</v>
      </c>
      <c r="C128" s="2" t="s">
        <v>34</v>
      </c>
      <c r="D128">
        <v>11</v>
      </c>
      <c r="E128" s="2" t="s">
        <v>36</v>
      </c>
      <c r="F128" s="1">
        <v>45597</v>
      </c>
      <c r="G128" s="2" t="s">
        <v>25</v>
      </c>
    </row>
    <row r="129" spans="1:7" x14ac:dyDescent="0.3">
      <c r="A129" s="1">
        <v>45603</v>
      </c>
      <c r="B129">
        <v>2024</v>
      </c>
      <c r="C129" s="2" t="s">
        <v>34</v>
      </c>
      <c r="D129">
        <v>11</v>
      </c>
      <c r="E129" s="2" t="s">
        <v>36</v>
      </c>
      <c r="F129" s="1">
        <v>45597</v>
      </c>
      <c r="G129" s="2" t="s">
        <v>26</v>
      </c>
    </row>
    <row r="130" spans="1:7" x14ac:dyDescent="0.3">
      <c r="A130" s="1">
        <v>45604</v>
      </c>
      <c r="B130">
        <v>2024</v>
      </c>
      <c r="C130" s="2" t="s">
        <v>34</v>
      </c>
      <c r="D130">
        <v>11</v>
      </c>
      <c r="E130" s="2" t="s">
        <v>36</v>
      </c>
      <c r="F130" s="1">
        <v>45597</v>
      </c>
      <c r="G130" s="2" t="s">
        <v>27</v>
      </c>
    </row>
    <row r="131" spans="1:7" x14ac:dyDescent="0.3">
      <c r="A131" s="1">
        <v>45605</v>
      </c>
      <c r="B131">
        <v>2024</v>
      </c>
      <c r="C131" s="2" t="s">
        <v>34</v>
      </c>
      <c r="D131">
        <v>11</v>
      </c>
      <c r="E131" s="2" t="s">
        <v>36</v>
      </c>
      <c r="F131" s="1">
        <v>45597</v>
      </c>
      <c r="G131" s="2" t="s">
        <v>28</v>
      </c>
    </row>
    <row r="132" spans="1:7" x14ac:dyDescent="0.3">
      <c r="A132" s="1">
        <v>45606</v>
      </c>
      <c r="B132">
        <v>2024</v>
      </c>
      <c r="C132" s="2" t="s">
        <v>34</v>
      </c>
      <c r="D132">
        <v>11</v>
      </c>
      <c r="E132" s="2" t="s">
        <v>36</v>
      </c>
      <c r="F132" s="1">
        <v>45597</v>
      </c>
      <c r="G132" s="2" t="s">
        <v>29</v>
      </c>
    </row>
    <row r="133" spans="1:7" x14ac:dyDescent="0.3">
      <c r="A133" s="1">
        <v>45607</v>
      </c>
      <c r="B133">
        <v>2024</v>
      </c>
      <c r="C133" s="2" t="s">
        <v>34</v>
      </c>
      <c r="D133">
        <v>11</v>
      </c>
      <c r="E133" s="2" t="s">
        <v>36</v>
      </c>
      <c r="F133" s="1">
        <v>45597</v>
      </c>
      <c r="G133" s="2" t="s">
        <v>30</v>
      </c>
    </row>
    <row r="134" spans="1:7" x14ac:dyDescent="0.3">
      <c r="A134" s="1">
        <v>45608</v>
      </c>
      <c r="B134">
        <v>2024</v>
      </c>
      <c r="C134" s="2" t="s">
        <v>34</v>
      </c>
      <c r="D134">
        <v>11</v>
      </c>
      <c r="E134" s="2" t="s">
        <v>36</v>
      </c>
      <c r="F134" s="1">
        <v>45597</v>
      </c>
      <c r="G134" s="2" t="s">
        <v>31</v>
      </c>
    </row>
    <row r="135" spans="1:7" x14ac:dyDescent="0.3">
      <c r="A135" s="1">
        <v>45609</v>
      </c>
      <c r="B135">
        <v>2024</v>
      </c>
      <c r="C135" s="2" t="s">
        <v>34</v>
      </c>
      <c r="D135">
        <v>11</v>
      </c>
      <c r="E135" s="2" t="s">
        <v>36</v>
      </c>
      <c r="F135" s="1">
        <v>45597</v>
      </c>
      <c r="G135" s="2" t="s">
        <v>25</v>
      </c>
    </row>
    <row r="136" spans="1:7" x14ac:dyDescent="0.3">
      <c r="A136" s="1">
        <v>45610</v>
      </c>
      <c r="B136">
        <v>2024</v>
      </c>
      <c r="C136" s="2" t="s">
        <v>34</v>
      </c>
      <c r="D136">
        <v>11</v>
      </c>
      <c r="E136" s="2" t="s">
        <v>36</v>
      </c>
      <c r="F136" s="1">
        <v>45597</v>
      </c>
      <c r="G136" s="2" t="s">
        <v>26</v>
      </c>
    </row>
    <row r="137" spans="1:7" x14ac:dyDescent="0.3">
      <c r="A137" s="1">
        <v>45611</v>
      </c>
      <c r="B137">
        <v>2024</v>
      </c>
      <c r="C137" s="2" t="s">
        <v>34</v>
      </c>
      <c r="D137">
        <v>11</v>
      </c>
      <c r="E137" s="2" t="s">
        <v>36</v>
      </c>
      <c r="F137" s="1">
        <v>45597</v>
      </c>
      <c r="G137" s="2" t="s">
        <v>27</v>
      </c>
    </row>
    <row r="138" spans="1:7" x14ac:dyDescent="0.3">
      <c r="A138" s="1">
        <v>45612</v>
      </c>
      <c r="B138">
        <v>2024</v>
      </c>
      <c r="C138" s="2" t="s">
        <v>34</v>
      </c>
      <c r="D138">
        <v>11</v>
      </c>
      <c r="E138" s="2" t="s">
        <v>36</v>
      </c>
      <c r="F138" s="1">
        <v>45597</v>
      </c>
      <c r="G138" s="2" t="s">
        <v>28</v>
      </c>
    </row>
    <row r="139" spans="1:7" x14ac:dyDescent="0.3">
      <c r="A139" s="1">
        <v>45613</v>
      </c>
      <c r="B139">
        <v>2024</v>
      </c>
      <c r="C139" s="2" t="s">
        <v>34</v>
      </c>
      <c r="D139">
        <v>11</v>
      </c>
      <c r="E139" s="2" t="s">
        <v>36</v>
      </c>
      <c r="F139" s="1">
        <v>45597</v>
      </c>
      <c r="G139" s="2" t="s">
        <v>29</v>
      </c>
    </row>
    <row r="140" spans="1:7" x14ac:dyDescent="0.3">
      <c r="A140" s="1">
        <v>45614</v>
      </c>
      <c r="B140">
        <v>2024</v>
      </c>
      <c r="C140" s="2" t="s">
        <v>34</v>
      </c>
      <c r="D140">
        <v>11</v>
      </c>
      <c r="E140" s="2" t="s">
        <v>36</v>
      </c>
      <c r="F140" s="1">
        <v>45597</v>
      </c>
      <c r="G140" s="2" t="s">
        <v>30</v>
      </c>
    </row>
    <row r="141" spans="1:7" x14ac:dyDescent="0.3">
      <c r="A141" s="1">
        <v>45615</v>
      </c>
      <c r="B141">
        <v>2024</v>
      </c>
      <c r="C141" s="2" t="s">
        <v>34</v>
      </c>
      <c r="D141">
        <v>11</v>
      </c>
      <c r="E141" s="2" t="s">
        <v>36</v>
      </c>
      <c r="F141" s="1">
        <v>45597</v>
      </c>
      <c r="G141" s="2" t="s">
        <v>31</v>
      </c>
    </row>
    <row r="142" spans="1:7" x14ac:dyDescent="0.3">
      <c r="A142" s="1">
        <v>45616</v>
      </c>
      <c r="B142">
        <v>2024</v>
      </c>
      <c r="C142" s="2" t="s">
        <v>34</v>
      </c>
      <c r="D142">
        <v>11</v>
      </c>
      <c r="E142" s="2" t="s">
        <v>36</v>
      </c>
      <c r="F142" s="1">
        <v>45597</v>
      </c>
      <c r="G142" s="2" t="s">
        <v>25</v>
      </c>
    </row>
    <row r="143" spans="1:7" x14ac:dyDescent="0.3">
      <c r="A143" s="1">
        <v>45617</v>
      </c>
      <c r="B143">
        <v>2024</v>
      </c>
      <c r="C143" s="2" t="s">
        <v>34</v>
      </c>
      <c r="D143">
        <v>11</v>
      </c>
      <c r="E143" s="2" t="s">
        <v>36</v>
      </c>
      <c r="F143" s="1">
        <v>45597</v>
      </c>
      <c r="G143" s="2" t="s">
        <v>26</v>
      </c>
    </row>
    <row r="144" spans="1:7" x14ac:dyDescent="0.3">
      <c r="A144" s="1">
        <v>45618</v>
      </c>
      <c r="B144">
        <v>2024</v>
      </c>
      <c r="C144" s="2" t="s">
        <v>34</v>
      </c>
      <c r="D144">
        <v>11</v>
      </c>
      <c r="E144" s="2" t="s">
        <v>36</v>
      </c>
      <c r="F144" s="1">
        <v>45597</v>
      </c>
      <c r="G144" s="2" t="s">
        <v>27</v>
      </c>
    </row>
    <row r="145" spans="1:7" x14ac:dyDescent="0.3">
      <c r="A145" s="1">
        <v>45619</v>
      </c>
      <c r="B145">
        <v>2024</v>
      </c>
      <c r="C145" s="2" t="s">
        <v>34</v>
      </c>
      <c r="D145">
        <v>11</v>
      </c>
      <c r="E145" s="2" t="s">
        <v>36</v>
      </c>
      <c r="F145" s="1">
        <v>45597</v>
      </c>
      <c r="G145" s="2" t="s">
        <v>28</v>
      </c>
    </row>
    <row r="146" spans="1:7" x14ac:dyDescent="0.3">
      <c r="A146" s="1">
        <v>45620</v>
      </c>
      <c r="B146">
        <v>2024</v>
      </c>
      <c r="C146" s="2" t="s">
        <v>34</v>
      </c>
      <c r="D146">
        <v>11</v>
      </c>
      <c r="E146" s="2" t="s">
        <v>36</v>
      </c>
      <c r="F146" s="1">
        <v>45597</v>
      </c>
      <c r="G146" s="2" t="s">
        <v>29</v>
      </c>
    </row>
    <row r="147" spans="1:7" x14ac:dyDescent="0.3">
      <c r="A147" s="1">
        <v>45621</v>
      </c>
      <c r="B147">
        <v>2024</v>
      </c>
      <c r="C147" s="2" t="s">
        <v>34</v>
      </c>
      <c r="D147">
        <v>11</v>
      </c>
      <c r="E147" s="2" t="s">
        <v>36</v>
      </c>
      <c r="F147" s="1">
        <v>45597</v>
      </c>
      <c r="G147" s="2" t="s">
        <v>30</v>
      </c>
    </row>
    <row r="148" spans="1:7" x14ac:dyDescent="0.3">
      <c r="A148" s="1">
        <v>45622</v>
      </c>
      <c r="B148">
        <v>2024</v>
      </c>
      <c r="C148" s="2" t="s">
        <v>34</v>
      </c>
      <c r="D148">
        <v>11</v>
      </c>
      <c r="E148" s="2" t="s">
        <v>36</v>
      </c>
      <c r="F148" s="1">
        <v>45597</v>
      </c>
      <c r="G148" s="2" t="s">
        <v>31</v>
      </c>
    </row>
    <row r="149" spans="1:7" x14ac:dyDescent="0.3">
      <c r="A149" s="1">
        <v>45623</v>
      </c>
      <c r="B149">
        <v>2024</v>
      </c>
      <c r="C149" s="2" t="s">
        <v>34</v>
      </c>
      <c r="D149">
        <v>11</v>
      </c>
      <c r="E149" s="2" t="s">
        <v>36</v>
      </c>
      <c r="F149" s="1">
        <v>45597</v>
      </c>
      <c r="G149" s="2" t="s">
        <v>25</v>
      </c>
    </row>
    <row r="150" spans="1:7" x14ac:dyDescent="0.3">
      <c r="A150" s="1">
        <v>45624</v>
      </c>
      <c r="B150">
        <v>2024</v>
      </c>
      <c r="C150" s="2" t="s">
        <v>34</v>
      </c>
      <c r="D150">
        <v>11</v>
      </c>
      <c r="E150" s="2" t="s">
        <v>36</v>
      </c>
      <c r="F150" s="1">
        <v>45597</v>
      </c>
      <c r="G150" s="2" t="s">
        <v>26</v>
      </c>
    </row>
    <row r="151" spans="1:7" x14ac:dyDescent="0.3">
      <c r="A151" s="1">
        <v>45625</v>
      </c>
      <c r="B151">
        <v>2024</v>
      </c>
      <c r="C151" s="2" t="s">
        <v>34</v>
      </c>
      <c r="D151">
        <v>11</v>
      </c>
      <c r="E151" s="2" t="s">
        <v>36</v>
      </c>
      <c r="F151" s="1">
        <v>45597</v>
      </c>
      <c r="G151" s="2" t="s">
        <v>27</v>
      </c>
    </row>
    <row r="152" spans="1:7" x14ac:dyDescent="0.3">
      <c r="A152" s="1">
        <v>45626</v>
      </c>
      <c r="B152">
        <v>2024</v>
      </c>
      <c r="C152" s="2" t="s">
        <v>34</v>
      </c>
      <c r="D152">
        <v>11</v>
      </c>
      <c r="E152" s="2" t="s">
        <v>36</v>
      </c>
      <c r="F152" s="1">
        <v>45597</v>
      </c>
      <c r="G152" s="2" t="s">
        <v>28</v>
      </c>
    </row>
    <row r="153" spans="1:7" x14ac:dyDescent="0.3">
      <c r="A153" s="1">
        <v>45627</v>
      </c>
      <c r="B153">
        <v>2024</v>
      </c>
      <c r="C153" s="2" t="s">
        <v>34</v>
      </c>
      <c r="D153">
        <v>12</v>
      </c>
      <c r="E153" s="2" t="s">
        <v>37</v>
      </c>
      <c r="F153" s="1">
        <v>45627</v>
      </c>
      <c r="G153" s="2" t="s">
        <v>29</v>
      </c>
    </row>
    <row r="154" spans="1:7" x14ac:dyDescent="0.3">
      <c r="A154" s="1">
        <v>45628</v>
      </c>
      <c r="B154">
        <v>2024</v>
      </c>
      <c r="C154" s="2" t="s">
        <v>34</v>
      </c>
      <c r="D154">
        <v>12</v>
      </c>
      <c r="E154" s="2" t="s">
        <v>37</v>
      </c>
      <c r="F154" s="1">
        <v>45627</v>
      </c>
      <c r="G154" s="2" t="s">
        <v>30</v>
      </c>
    </row>
    <row r="155" spans="1:7" x14ac:dyDescent="0.3">
      <c r="A155" s="1">
        <v>45629</v>
      </c>
      <c r="B155">
        <v>2024</v>
      </c>
      <c r="C155" s="2" t="s">
        <v>34</v>
      </c>
      <c r="D155">
        <v>12</v>
      </c>
      <c r="E155" s="2" t="s">
        <v>37</v>
      </c>
      <c r="F155" s="1">
        <v>45627</v>
      </c>
      <c r="G155" s="2" t="s">
        <v>31</v>
      </c>
    </row>
    <row r="156" spans="1:7" x14ac:dyDescent="0.3">
      <c r="A156" s="1">
        <v>45630</v>
      </c>
      <c r="B156">
        <v>2024</v>
      </c>
      <c r="C156" s="2" t="s">
        <v>34</v>
      </c>
      <c r="D156">
        <v>12</v>
      </c>
      <c r="E156" s="2" t="s">
        <v>37</v>
      </c>
      <c r="F156" s="1">
        <v>45627</v>
      </c>
      <c r="G156" s="2" t="s">
        <v>25</v>
      </c>
    </row>
    <row r="157" spans="1:7" x14ac:dyDescent="0.3">
      <c r="A157" s="1">
        <v>45631</v>
      </c>
      <c r="B157">
        <v>2024</v>
      </c>
      <c r="C157" s="2" t="s">
        <v>34</v>
      </c>
      <c r="D157">
        <v>12</v>
      </c>
      <c r="E157" s="2" t="s">
        <v>37</v>
      </c>
      <c r="F157" s="1">
        <v>45627</v>
      </c>
      <c r="G157" s="2" t="s">
        <v>26</v>
      </c>
    </row>
    <row r="158" spans="1:7" x14ac:dyDescent="0.3">
      <c r="A158" s="1">
        <v>45632</v>
      </c>
      <c r="B158">
        <v>2024</v>
      </c>
      <c r="C158" s="2" t="s">
        <v>34</v>
      </c>
      <c r="D158">
        <v>12</v>
      </c>
      <c r="E158" s="2" t="s">
        <v>37</v>
      </c>
      <c r="F158" s="1">
        <v>45627</v>
      </c>
      <c r="G158" s="2" t="s">
        <v>27</v>
      </c>
    </row>
    <row r="159" spans="1:7" x14ac:dyDescent="0.3">
      <c r="A159" s="1">
        <v>45633</v>
      </c>
      <c r="B159">
        <v>2024</v>
      </c>
      <c r="C159" s="2" t="s">
        <v>34</v>
      </c>
      <c r="D159">
        <v>12</v>
      </c>
      <c r="E159" s="2" t="s">
        <v>37</v>
      </c>
      <c r="F159" s="1">
        <v>45627</v>
      </c>
      <c r="G159" s="2" t="s">
        <v>28</v>
      </c>
    </row>
    <row r="160" spans="1:7" x14ac:dyDescent="0.3">
      <c r="A160" s="1">
        <v>45634</v>
      </c>
      <c r="B160">
        <v>2024</v>
      </c>
      <c r="C160" s="2" t="s">
        <v>34</v>
      </c>
      <c r="D160">
        <v>12</v>
      </c>
      <c r="E160" s="2" t="s">
        <v>37</v>
      </c>
      <c r="F160" s="1">
        <v>45627</v>
      </c>
      <c r="G160" s="2" t="s">
        <v>29</v>
      </c>
    </row>
    <row r="161" spans="1:7" x14ac:dyDescent="0.3">
      <c r="A161" s="1">
        <v>45635</v>
      </c>
      <c r="B161">
        <v>2024</v>
      </c>
      <c r="C161" s="2" t="s">
        <v>34</v>
      </c>
      <c r="D161">
        <v>12</v>
      </c>
      <c r="E161" s="2" t="s">
        <v>37</v>
      </c>
      <c r="F161" s="1">
        <v>45627</v>
      </c>
      <c r="G161" s="2" t="s">
        <v>30</v>
      </c>
    </row>
    <row r="162" spans="1:7" x14ac:dyDescent="0.3">
      <c r="A162" s="1">
        <v>45636</v>
      </c>
      <c r="B162">
        <v>2024</v>
      </c>
      <c r="C162" s="2" t="s">
        <v>34</v>
      </c>
      <c r="D162">
        <v>12</v>
      </c>
      <c r="E162" s="2" t="s">
        <v>37</v>
      </c>
      <c r="F162" s="1">
        <v>45627</v>
      </c>
      <c r="G162" s="2" t="s">
        <v>31</v>
      </c>
    </row>
    <row r="163" spans="1:7" x14ac:dyDescent="0.3">
      <c r="A163" s="1">
        <v>45637</v>
      </c>
      <c r="B163">
        <v>2024</v>
      </c>
      <c r="C163" s="2" t="s">
        <v>34</v>
      </c>
      <c r="D163">
        <v>12</v>
      </c>
      <c r="E163" s="2" t="s">
        <v>37</v>
      </c>
      <c r="F163" s="1">
        <v>45627</v>
      </c>
      <c r="G163" s="2" t="s">
        <v>25</v>
      </c>
    </row>
    <row r="164" spans="1:7" x14ac:dyDescent="0.3">
      <c r="A164" s="1">
        <v>45638</v>
      </c>
      <c r="B164">
        <v>2024</v>
      </c>
      <c r="C164" s="2" t="s">
        <v>34</v>
      </c>
      <c r="D164">
        <v>12</v>
      </c>
      <c r="E164" s="2" t="s">
        <v>37</v>
      </c>
      <c r="F164" s="1">
        <v>45627</v>
      </c>
      <c r="G164" s="2" t="s">
        <v>26</v>
      </c>
    </row>
    <row r="165" spans="1:7" x14ac:dyDescent="0.3">
      <c r="A165" s="1">
        <v>45639</v>
      </c>
      <c r="B165">
        <v>2024</v>
      </c>
      <c r="C165" s="2" t="s">
        <v>34</v>
      </c>
      <c r="D165">
        <v>12</v>
      </c>
      <c r="E165" s="2" t="s">
        <v>37</v>
      </c>
      <c r="F165" s="1">
        <v>45627</v>
      </c>
      <c r="G165" s="2" t="s">
        <v>27</v>
      </c>
    </row>
    <row r="166" spans="1:7" x14ac:dyDescent="0.3">
      <c r="A166" s="1">
        <v>45640</v>
      </c>
      <c r="B166">
        <v>2024</v>
      </c>
      <c r="C166" s="2" t="s">
        <v>34</v>
      </c>
      <c r="D166">
        <v>12</v>
      </c>
      <c r="E166" s="2" t="s">
        <v>37</v>
      </c>
      <c r="F166" s="1">
        <v>45627</v>
      </c>
      <c r="G166" s="2" t="s">
        <v>28</v>
      </c>
    </row>
    <row r="167" spans="1:7" x14ac:dyDescent="0.3">
      <c r="A167" s="1">
        <v>45641</v>
      </c>
      <c r="B167">
        <v>2024</v>
      </c>
      <c r="C167" s="2" t="s">
        <v>34</v>
      </c>
      <c r="D167">
        <v>12</v>
      </c>
      <c r="E167" s="2" t="s">
        <v>37</v>
      </c>
      <c r="F167" s="1">
        <v>45627</v>
      </c>
      <c r="G167" s="2" t="s">
        <v>29</v>
      </c>
    </row>
    <row r="168" spans="1:7" x14ac:dyDescent="0.3">
      <c r="A168" s="1">
        <v>45642</v>
      </c>
      <c r="B168">
        <v>2024</v>
      </c>
      <c r="C168" s="2" t="s">
        <v>34</v>
      </c>
      <c r="D168">
        <v>12</v>
      </c>
      <c r="E168" s="2" t="s">
        <v>37</v>
      </c>
      <c r="F168" s="1">
        <v>45627</v>
      </c>
      <c r="G168" s="2" t="s">
        <v>30</v>
      </c>
    </row>
    <row r="169" spans="1:7" x14ac:dyDescent="0.3">
      <c r="A169" s="1">
        <v>45643</v>
      </c>
      <c r="B169">
        <v>2024</v>
      </c>
      <c r="C169" s="2" t="s">
        <v>34</v>
      </c>
      <c r="D169">
        <v>12</v>
      </c>
      <c r="E169" s="2" t="s">
        <v>37</v>
      </c>
      <c r="F169" s="1">
        <v>45627</v>
      </c>
      <c r="G169" s="2" t="s">
        <v>31</v>
      </c>
    </row>
    <row r="170" spans="1:7" x14ac:dyDescent="0.3">
      <c r="A170" s="1">
        <v>45644</v>
      </c>
      <c r="B170">
        <v>2024</v>
      </c>
      <c r="C170" s="2" t="s">
        <v>34</v>
      </c>
      <c r="D170">
        <v>12</v>
      </c>
      <c r="E170" s="2" t="s">
        <v>37</v>
      </c>
      <c r="F170" s="1">
        <v>45627</v>
      </c>
      <c r="G170" s="2" t="s">
        <v>25</v>
      </c>
    </row>
    <row r="171" spans="1:7" x14ac:dyDescent="0.3">
      <c r="A171" s="1">
        <v>45645</v>
      </c>
      <c r="B171">
        <v>2024</v>
      </c>
      <c r="C171" s="2" t="s">
        <v>34</v>
      </c>
      <c r="D171">
        <v>12</v>
      </c>
      <c r="E171" s="2" t="s">
        <v>37</v>
      </c>
      <c r="F171" s="1">
        <v>45627</v>
      </c>
      <c r="G171" s="2" t="s">
        <v>26</v>
      </c>
    </row>
    <row r="172" spans="1:7" x14ac:dyDescent="0.3">
      <c r="A172" s="1">
        <v>45646</v>
      </c>
      <c r="B172">
        <v>2024</v>
      </c>
      <c r="C172" s="2" t="s">
        <v>34</v>
      </c>
      <c r="D172">
        <v>12</v>
      </c>
      <c r="E172" s="2" t="s">
        <v>37</v>
      </c>
      <c r="F172" s="1">
        <v>45627</v>
      </c>
      <c r="G172" s="2" t="s">
        <v>27</v>
      </c>
    </row>
    <row r="173" spans="1:7" x14ac:dyDescent="0.3">
      <c r="A173" s="1">
        <v>45647</v>
      </c>
      <c r="B173">
        <v>2024</v>
      </c>
      <c r="C173" s="2" t="s">
        <v>34</v>
      </c>
      <c r="D173">
        <v>12</v>
      </c>
      <c r="E173" s="2" t="s">
        <v>37</v>
      </c>
      <c r="F173" s="1">
        <v>45627</v>
      </c>
      <c r="G173" s="2" t="s">
        <v>28</v>
      </c>
    </row>
    <row r="174" spans="1:7" x14ac:dyDescent="0.3">
      <c r="A174" s="1">
        <v>45648</v>
      </c>
      <c r="B174">
        <v>2024</v>
      </c>
      <c r="C174" s="2" t="s">
        <v>34</v>
      </c>
      <c r="D174">
        <v>12</v>
      </c>
      <c r="E174" s="2" t="s">
        <v>37</v>
      </c>
      <c r="F174" s="1">
        <v>45627</v>
      </c>
      <c r="G174" s="2" t="s">
        <v>29</v>
      </c>
    </row>
    <row r="175" spans="1:7" x14ac:dyDescent="0.3">
      <c r="A175" s="1">
        <v>45649</v>
      </c>
      <c r="B175">
        <v>2024</v>
      </c>
      <c r="C175" s="2" t="s">
        <v>34</v>
      </c>
      <c r="D175">
        <v>12</v>
      </c>
      <c r="E175" s="2" t="s">
        <v>37</v>
      </c>
      <c r="F175" s="1">
        <v>45627</v>
      </c>
      <c r="G175" s="2" t="s">
        <v>30</v>
      </c>
    </row>
    <row r="176" spans="1:7" x14ac:dyDescent="0.3">
      <c r="A176" s="1">
        <v>45650</v>
      </c>
      <c r="B176">
        <v>2024</v>
      </c>
      <c r="C176" s="2" t="s">
        <v>34</v>
      </c>
      <c r="D176">
        <v>12</v>
      </c>
      <c r="E176" s="2" t="s">
        <v>37</v>
      </c>
      <c r="F176" s="1">
        <v>45627</v>
      </c>
      <c r="G176" s="2" t="s">
        <v>31</v>
      </c>
    </row>
    <row r="177" spans="1:7" x14ac:dyDescent="0.3">
      <c r="A177" s="1">
        <v>45651</v>
      </c>
      <c r="B177">
        <v>2024</v>
      </c>
      <c r="C177" s="2" t="s">
        <v>34</v>
      </c>
      <c r="D177">
        <v>12</v>
      </c>
      <c r="E177" s="2" t="s">
        <v>37</v>
      </c>
      <c r="F177" s="1">
        <v>45627</v>
      </c>
      <c r="G177" s="2" t="s">
        <v>25</v>
      </c>
    </row>
    <row r="178" spans="1:7" x14ac:dyDescent="0.3">
      <c r="A178" s="1">
        <v>45652</v>
      </c>
      <c r="B178">
        <v>2024</v>
      </c>
      <c r="C178" s="2" t="s">
        <v>34</v>
      </c>
      <c r="D178">
        <v>12</v>
      </c>
      <c r="E178" s="2" t="s">
        <v>37</v>
      </c>
      <c r="F178" s="1">
        <v>45627</v>
      </c>
      <c r="G178" s="2" t="s">
        <v>26</v>
      </c>
    </row>
    <row r="179" spans="1:7" x14ac:dyDescent="0.3">
      <c r="A179" s="1">
        <v>45653</v>
      </c>
      <c r="B179">
        <v>2024</v>
      </c>
      <c r="C179" s="2" t="s">
        <v>34</v>
      </c>
      <c r="D179">
        <v>12</v>
      </c>
      <c r="E179" s="2" t="s">
        <v>37</v>
      </c>
      <c r="F179" s="1">
        <v>45627</v>
      </c>
      <c r="G179" s="2" t="s">
        <v>27</v>
      </c>
    </row>
    <row r="180" spans="1:7" x14ac:dyDescent="0.3">
      <c r="A180" s="1">
        <v>45654</v>
      </c>
      <c r="B180">
        <v>2024</v>
      </c>
      <c r="C180" s="2" t="s">
        <v>34</v>
      </c>
      <c r="D180">
        <v>12</v>
      </c>
      <c r="E180" s="2" t="s">
        <v>37</v>
      </c>
      <c r="F180" s="1">
        <v>45627</v>
      </c>
      <c r="G180" s="2" t="s">
        <v>28</v>
      </c>
    </row>
    <row r="181" spans="1:7" x14ac:dyDescent="0.3">
      <c r="A181" s="1">
        <v>45655</v>
      </c>
      <c r="B181">
        <v>2024</v>
      </c>
      <c r="C181" s="2" t="s">
        <v>34</v>
      </c>
      <c r="D181">
        <v>12</v>
      </c>
      <c r="E181" s="2" t="s">
        <v>37</v>
      </c>
      <c r="F181" s="1">
        <v>45627</v>
      </c>
      <c r="G181" s="2" t="s">
        <v>29</v>
      </c>
    </row>
    <row r="182" spans="1:7" x14ac:dyDescent="0.3">
      <c r="A182" s="1">
        <v>45656</v>
      </c>
      <c r="B182">
        <v>2024</v>
      </c>
      <c r="C182" s="2" t="s">
        <v>34</v>
      </c>
      <c r="D182">
        <v>12</v>
      </c>
      <c r="E182" s="2" t="s">
        <v>37</v>
      </c>
      <c r="F182" s="1">
        <v>45627</v>
      </c>
      <c r="G182" s="2" t="s">
        <v>30</v>
      </c>
    </row>
    <row r="183" spans="1:7" x14ac:dyDescent="0.3">
      <c r="A183" s="1">
        <v>45657</v>
      </c>
      <c r="B183">
        <v>2024</v>
      </c>
      <c r="C183" s="2" t="s">
        <v>34</v>
      </c>
      <c r="D183">
        <v>12</v>
      </c>
      <c r="E183" s="2" t="s">
        <v>37</v>
      </c>
      <c r="F183" s="1">
        <v>45627</v>
      </c>
      <c r="G183" s="2" t="s">
        <v>31</v>
      </c>
    </row>
    <row r="184" spans="1:7" x14ac:dyDescent="0.3">
      <c r="A184" s="1">
        <v>45658</v>
      </c>
      <c r="B184">
        <v>2025</v>
      </c>
      <c r="C184" s="2" t="s">
        <v>38</v>
      </c>
      <c r="D184">
        <v>1</v>
      </c>
      <c r="E184" s="2" t="s">
        <v>39</v>
      </c>
      <c r="F184" s="1">
        <v>45658</v>
      </c>
      <c r="G184" s="2" t="s">
        <v>25</v>
      </c>
    </row>
    <row r="185" spans="1:7" x14ac:dyDescent="0.3">
      <c r="A185" s="1">
        <v>45659</v>
      </c>
      <c r="B185">
        <v>2025</v>
      </c>
      <c r="C185" s="2" t="s">
        <v>38</v>
      </c>
      <c r="D185">
        <v>1</v>
      </c>
      <c r="E185" s="2" t="s">
        <v>39</v>
      </c>
      <c r="F185" s="1">
        <v>45658</v>
      </c>
      <c r="G185" s="2" t="s">
        <v>26</v>
      </c>
    </row>
    <row r="186" spans="1:7" x14ac:dyDescent="0.3">
      <c r="A186" s="1">
        <v>45660</v>
      </c>
      <c r="B186">
        <v>2025</v>
      </c>
      <c r="C186" s="2" t="s">
        <v>38</v>
      </c>
      <c r="D186">
        <v>1</v>
      </c>
      <c r="E186" s="2" t="s">
        <v>39</v>
      </c>
      <c r="F186" s="1">
        <v>45658</v>
      </c>
      <c r="G186" s="2" t="s">
        <v>27</v>
      </c>
    </row>
    <row r="187" spans="1:7" x14ac:dyDescent="0.3">
      <c r="A187" s="1">
        <v>45661</v>
      </c>
      <c r="B187">
        <v>2025</v>
      </c>
      <c r="C187" s="2" t="s">
        <v>38</v>
      </c>
      <c r="D187">
        <v>1</v>
      </c>
      <c r="E187" s="2" t="s">
        <v>39</v>
      </c>
      <c r="F187" s="1">
        <v>45658</v>
      </c>
      <c r="G187" s="2" t="s">
        <v>28</v>
      </c>
    </row>
    <row r="188" spans="1:7" x14ac:dyDescent="0.3">
      <c r="A188" s="1">
        <v>45662</v>
      </c>
      <c r="B188">
        <v>2025</v>
      </c>
      <c r="C188" s="2" t="s">
        <v>38</v>
      </c>
      <c r="D188">
        <v>1</v>
      </c>
      <c r="E188" s="2" t="s">
        <v>39</v>
      </c>
      <c r="F188" s="1">
        <v>45658</v>
      </c>
      <c r="G188" s="2" t="s">
        <v>29</v>
      </c>
    </row>
    <row r="189" spans="1:7" x14ac:dyDescent="0.3">
      <c r="A189" s="1">
        <v>45663</v>
      </c>
      <c r="B189">
        <v>2025</v>
      </c>
      <c r="C189" s="2" t="s">
        <v>38</v>
      </c>
      <c r="D189">
        <v>1</v>
      </c>
      <c r="E189" s="2" t="s">
        <v>39</v>
      </c>
      <c r="F189" s="1">
        <v>45658</v>
      </c>
      <c r="G189" s="2" t="s">
        <v>30</v>
      </c>
    </row>
    <row r="190" spans="1:7" x14ac:dyDescent="0.3">
      <c r="A190" s="1">
        <v>45664</v>
      </c>
      <c r="B190">
        <v>2025</v>
      </c>
      <c r="C190" s="2" t="s">
        <v>38</v>
      </c>
      <c r="D190">
        <v>1</v>
      </c>
      <c r="E190" s="2" t="s">
        <v>39</v>
      </c>
      <c r="F190" s="1">
        <v>45658</v>
      </c>
      <c r="G190" s="2" t="s">
        <v>31</v>
      </c>
    </row>
    <row r="191" spans="1:7" x14ac:dyDescent="0.3">
      <c r="A191" s="1">
        <v>45665</v>
      </c>
      <c r="B191">
        <v>2025</v>
      </c>
      <c r="C191" s="2" t="s">
        <v>38</v>
      </c>
      <c r="D191">
        <v>1</v>
      </c>
      <c r="E191" s="2" t="s">
        <v>39</v>
      </c>
      <c r="F191" s="1">
        <v>45658</v>
      </c>
      <c r="G191" s="2" t="s">
        <v>25</v>
      </c>
    </row>
    <row r="192" spans="1:7" x14ac:dyDescent="0.3">
      <c r="A192" s="1">
        <v>45666</v>
      </c>
      <c r="B192">
        <v>2025</v>
      </c>
      <c r="C192" s="2" t="s">
        <v>38</v>
      </c>
      <c r="D192">
        <v>1</v>
      </c>
      <c r="E192" s="2" t="s">
        <v>39</v>
      </c>
      <c r="F192" s="1">
        <v>45658</v>
      </c>
      <c r="G192" s="2" t="s">
        <v>26</v>
      </c>
    </row>
    <row r="193" spans="1:7" x14ac:dyDescent="0.3">
      <c r="A193" s="1">
        <v>45667</v>
      </c>
      <c r="B193">
        <v>2025</v>
      </c>
      <c r="C193" s="2" t="s">
        <v>38</v>
      </c>
      <c r="D193">
        <v>1</v>
      </c>
      <c r="E193" s="2" t="s">
        <v>39</v>
      </c>
      <c r="F193" s="1">
        <v>45658</v>
      </c>
      <c r="G193" s="2" t="s">
        <v>27</v>
      </c>
    </row>
    <row r="194" spans="1:7" x14ac:dyDescent="0.3">
      <c r="A194" s="1">
        <v>45668</v>
      </c>
      <c r="B194">
        <v>2025</v>
      </c>
      <c r="C194" s="2" t="s">
        <v>38</v>
      </c>
      <c r="D194">
        <v>1</v>
      </c>
      <c r="E194" s="2" t="s">
        <v>39</v>
      </c>
      <c r="F194" s="1">
        <v>45658</v>
      </c>
      <c r="G194" s="2" t="s">
        <v>28</v>
      </c>
    </row>
    <row r="195" spans="1:7" x14ac:dyDescent="0.3">
      <c r="A195" s="1">
        <v>45669</v>
      </c>
      <c r="B195">
        <v>2025</v>
      </c>
      <c r="C195" s="2" t="s">
        <v>38</v>
      </c>
      <c r="D195">
        <v>1</v>
      </c>
      <c r="E195" s="2" t="s">
        <v>39</v>
      </c>
      <c r="F195" s="1">
        <v>45658</v>
      </c>
      <c r="G195" s="2" t="s">
        <v>29</v>
      </c>
    </row>
    <row r="196" spans="1:7" x14ac:dyDescent="0.3">
      <c r="A196" s="1">
        <v>45670</v>
      </c>
      <c r="B196">
        <v>2025</v>
      </c>
      <c r="C196" s="2" t="s">
        <v>38</v>
      </c>
      <c r="D196">
        <v>1</v>
      </c>
      <c r="E196" s="2" t="s">
        <v>39</v>
      </c>
      <c r="F196" s="1">
        <v>45658</v>
      </c>
      <c r="G196" s="2" t="s">
        <v>30</v>
      </c>
    </row>
    <row r="197" spans="1:7" x14ac:dyDescent="0.3">
      <c r="A197" s="1">
        <v>45671</v>
      </c>
      <c r="B197">
        <v>2025</v>
      </c>
      <c r="C197" s="2" t="s">
        <v>38</v>
      </c>
      <c r="D197">
        <v>1</v>
      </c>
      <c r="E197" s="2" t="s">
        <v>39</v>
      </c>
      <c r="F197" s="1">
        <v>45658</v>
      </c>
      <c r="G197" s="2" t="s">
        <v>31</v>
      </c>
    </row>
    <row r="198" spans="1:7" x14ac:dyDescent="0.3">
      <c r="A198" s="1">
        <v>45672</v>
      </c>
      <c r="B198">
        <v>2025</v>
      </c>
      <c r="C198" s="2" t="s">
        <v>38</v>
      </c>
      <c r="D198">
        <v>1</v>
      </c>
      <c r="E198" s="2" t="s">
        <v>39</v>
      </c>
      <c r="F198" s="1">
        <v>45658</v>
      </c>
      <c r="G198" s="2" t="s">
        <v>25</v>
      </c>
    </row>
    <row r="199" spans="1:7" x14ac:dyDescent="0.3">
      <c r="A199" s="1">
        <v>45673</v>
      </c>
      <c r="B199">
        <v>2025</v>
      </c>
      <c r="C199" s="2" t="s">
        <v>38</v>
      </c>
      <c r="D199">
        <v>1</v>
      </c>
      <c r="E199" s="2" t="s">
        <v>39</v>
      </c>
      <c r="F199" s="1">
        <v>45658</v>
      </c>
      <c r="G199" s="2" t="s">
        <v>26</v>
      </c>
    </row>
    <row r="200" spans="1:7" x14ac:dyDescent="0.3">
      <c r="A200" s="1">
        <v>45674</v>
      </c>
      <c r="B200">
        <v>2025</v>
      </c>
      <c r="C200" s="2" t="s">
        <v>38</v>
      </c>
      <c r="D200">
        <v>1</v>
      </c>
      <c r="E200" s="2" t="s">
        <v>39</v>
      </c>
      <c r="F200" s="1">
        <v>45658</v>
      </c>
      <c r="G200" s="2" t="s">
        <v>27</v>
      </c>
    </row>
    <row r="201" spans="1:7" x14ac:dyDescent="0.3">
      <c r="A201" s="1">
        <v>45675</v>
      </c>
      <c r="B201">
        <v>2025</v>
      </c>
      <c r="C201" s="2" t="s">
        <v>38</v>
      </c>
      <c r="D201">
        <v>1</v>
      </c>
      <c r="E201" s="2" t="s">
        <v>39</v>
      </c>
      <c r="F201" s="1">
        <v>45658</v>
      </c>
      <c r="G201" s="2" t="s">
        <v>28</v>
      </c>
    </row>
    <row r="202" spans="1:7" x14ac:dyDescent="0.3">
      <c r="A202" s="1">
        <v>45676</v>
      </c>
      <c r="B202">
        <v>2025</v>
      </c>
      <c r="C202" s="2" t="s">
        <v>38</v>
      </c>
      <c r="D202">
        <v>1</v>
      </c>
      <c r="E202" s="2" t="s">
        <v>39</v>
      </c>
      <c r="F202" s="1">
        <v>45658</v>
      </c>
      <c r="G202" s="2" t="s">
        <v>29</v>
      </c>
    </row>
    <row r="203" spans="1:7" x14ac:dyDescent="0.3">
      <c r="A203" s="1">
        <v>45677</v>
      </c>
      <c r="B203">
        <v>2025</v>
      </c>
      <c r="C203" s="2" t="s">
        <v>38</v>
      </c>
      <c r="D203">
        <v>1</v>
      </c>
      <c r="E203" s="2" t="s">
        <v>39</v>
      </c>
      <c r="F203" s="1">
        <v>45658</v>
      </c>
      <c r="G203" s="2" t="s">
        <v>30</v>
      </c>
    </row>
    <row r="204" spans="1:7" x14ac:dyDescent="0.3">
      <c r="A204" s="1">
        <v>45678</v>
      </c>
      <c r="B204">
        <v>2025</v>
      </c>
      <c r="C204" s="2" t="s">
        <v>38</v>
      </c>
      <c r="D204">
        <v>1</v>
      </c>
      <c r="E204" s="2" t="s">
        <v>39</v>
      </c>
      <c r="F204" s="1">
        <v>45658</v>
      </c>
      <c r="G204" s="2" t="s">
        <v>31</v>
      </c>
    </row>
    <row r="205" spans="1:7" x14ac:dyDescent="0.3">
      <c r="A205" s="1">
        <v>45679</v>
      </c>
      <c r="B205">
        <v>2025</v>
      </c>
      <c r="C205" s="2" t="s">
        <v>38</v>
      </c>
      <c r="D205">
        <v>1</v>
      </c>
      <c r="E205" s="2" t="s">
        <v>39</v>
      </c>
      <c r="F205" s="1">
        <v>45658</v>
      </c>
      <c r="G205" s="2" t="s">
        <v>25</v>
      </c>
    </row>
    <row r="206" spans="1:7" x14ac:dyDescent="0.3">
      <c r="A206" s="1">
        <v>45680</v>
      </c>
      <c r="B206">
        <v>2025</v>
      </c>
      <c r="C206" s="2" t="s">
        <v>38</v>
      </c>
      <c r="D206">
        <v>1</v>
      </c>
      <c r="E206" s="2" t="s">
        <v>39</v>
      </c>
      <c r="F206" s="1">
        <v>45658</v>
      </c>
      <c r="G206" s="2" t="s">
        <v>26</v>
      </c>
    </row>
    <row r="207" spans="1:7" x14ac:dyDescent="0.3">
      <c r="A207" s="1">
        <v>45681</v>
      </c>
      <c r="B207">
        <v>2025</v>
      </c>
      <c r="C207" s="2" t="s">
        <v>38</v>
      </c>
      <c r="D207">
        <v>1</v>
      </c>
      <c r="E207" s="2" t="s">
        <v>39</v>
      </c>
      <c r="F207" s="1">
        <v>45658</v>
      </c>
      <c r="G207" s="2" t="s">
        <v>27</v>
      </c>
    </row>
    <row r="208" spans="1:7" x14ac:dyDescent="0.3">
      <c r="A208" s="1">
        <v>45682</v>
      </c>
      <c r="B208">
        <v>2025</v>
      </c>
      <c r="C208" s="2" t="s">
        <v>38</v>
      </c>
      <c r="D208">
        <v>1</v>
      </c>
      <c r="E208" s="2" t="s">
        <v>39</v>
      </c>
      <c r="F208" s="1">
        <v>45658</v>
      </c>
      <c r="G208" s="2" t="s">
        <v>28</v>
      </c>
    </row>
    <row r="209" spans="1:7" x14ac:dyDescent="0.3">
      <c r="A209" s="1">
        <v>45683</v>
      </c>
      <c r="B209">
        <v>2025</v>
      </c>
      <c r="C209" s="2" t="s">
        <v>38</v>
      </c>
      <c r="D209">
        <v>1</v>
      </c>
      <c r="E209" s="2" t="s">
        <v>39</v>
      </c>
      <c r="F209" s="1">
        <v>45658</v>
      </c>
      <c r="G209" s="2" t="s">
        <v>29</v>
      </c>
    </row>
    <row r="210" spans="1:7" x14ac:dyDescent="0.3">
      <c r="A210" s="1">
        <v>45684</v>
      </c>
      <c r="B210">
        <v>2025</v>
      </c>
      <c r="C210" s="2" t="s">
        <v>38</v>
      </c>
      <c r="D210">
        <v>1</v>
      </c>
      <c r="E210" s="2" t="s">
        <v>39</v>
      </c>
      <c r="F210" s="1">
        <v>45658</v>
      </c>
      <c r="G210" s="2" t="s">
        <v>30</v>
      </c>
    </row>
    <row r="211" spans="1:7" x14ac:dyDescent="0.3">
      <c r="A211" s="1">
        <v>45685</v>
      </c>
      <c r="B211">
        <v>2025</v>
      </c>
      <c r="C211" s="2" t="s">
        <v>38</v>
      </c>
      <c r="D211">
        <v>1</v>
      </c>
      <c r="E211" s="2" t="s">
        <v>39</v>
      </c>
      <c r="F211" s="1">
        <v>45658</v>
      </c>
      <c r="G211" s="2" t="s">
        <v>31</v>
      </c>
    </row>
    <row r="212" spans="1:7" x14ac:dyDescent="0.3">
      <c r="A212" s="1">
        <v>45686</v>
      </c>
      <c r="B212">
        <v>2025</v>
      </c>
      <c r="C212" s="2" t="s">
        <v>38</v>
      </c>
      <c r="D212">
        <v>1</v>
      </c>
      <c r="E212" s="2" t="s">
        <v>39</v>
      </c>
      <c r="F212" s="1">
        <v>45658</v>
      </c>
      <c r="G212" s="2" t="s">
        <v>25</v>
      </c>
    </row>
    <row r="213" spans="1:7" x14ac:dyDescent="0.3">
      <c r="A213" s="1">
        <v>45687</v>
      </c>
      <c r="B213">
        <v>2025</v>
      </c>
      <c r="C213" s="2" t="s">
        <v>38</v>
      </c>
      <c r="D213">
        <v>1</v>
      </c>
      <c r="E213" s="2" t="s">
        <v>39</v>
      </c>
      <c r="F213" s="1">
        <v>45658</v>
      </c>
      <c r="G213" s="2" t="s">
        <v>26</v>
      </c>
    </row>
    <row r="214" spans="1:7" x14ac:dyDescent="0.3">
      <c r="A214" s="1">
        <v>45688</v>
      </c>
      <c r="B214">
        <v>2025</v>
      </c>
      <c r="C214" s="2" t="s">
        <v>38</v>
      </c>
      <c r="D214">
        <v>1</v>
      </c>
      <c r="E214" s="2" t="s">
        <v>39</v>
      </c>
      <c r="F214" s="1">
        <v>45658</v>
      </c>
      <c r="G214" s="2" t="s">
        <v>27</v>
      </c>
    </row>
    <row r="215" spans="1:7" x14ac:dyDescent="0.3">
      <c r="A215" s="1">
        <v>45689</v>
      </c>
      <c r="B215">
        <v>2025</v>
      </c>
      <c r="C215" s="2" t="s">
        <v>38</v>
      </c>
      <c r="D215">
        <v>2</v>
      </c>
      <c r="E215" s="2" t="s">
        <v>40</v>
      </c>
      <c r="F215" s="1">
        <v>45689</v>
      </c>
      <c r="G215" s="2" t="s">
        <v>28</v>
      </c>
    </row>
    <row r="216" spans="1:7" x14ac:dyDescent="0.3">
      <c r="A216" s="1">
        <v>45690</v>
      </c>
      <c r="B216">
        <v>2025</v>
      </c>
      <c r="C216" s="2" t="s">
        <v>38</v>
      </c>
      <c r="D216">
        <v>2</v>
      </c>
      <c r="E216" s="2" t="s">
        <v>40</v>
      </c>
      <c r="F216" s="1">
        <v>45689</v>
      </c>
      <c r="G216" s="2" t="s">
        <v>29</v>
      </c>
    </row>
    <row r="217" spans="1:7" x14ac:dyDescent="0.3">
      <c r="A217" s="1">
        <v>45691</v>
      </c>
      <c r="B217">
        <v>2025</v>
      </c>
      <c r="C217" s="2" t="s">
        <v>38</v>
      </c>
      <c r="D217">
        <v>2</v>
      </c>
      <c r="E217" s="2" t="s">
        <v>40</v>
      </c>
      <c r="F217" s="1">
        <v>45689</v>
      </c>
      <c r="G217" s="2" t="s">
        <v>30</v>
      </c>
    </row>
    <row r="218" spans="1:7" x14ac:dyDescent="0.3">
      <c r="A218" s="1">
        <v>45692</v>
      </c>
      <c r="B218">
        <v>2025</v>
      </c>
      <c r="C218" s="2" t="s">
        <v>38</v>
      </c>
      <c r="D218">
        <v>2</v>
      </c>
      <c r="E218" s="2" t="s">
        <v>40</v>
      </c>
      <c r="F218" s="1">
        <v>45689</v>
      </c>
      <c r="G218" s="2" t="s">
        <v>31</v>
      </c>
    </row>
    <row r="219" spans="1:7" x14ac:dyDescent="0.3">
      <c r="A219" s="1">
        <v>45693</v>
      </c>
      <c r="B219">
        <v>2025</v>
      </c>
      <c r="C219" s="2" t="s">
        <v>38</v>
      </c>
      <c r="D219">
        <v>2</v>
      </c>
      <c r="E219" s="2" t="s">
        <v>40</v>
      </c>
      <c r="F219" s="1">
        <v>45689</v>
      </c>
      <c r="G219" s="2" t="s">
        <v>25</v>
      </c>
    </row>
    <row r="220" spans="1:7" x14ac:dyDescent="0.3">
      <c r="A220" s="1">
        <v>45694</v>
      </c>
      <c r="B220">
        <v>2025</v>
      </c>
      <c r="C220" s="2" t="s">
        <v>38</v>
      </c>
      <c r="D220">
        <v>2</v>
      </c>
      <c r="E220" s="2" t="s">
        <v>40</v>
      </c>
      <c r="F220" s="1">
        <v>45689</v>
      </c>
      <c r="G220" s="2" t="s">
        <v>26</v>
      </c>
    </row>
    <row r="221" spans="1:7" x14ac:dyDescent="0.3">
      <c r="A221" s="1">
        <v>45695</v>
      </c>
      <c r="B221">
        <v>2025</v>
      </c>
      <c r="C221" s="2" t="s">
        <v>38</v>
      </c>
      <c r="D221">
        <v>2</v>
      </c>
      <c r="E221" s="2" t="s">
        <v>40</v>
      </c>
      <c r="F221" s="1">
        <v>45689</v>
      </c>
      <c r="G221" s="2" t="s">
        <v>27</v>
      </c>
    </row>
    <row r="222" spans="1:7" x14ac:dyDescent="0.3">
      <c r="A222" s="1">
        <v>45696</v>
      </c>
      <c r="B222">
        <v>2025</v>
      </c>
      <c r="C222" s="2" t="s">
        <v>38</v>
      </c>
      <c r="D222">
        <v>2</v>
      </c>
      <c r="E222" s="2" t="s">
        <v>40</v>
      </c>
      <c r="F222" s="1">
        <v>45689</v>
      </c>
      <c r="G222" s="2" t="s">
        <v>28</v>
      </c>
    </row>
    <row r="223" spans="1:7" x14ac:dyDescent="0.3">
      <c r="A223" s="1">
        <v>45697</v>
      </c>
      <c r="B223">
        <v>2025</v>
      </c>
      <c r="C223" s="2" t="s">
        <v>38</v>
      </c>
      <c r="D223">
        <v>2</v>
      </c>
      <c r="E223" s="2" t="s">
        <v>40</v>
      </c>
      <c r="F223" s="1">
        <v>45689</v>
      </c>
      <c r="G223" s="2" t="s">
        <v>29</v>
      </c>
    </row>
    <row r="224" spans="1:7" x14ac:dyDescent="0.3">
      <c r="A224" s="1">
        <v>45698</v>
      </c>
      <c r="B224">
        <v>2025</v>
      </c>
      <c r="C224" s="2" t="s">
        <v>38</v>
      </c>
      <c r="D224">
        <v>2</v>
      </c>
      <c r="E224" s="2" t="s">
        <v>40</v>
      </c>
      <c r="F224" s="1">
        <v>45689</v>
      </c>
      <c r="G224" s="2" t="s">
        <v>30</v>
      </c>
    </row>
    <row r="225" spans="1:7" x14ac:dyDescent="0.3">
      <c r="A225" s="1">
        <v>45699</v>
      </c>
      <c r="B225">
        <v>2025</v>
      </c>
      <c r="C225" s="2" t="s">
        <v>38</v>
      </c>
      <c r="D225">
        <v>2</v>
      </c>
      <c r="E225" s="2" t="s">
        <v>40</v>
      </c>
      <c r="F225" s="1">
        <v>45689</v>
      </c>
      <c r="G225" s="2" t="s">
        <v>31</v>
      </c>
    </row>
    <row r="226" spans="1:7" x14ac:dyDescent="0.3">
      <c r="A226" s="1">
        <v>45700</v>
      </c>
      <c r="B226">
        <v>2025</v>
      </c>
      <c r="C226" s="2" t="s">
        <v>38</v>
      </c>
      <c r="D226">
        <v>2</v>
      </c>
      <c r="E226" s="2" t="s">
        <v>40</v>
      </c>
      <c r="F226" s="1">
        <v>45689</v>
      </c>
      <c r="G226" s="2" t="s">
        <v>25</v>
      </c>
    </row>
    <row r="227" spans="1:7" x14ac:dyDescent="0.3">
      <c r="A227" s="1">
        <v>45701</v>
      </c>
      <c r="B227">
        <v>2025</v>
      </c>
      <c r="C227" s="2" t="s">
        <v>38</v>
      </c>
      <c r="D227">
        <v>2</v>
      </c>
      <c r="E227" s="2" t="s">
        <v>40</v>
      </c>
      <c r="F227" s="1">
        <v>45689</v>
      </c>
      <c r="G227" s="2" t="s">
        <v>26</v>
      </c>
    </row>
    <row r="228" spans="1:7" x14ac:dyDescent="0.3">
      <c r="A228" s="1">
        <v>45702</v>
      </c>
      <c r="B228">
        <v>2025</v>
      </c>
      <c r="C228" s="2" t="s">
        <v>38</v>
      </c>
      <c r="D228">
        <v>2</v>
      </c>
      <c r="E228" s="2" t="s">
        <v>40</v>
      </c>
      <c r="F228" s="1">
        <v>45689</v>
      </c>
      <c r="G228" s="2" t="s">
        <v>27</v>
      </c>
    </row>
    <row r="229" spans="1:7" x14ac:dyDescent="0.3">
      <c r="A229" s="1">
        <v>45703</v>
      </c>
      <c r="B229">
        <v>2025</v>
      </c>
      <c r="C229" s="2" t="s">
        <v>38</v>
      </c>
      <c r="D229">
        <v>2</v>
      </c>
      <c r="E229" s="2" t="s">
        <v>40</v>
      </c>
      <c r="F229" s="1">
        <v>45689</v>
      </c>
      <c r="G229" s="2" t="s">
        <v>28</v>
      </c>
    </row>
    <row r="230" spans="1:7" x14ac:dyDescent="0.3">
      <c r="A230" s="1">
        <v>45704</v>
      </c>
      <c r="B230">
        <v>2025</v>
      </c>
      <c r="C230" s="2" t="s">
        <v>38</v>
      </c>
      <c r="D230">
        <v>2</v>
      </c>
      <c r="E230" s="2" t="s">
        <v>40</v>
      </c>
      <c r="F230" s="1">
        <v>45689</v>
      </c>
      <c r="G230" s="2" t="s">
        <v>29</v>
      </c>
    </row>
    <row r="231" spans="1:7" x14ac:dyDescent="0.3">
      <c r="A231" s="1">
        <v>45705</v>
      </c>
      <c r="B231">
        <v>2025</v>
      </c>
      <c r="C231" s="2" t="s">
        <v>38</v>
      </c>
      <c r="D231">
        <v>2</v>
      </c>
      <c r="E231" s="2" t="s">
        <v>40</v>
      </c>
      <c r="F231" s="1">
        <v>45689</v>
      </c>
      <c r="G231" s="2" t="s">
        <v>30</v>
      </c>
    </row>
    <row r="232" spans="1:7" x14ac:dyDescent="0.3">
      <c r="A232" s="1">
        <v>45706</v>
      </c>
      <c r="B232">
        <v>2025</v>
      </c>
      <c r="C232" s="2" t="s">
        <v>38</v>
      </c>
      <c r="D232">
        <v>2</v>
      </c>
      <c r="E232" s="2" t="s">
        <v>40</v>
      </c>
      <c r="F232" s="1">
        <v>45689</v>
      </c>
      <c r="G232" s="2" t="s">
        <v>31</v>
      </c>
    </row>
    <row r="233" spans="1:7" x14ac:dyDescent="0.3">
      <c r="A233" s="1">
        <v>45707</v>
      </c>
      <c r="B233">
        <v>2025</v>
      </c>
      <c r="C233" s="2" t="s">
        <v>38</v>
      </c>
      <c r="D233">
        <v>2</v>
      </c>
      <c r="E233" s="2" t="s">
        <v>40</v>
      </c>
      <c r="F233" s="1">
        <v>45689</v>
      </c>
      <c r="G233" s="2" t="s">
        <v>25</v>
      </c>
    </row>
    <row r="234" spans="1:7" x14ac:dyDescent="0.3">
      <c r="A234" s="1">
        <v>45708</v>
      </c>
      <c r="B234">
        <v>2025</v>
      </c>
      <c r="C234" s="2" t="s">
        <v>38</v>
      </c>
      <c r="D234">
        <v>2</v>
      </c>
      <c r="E234" s="2" t="s">
        <v>40</v>
      </c>
      <c r="F234" s="1">
        <v>45689</v>
      </c>
      <c r="G234" s="2" t="s">
        <v>26</v>
      </c>
    </row>
    <row r="235" spans="1:7" x14ac:dyDescent="0.3">
      <c r="A235" s="1">
        <v>45709</v>
      </c>
      <c r="B235">
        <v>2025</v>
      </c>
      <c r="C235" s="2" t="s">
        <v>38</v>
      </c>
      <c r="D235">
        <v>2</v>
      </c>
      <c r="E235" s="2" t="s">
        <v>40</v>
      </c>
      <c r="F235" s="1">
        <v>45689</v>
      </c>
      <c r="G235" s="2" t="s">
        <v>27</v>
      </c>
    </row>
    <row r="236" spans="1:7" x14ac:dyDescent="0.3">
      <c r="A236" s="1">
        <v>45710</v>
      </c>
      <c r="B236">
        <v>2025</v>
      </c>
      <c r="C236" s="2" t="s">
        <v>38</v>
      </c>
      <c r="D236">
        <v>2</v>
      </c>
      <c r="E236" s="2" t="s">
        <v>40</v>
      </c>
      <c r="F236" s="1">
        <v>45689</v>
      </c>
      <c r="G236" s="2" t="s">
        <v>28</v>
      </c>
    </row>
    <row r="237" spans="1:7" x14ac:dyDescent="0.3">
      <c r="A237" s="1">
        <v>45711</v>
      </c>
      <c r="B237">
        <v>2025</v>
      </c>
      <c r="C237" s="2" t="s">
        <v>38</v>
      </c>
      <c r="D237">
        <v>2</v>
      </c>
      <c r="E237" s="2" t="s">
        <v>40</v>
      </c>
      <c r="F237" s="1">
        <v>45689</v>
      </c>
      <c r="G237" s="2" t="s">
        <v>29</v>
      </c>
    </row>
    <row r="238" spans="1:7" x14ac:dyDescent="0.3">
      <c r="A238" s="1">
        <v>45712</v>
      </c>
      <c r="B238">
        <v>2025</v>
      </c>
      <c r="C238" s="2" t="s">
        <v>38</v>
      </c>
      <c r="D238">
        <v>2</v>
      </c>
      <c r="E238" s="2" t="s">
        <v>40</v>
      </c>
      <c r="F238" s="1">
        <v>45689</v>
      </c>
      <c r="G238" s="2" t="s">
        <v>30</v>
      </c>
    </row>
    <row r="239" spans="1:7" x14ac:dyDescent="0.3">
      <c r="A239" s="1">
        <v>45713</v>
      </c>
      <c r="B239">
        <v>2025</v>
      </c>
      <c r="C239" s="2" t="s">
        <v>38</v>
      </c>
      <c r="D239">
        <v>2</v>
      </c>
      <c r="E239" s="2" t="s">
        <v>40</v>
      </c>
      <c r="F239" s="1">
        <v>45689</v>
      </c>
      <c r="G239" s="2" t="s">
        <v>31</v>
      </c>
    </row>
    <row r="240" spans="1:7" x14ac:dyDescent="0.3">
      <c r="A240" s="1">
        <v>45714</v>
      </c>
      <c r="B240">
        <v>2025</v>
      </c>
      <c r="C240" s="2" t="s">
        <v>38</v>
      </c>
      <c r="D240">
        <v>2</v>
      </c>
      <c r="E240" s="2" t="s">
        <v>40</v>
      </c>
      <c r="F240" s="1">
        <v>45689</v>
      </c>
      <c r="G240" s="2" t="s">
        <v>25</v>
      </c>
    </row>
    <row r="241" spans="1:7" x14ac:dyDescent="0.3">
      <c r="A241" s="1">
        <v>45715</v>
      </c>
      <c r="B241">
        <v>2025</v>
      </c>
      <c r="C241" s="2" t="s">
        <v>38</v>
      </c>
      <c r="D241">
        <v>2</v>
      </c>
      <c r="E241" s="2" t="s">
        <v>40</v>
      </c>
      <c r="F241" s="1">
        <v>45689</v>
      </c>
      <c r="G241" s="2" t="s">
        <v>26</v>
      </c>
    </row>
    <row r="242" spans="1:7" x14ac:dyDescent="0.3">
      <c r="A242" s="1">
        <v>45716</v>
      </c>
      <c r="B242">
        <v>2025</v>
      </c>
      <c r="C242" s="2" t="s">
        <v>38</v>
      </c>
      <c r="D242">
        <v>2</v>
      </c>
      <c r="E242" s="2" t="s">
        <v>40</v>
      </c>
      <c r="F242" s="1">
        <v>45689</v>
      </c>
      <c r="G242" s="2" t="s">
        <v>27</v>
      </c>
    </row>
    <row r="243" spans="1:7" x14ac:dyDescent="0.3">
      <c r="A243" s="1">
        <v>45717</v>
      </c>
      <c r="B243">
        <v>2025</v>
      </c>
      <c r="C243" s="2" t="s">
        <v>38</v>
      </c>
      <c r="D243">
        <v>3</v>
      </c>
      <c r="E243" s="2" t="s">
        <v>41</v>
      </c>
      <c r="F243" s="1">
        <v>45717</v>
      </c>
      <c r="G243" s="2" t="s">
        <v>28</v>
      </c>
    </row>
    <row r="244" spans="1:7" x14ac:dyDescent="0.3">
      <c r="A244" s="1">
        <v>45718</v>
      </c>
      <c r="B244">
        <v>2025</v>
      </c>
      <c r="C244" s="2" t="s">
        <v>38</v>
      </c>
      <c r="D244">
        <v>3</v>
      </c>
      <c r="E244" s="2" t="s">
        <v>41</v>
      </c>
      <c r="F244" s="1">
        <v>45717</v>
      </c>
      <c r="G244" s="2" t="s">
        <v>29</v>
      </c>
    </row>
    <row r="245" spans="1:7" x14ac:dyDescent="0.3">
      <c r="A245" s="1">
        <v>45719</v>
      </c>
      <c r="B245">
        <v>2025</v>
      </c>
      <c r="C245" s="2" t="s">
        <v>38</v>
      </c>
      <c r="D245">
        <v>3</v>
      </c>
      <c r="E245" s="2" t="s">
        <v>41</v>
      </c>
      <c r="F245" s="1">
        <v>45717</v>
      </c>
      <c r="G245" s="2" t="s">
        <v>30</v>
      </c>
    </row>
    <row r="246" spans="1:7" x14ac:dyDescent="0.3">
      <c r="A246" s="1">
        <v>45720</v>
      </c>
      <c r="B246">
        <v>2025</v>
      </c>
      <c r="C246" s="2" t="s">
        <v>38</v>
      </c>
      <c r="D246">
        <v>3</v>
      </c>
      <c r="E246" s="2" t="s">
        <v>41</v>
      </c>
      <c r="F246" s="1">
        <v>45717</v>
      </c>
      <c r="G246" s="2" t="s">
        <v>31</v>
      </c>
    </row>
    <row r="247" spans="1:7" x14ac:dyDescent="0.3">
      <c r="A247" s="1">
        <v>45721</v>
      </c>
      <c r="B247">
        <v>2025</v>
      </c>
      <c r="C247" s="2" t="s">
        <v>38</v>
      </c>
      <c r="D247">
        <v>3</v>
      </c>
      <c r="E247" s="2" t="s">
        <v>41</v>
      </c>
      <c r="F247" s="1">
        <v>45717</v>
      </c>
      <c r="G247" s="2" t="s">
        <v>25</v>
      </c>
    </row>
    <row r="248" spans="1:7" x14ac:dyDescent="0.3">
      <c r="A248" s="1">
        <v>45722</v>
      </c>
      <c r="B248">
        <v>2025</v>
      </c>
      <c r="C248" s="2" t="s">
        <v>38</v>
      </c>
      <c r="D248">
        <v>3</v>
      </c>
      <c r="E248" s="2" t="s">
        <v>41</v>
      </c>
      <c r="F248" s="1">
        <v>45717</v>
      </c>
      <c r="G248" s="2" t="s">
        <v>26</v>
      </c>
    </row>
    <row r="249" spans="1:7" x14ac:dyDescent="0.3">
      <c r="A249" s="1">
        <v>45723</v>
      </c>
      <c r="B249">
        <v>2025</v>
      </c>
      <c r="C249" s="2" t="s">
        <v>38</v>
      </c>
      <c r="D249">
        <v>3</v>
      </c>
      <c r="E249" s="2" t="s">
        <v>41</v>
      </c>
      <c r="F249" s="1">
        <v>45717</v>
      </c>
      <c r="G249" s="2" t="s">
        <v>27</v>
      </c>
    </row>
    <row r="250" spans="1:7" x14ac:dyDescent="0.3">
      <c r="A250" s="1">
        <v>45724</v>
      </c>
      <c r="B250">
        <v>2025</v>
      </c>
      <c r="C250" s="2" t="s">
        <v>38</v>
      </c>
      <c r="D250">
        <v>3</v>
      </c>
      <c r="E250" s="2" t="s">
        <v>41</v>
      </c>
      <c r="F250" s="1">
        <v>45717</v>
      </c>
      <c r="G250" s="2" t="s">
        <v>28</v>
      </c>
    </row>
    <row r="251" spans="1:7" x14ac:dyDescent="0.3">
      <c r="A251" s="1">
        <v>45725</v>
      </c>
      <c r="B251">
        <v>2025</v>
      </c>
      <c r="C251" s="2" t="s">
        <v>38</v>
      </c>
      <c r="D251">
        <v>3</v>
      </c>
      <c r="E251" s="2" t="s">
        <v>41</v>
      </c>
      <c r="F251" s="1">
        <v>45717</v>
      </c>
      <c r="G251" s="2" t="s">
        <v>29</v>
      </c>
    </row>
    <row r="252" spans="1:7" x14ac:dyDescent="0.3">
      <c r="A252" s="1">
        <v>45726</v>
      </c>
      <c r="B252">
        <v>2025</v>
      </c>
      <c r="C252" s="2" t="s">
        <v>38</v>
      </c>
      <c r="D252">
        <v>3</v>
      </c>
      <c r="E252" s="2" t="s">
        <v>41</v>
      </c>
      <c r="F252" s="1">
        <v>45717</v>
      </c>
      <c r="G252" s="2" t="s">
        <v>30</v>
      </c>
    </row>
    <row r="253" spans="1:7" x14ac:dyDescent="0.3">
      <c r="A253" s="1">
        <v>45727</v>
      </c>
      <c r="B253">
        <v>2025</v>
      </c>
      <c r="C253" s="2" t="s">
        <v>38</v>
      </c>
      <c r="D253">
        <v>3</v>
      </c>
      <c r="E253" s="2" t="s">
        <v>41</v>
      </c>
      <c r="F253" s="1">
        <v>45717</v>
      </c>
      <c r="G253" s="2" t="s">
        <v>31</v>
      </c>
    </row>
    <row r="254" spans="1:7" x14ac:dyDescent="0.3">
      <c r="A254" s="1">
        <v>45728</v>
      </c>
      <c r="B254">
        <v>2025</v>
      </c>
      <c r="C254" s="2" t="s">
        <v>38</v>
      </c>
      <c r="D254">
        <v>3</v>
      </c>
      <c r="E254" s="2" t="s">
        <v>41</v>
      </c>
      <c r="F254" s="1">
        <v>45717</v>
      </c>
      <c r="G254" s="2" t="s">
        <v>25</v>
      </c>
    </row>
    <row r="255" spans="1:7" x14ac:dyDescent="0.3">
      <c r="A255" s="1">
        <v>45729</v>
      </c>
      <c r="B255">
        <v>2025</v>
      </c>
      <c r="C255" s="2" t="s">
        <v>38</v>
      </c>
      <c r="D255">
        <v>3</v>
      </c>
      <c r="E255" s="2" t="s">
        <v>41</v>
      </c>
      <c r="F255" s="1">
        <v>45717</v>
      </c>
      <c r="G255" s="2" t="s">
        <v>26</v>
      </c>
    </row>
    <row r="256" spans="1:7" x14ac:dyDescent="0.3">
      <c r="A256" s="1">
        <v>45730</v>
      </c>
      <c r="B256">
        <v>2025</v>
      </c>
      <c r="C256" s="2" t="s">
        <v>38</v>
      </c>
      <c r="D256">
        <v>3</v>
      </c>
      <c r="E256" s="2" t="s">
        <v>41</v>
      </c>
      <c r="F256" s="1">
        <v>45717</v>
      </c>
      <c r="G256" s="2" t="s">
        <v>27</v>
      </c>
    </row>
    <row r="257" spans="1:7" x14ac:dyDescent="0.3">
      <c r="A257" s="1">
        <v>45731</v>
      </c>
      <c r="B257">
        <v>2025</v>
      </c>
      <c r="C257" s="2" t="s">
        <v>38</v>
      </c>
      <c r="D257">
        <v>3</v>
      </c>
      <c r="E257" s="2" t="s">
        <v>41</v>
      </c>
      <c r="F257" s="1">
        <v>45717</v>
      </c>
      <c r="G257" s="2" t="s">
        <v>28</v>
      </c>
    </row>
    <row r="258" spans="1:7" x14ac:dyDescent="0.3">
      <c r="A258" s="1">
        <v>45732</v>
      </c>
      <c r="B258">
        <v>2025</v>
      </c>
      <c r="C258" s="2" t="s">
        <v>38</v>
      </c>
      <c r="D258">
        <v>3</v>
      </c>
      <c r="E258" s="2" t="s">
        <v>41</v>
      </c>
      <c r="F258" s="1">
        <v>45717</v>
      </c>
      <c r="G258" s="2" t="s">
        <v>29</v>
      </c>
    </row>
    <row r="259" spans="1:7" x14ac:dyDescent="0.3">
      <c r="A259" s="1">
        <v>45733</v>
      </c>
      <c r="B259">
        <v>2025</v>
      </c>
      <c r="C259" s="2" t="s">
        <v>38</v>
      </c>
      <c r="D259">
        <v>3</v>
      </c>
      <c r="E259" s="2" t="s">
        <v>41</v>
      </c>
      <c r="F259" s="1">
        <v>45717</v>
      </c>
      <c r="G259" s="2" t="s">
        <v>30</v>
      </c>
    </row>
    <row r="260" spans="1:7" x14ac:dyDescent="0.3">
      <c r="A260" s="1">
        <v>45734</v>
      </c>
      <c r="B260">
        <v>2025</v>
      </c>
      <c r="C260" s="2" t="s">
        <v>38</v>
      </c>
      <c r="D260">
        <v>3</v>
      </c>
      <c r="E260" s="2" t="s">
        <v>41</v>
      </c>
      <c r="F260" s="1">
        <v>45717</v>
      </c>
      <c r="G260" s="2" t="s">
        <v>31</v>
      </c>
    </row>
    <row r="261" spans="1:7" x14ac:dyDescent="0.3">
      <c r="A261" s="1">
        <v>45735</v>
      </c>
      <c r="B261">
        <v>2025</v>
      </c>
      <c r="C261" s="2" t="s">
        <v>38</v>
      </c>
      <c r="D261">
        <v>3</v>
      </c>
      <c r="E261" s="2" t="s">
        <v>41</v>
      </c>
      <c r="F261" s="1">
        <v>45717</v>
      </c>
      <c r="G261" s="2" t="s">
        <v>25</v>
      </c>
    </row>
    <row r="262" spans="1:7" x14ac:dyDescent="0.3">
      <c r="A262" s="1">
        <v>45736</v>
      </c>
      <c r="B262">
        <v>2025</v>
      </c>
      <c r="C262" s="2" t="s">
        <v>38</v>
      </c>
      <c r="D262">
        <v>3</v>
      </c>
      <c r="E262" s="2" t="s">
        <v>41</v>
      </c>
      <c r="F262" s="1">
        <v>45717</v>
      </c>
      <c r="G262" s="2" t="s">
        <v>26</v>
      </c>
    </row>
    <row r="263" spans="1:7" x14ac:dyDescent="0.3">
      <c r="A263" s="1">
        <v>45737</v>
      </c>
      <c r="B263">
        <v>2025</v>
      </c>
      <c r="C263" s="2" t="s">
        <v>38</v>
      </c>
      <c r="D263">
        <v>3</v>
      </c>
      <c r="E263" s="2" t="s">
        <v>41</v>
      </c>
      <c r="F263" s="1">
        <v>45717</v>
      </c>
      <c r="G263" s="2" t="s">
        <v>27</v>
      </c>
    </row>
    <row r="264" spans="1:7" x14ac:dyDescent="0.3">
      <c r="A264" s="1">
        <v>45738</v>
      </c>
      <c r="B264">
        <v>2025</v>
      </c>
      <c r="C264" s="2" t="s">
        <v>38</v>
      </c>
      <c r="D264">
        <v>3</v>
      </c>
      <c r="E264" s="2" t="s">
        <v>41</v>
      </c>
      <c r="F264" s="1">
        <v>45717</v>
      </c>
      <c r="G264" s="2" t="s">
        <v>28</v>
      </c>
    </row>
    <row r="265" spans="1:7" x14ac:dyDescent="0.3">
      <c r="A265" s="1">
        <v>45739</v>
      </c>
      <c r="B265">
        <v>2025</v>
      </c>
      <c r="C265" s="2" t="s">
        <v>38</v>
      </c>
      <c r="D265">
        <v>3</v>
      </c>
      <c r="E265" s="2" t="s">
        <v>41</v>
      </c>
      <c r="F265" s="1">
        <v>45717</v>
      </c>
      <c r="G265" s="2" t="s">
        <v>29</v>
      </c>
    </row>
    <row r="266" spans="1:7" x14ac:dyDescent="0.3">
      <c r="A266" s="1">
        <v>45740</v>
      </c>
      <c r="B266">
        <v>2025</v>
      </c>
      <c r="C266" s="2" t="s">
        <v>38</v>
      </c>
      <c r="D266">
        <v>3</v>
      </c>
      <c r="E266" s="2" t="s">
        <v>41</v>
      </c>
      <c r="F266" s="1">
        <v>45717</v>
      </c>
      <c r="G266" s="2" t="s">
        <v>30</v>
      </c>
    </row>
    <row r="267" spans="1:7" x14ac:dyDescent="0.3">
      <c r="A267" s="1">
        <v>45741</v>
      </c>
      <c r="B267">
        <v>2025</v>
      </c>
      <c r="C267" s="2" t="s">
        <v>38</v>
      </c>
      <c r="D267">
        <v>3</v>
      </c>
      <c r="E267" s="2" t="s">
        <v>41</v>
      </c>
      <c r="F267" s="1">
        <v>45717</v>
      </c>
      <c r="G267" s="2" t="s">
        <v>31</v>
      </c>
    </row>
    <row r="268" spans="1:7" x14ac:dyDescent="0.3">
      <c r="A268" s="1">
        <v>45742</v>
      </c>
      <c r="B268">
        <v>2025</v>
      </c>
      <c r="C268" s="2" t="s">
        <v>38</v>
      </c>
      <c r="D268">
        <v>3</v>
      </c>
      <c r="E268" s="2" t="s">
        <v>41</v>
      </c>
      <c r="F268" s="1">
        <v>45717</v>
      </c>
      <c r="G268" s="2" t="s">
        <v>25</v>
      </c>
    </row>
    <row r="269" spans="1:7" x14ac:dyDescent="0.3">
      <c r="A269" s="1">
        <v>45743</v>
      </c>
      <c r="B269">
        <v>2025</v>
      </c>
      <c r="C269" s="2" t="s">
        <v>38</v>
      </c>
      <c r="D269">
        <v>3</v>
      </c>
      <c r="E269" s="2" t="s">
        <v>41</v>
      </c>
      <c r="F269" s="1">
        <v>45717</v>
      </c>
      <c r="G269" s="2" t="s">
        <v>26</v>
      </c>
    </row>
    <row r="270" spans="1:7" x14ac:dyDescent="0.3">
      <c r="A270" s="1">
        <v>45744</v>
      </c>
      <c r="B270">
        <v>2025</v>
      </c>
      <c r="C270" s="2" t="s">
        <v>38</v>
      </c>
      <c r="D270">
        <v>3</v>
      </c>
      <c r="E270" s="2" t="s">
        <v>41</v>
      </c>
      <c r="F270" s="1">
        <v>45717</v>
      </c>
      <c r="G270" s="2" t="s">
        <v>27</v>
      </c>
    </row>
    <row r="271" spans="1:7" x14ac:dyDescent="0.3">
      <c r="A271" s="1">
        <v>45745</v>
      </c>
      <c r="B271">
        <v>2025</v>
      </c>
      <c r="C271" s="2" t="s">
        <v>38</v>
      </c>
      <c r="D271">
        <v>3</v>
      </c>
      <c r="E271" s="2" t="s">
        <v>41</v>
      </c>
      <c r="F271" s="1">
        <v>45717</v>
      </c>
      <c r="G271" s="2" t="s">
        <v>28</v>
      </c>
    </row>
    <row r="272" spans="1:7" x14ac:dyDescent="0.3">
      <c r="A272" s="1">
        <v>45746</v>
      </c>
      <c r="B272">
        <v>2025</v>
      </c>
      <c r="C272" s="2" t="s">
        <v>38</v>
      </c>
      <c r="D272">
        <v>3</v>
      </c>
      <c r="E272" s="2" t="s">
        <v>41</v>
      </c>
      <c r="F272" s="1">
        <v>45717</v>
      </c>
      <c r="G272" s="2" t="s">
        <v>29</v>
      </c>
    </row>
    <row r="273" spans="1:7" x14ac:dyDescent="0.3">
      <c r="A273" s="1">
        <v>45747</v>
      </c>
      <c r="B273">
        <v>2025</v>
      </c>
      <c r="C273" s="2" t="s">
        <v>38</v>
      </c>
      <c r="D273">
        <v>3</v>
      </c>
      <c r="E273" s="2" t="s">
        <v>41</v>
      </c>
      <c r="F273" s="1">
        <v>45717</v>
      </c>
      <c r="G273" s="2" t="s">
        <v>30</v>
      </c>
    </row>
    <row r="274" spans="1:7" x14ac:dyDescent="0.3">
      <c r="A274" s="1">
        <v>45748</v>
      </c>
      <c r="B274">
        <v>2025</v>
      </c>
      <c r="C274" s="2" t="s">
        <v>42</v>
      </c>
      <c r="D274">
        <v>4</v>
      </c>
      <c r="E274" s="2" t="s">
        <v>43</v>
      </c>
      <c r="F274" s="1">
        <v>45748</v>
      </c>
      <c r="G274" s="2" t="s">
        <v>31</v>
      </c>
    </row>
    <row r="275" spans="1:7" x14ac:dyDescent="0.3">
      <c r="A275" s="1">
        <v>45749</v>
      </c>
      <c r="B275">
        <v>2025</v>
      </c>
      <c r="C275" s="2" t="s">
        <v>42</v>
      </c>
      <c r="D275">
        <v>4</v>
      </c>
      <c r="E275" s="2" t="s">
        <v>43</v>
      </c>
      <c r="F275" s="1">
        <v>45748</v>
      </c>
      <c r="G275" s="2" t="s">
        <v>25</v>
      </c>
    </row>
    <row r="276" spans="1:7" x14ac:dyDescent="0.3">
      <c r="A276" s="1">
        <v>45750</v>
      </c>
      <c r="B276">
        <v>2025</v>
      </c>
      <c r="C276" s="2" t="s">
        <v>42</v>
      </c>
      <c r="D276">
        <v>4</v>
      </c>
      <c r="E276" s="2" t="s">
        <v>43</v>
      </c>
      <c r="F276" s="1">
        <v>45748</v>
      </c>
      <c r="G276" s="2" t="s">
        <v>26</v>
      </c>
    </row>
    <row r="277" spans="1:7" x14ac:dyDescent="0.3">
      <c r="A277" s="1">
        <v>45751</v>
      </c>
      <c r="B277">
        <v>2025</v>
      </c>
      <c r="C277" s="2" t="s">
        <v>42</v>
      </c>
      <c r="D277">
        <v>4</v>
      </c>
      <c r="E277" s="2" t="s">
        <v>43</v>
      </c>
      <c r="F277" s="1">
        <v>45748</v>
      </c>
      <c r="G277" s="2" t="s">
        <v>27</v>
      </c>
    </row>
    <row r="278" spans="1:7" x14ac:dyDescent="0.3">
      <c r="A278" s="1">
        <v>45752</v>
      </c>
      <c r="B278">
        <v>2025</v>
      </c>
      <c r="C278" s="2" t="s">
        <v>42</v>
      </c>
      <c r="D278">
        <v>4</v>
      </c>
      <c r="E278" s="2" t="s">
        <v>43</v>
      </c>
      <c r="F278" s="1">
        <v>45748</v>
      </c>
      <c r="G278" s="2" t="s">
        <v>28</v>
      </c>
    </row>
    <row r="279" spans="1:7" x14ac:dyDescent="0.3">
      <c r="A279" s="1">
        <v>45753</v>
      </c>
      <c r="B279">
        <v>2025</v>
      </c>
      <c r="C279" s="2" t="s">
        <v>42</v>
      </c>
      <c r="D279">
        <v>4</v>
      </c>
      <c r="E279" s="2" t="s">
        <v>43</v>
      </c>
      <c r="F279" s="1">
        <v>45748</v>
      </c>
      <c r="G279" s="2" t="s">
        <v>29</v>
      </c>
    </row>
    <row r="280" spans="1:7" x14ac:dyDescent="0.3">
      <c r="A280" s="1">
        <v>45754</v>
      </c>
      <c r="B280">
        <v>2025</v>
      </c>
      <c r="C280" s="2" t="s">
        <v>42</v>
      </c>
      <c r="D280">
        <v>4</v>
      </c>
      <c r="E280" s="2" t="s">
        <v>43</v>
      </c>
      <c r="F280" s="1">
        <v>45748</v>
      </c>
      <c r="G280" s="2" t="s">
        <v>30</v>
      </c>
    </row>
    <row r="281" spans="1:7" x14ac:dyDescent="0.3">
      <c r="A281" s="1">
        <v>45755</v>
      </c>
      <c r="B281">
        <v>2025</v>
      </c>
      <c r="C281" s="2" t="s">
        <v>42</v>
      </c>
      <c r="D281">
        <v>4</v>
      </c>
      <c r="E281" s="2" t="s">
        <v>43</v>
      </c>
      <c r="F281" s="1">
        <v>45748</v>
      </c>
      <c r="G281" s="2" t="s">
        <v>31</v>
      </c>
    </row>
    <row r="282" spans="1:7" x14ac:dyDescent="0.3">
      <c r="A282" s="1">
        <v>45756</v>
      </c>
      <c r="B282">
        <v>2025</v>
      </c>
      <c r="C282" s="2" t="s">
        <v>42</v>
      </c>
      <c r="D282">
        <v>4</v>
      </c>
      <c r="E282" s="2" t="s">
        <v>43</v>
      </c>
      <c r="F282" s="1">
        <v>45748</v>
      </c>
      <c r="G282" s="2" t="s">
        <v>25</v>
      </c>
    </row>
    <row r="283" spans="1:7" x14ac:dyDescent="0.3">
      <c r="A283" s="1">
        <v>45757</v>
      </c>
      <c r="B283">
        <v>2025</v>
      </c>
      <c r="C283" s="2" t="s">
        <v>42</v>
      </c>
      <c r="D283">
        <v>4</v>
      </c>
      <c r="E283" s="2" t="s">
        <v>43</v>
      </c>
      <c r="F283" s="1">
        <v>45748</v>
      </c>
      <c r="G283" s="2" t="s">
        <v>26</v>
      </c>
    </row>
    <row r="284" spans="1:7" x14ac:dyDescent="0.3">
      <c r="A284" s="1">
        <v>45758</v>
      </c>
      <c r="B284">
        <v>2025</v>
      </c>
      <c r="C284" s="2" t="s">
        <v>42</v>
      </c>
      <c r="D284">
        <v>4</v>
      </c>
      <c r="E284" s="2" t="s">
        <v>43</v>
      </c>
      <c r="F284" s="1">
        <v>45748</v>
      </c>
      <c r="G284" s="2" t="s">
        <v>27</v>
      </c>
    </row>
    <row r="285" spans="1:7" x14ac:dyDescent="0.3">
      <c r="A285" s="1">
        <v>45759</v>
      </c>
      <c r="B285">
        <v>2025</v>
      </c>
      <c r="C285" s="2" t="s">
        <v>42</v>
      </c>
      <c r="D285">
        <v>4</v>
      </c>
      <c r="E285" s="2" t="s">
        <v>43</v>
      </c>
      <c r="F285" s="1">
        <v>45748</v>
      </c>
      <c r="G285" s="2" t="s">
        <v>28</v>
      </c>
    </row>
    <row r="286" spans="1:7" x14ac:dyDescent="0.3">
      <c r="A286" s="1">
        <v>45760</v>
      </c>
      <c r="B286">
        <v>2025</v>
      </c>
      <c r="C286" s="2" t="s">
        <v>42</v>
      </c>
      <c r="D286">
        <v>4</v>
      </c>
      <c r="E286" s="2" t="s">
        <v>43</v>
      </c>
      <c r="F286" s="1">
        <v>45748</v>
      </c>
      <c r="G286" s="2" t="s">
        <v>29</v>
      </c>
    </row>
    <row r="287" spans="1:7" x14ac:dyDescent="0.3">
      <c r="A287" s="1">
        <v>45761</v>
      </c>
      <c r="B287">
        <v>2025</v>
      </c>
      <c r="C287" s="2" t="s">
        <v>42</v>
      </c>
      <c r="D287">
        <v>4</v>
      </c>
      <c r="E287" s="2" t="s">
        <v>43</v>
      </c>
      <c r="F287" s="1">
        <v>45748</v>
      </c>
      <c r="G287" s="2" t="s">
        <v>30</v>
      </c>
    </row>
    <row r="288" spans="1:7" x14ac:dyDescent="0.3">
      <c r="A288" s="1">
        <v>45762</v>
      </c>
      <c r="B288">
        <v>2025</v>
      </c>
      <c r="C288" s="2" t="s">
        <v>42</v>
      </c>
      <c r="D288">
        <v>4</v>
      </c>
      <c r="E288" s="2" t="s">
        <v>43</v>
      </c>
      <c r="F288" s="1">
        <v>45748</v>
      </c>
      <c r="G288" s="2" t="s">
        <v>31</v>
      </c>
    </row>
    <row r="289" spans="1:7" x14ac:dyDescent="0.3">
      <c r="A289" s="1">
        <v>45763</v>
      </c>
      <c r="B289">
        <v>2025</v>
      </c>
      <c r="C289" s="2" t="s">
        <v>42</v>
      </c>
      <c r="D289">
        <v>4</v>
      </c>
      <c r="E289" s="2" t="s">
        <v>43</v>
      </c>
      <c r="F289" s="1">
        <v>45748</v>
      </c>
      <c r="G289" s="2" t="s">
        <v>25</v>
      </c>
    </row>
    <row r="290" spans="1:7" x14ac:dyDescent="0.3">
      <c r="A290" s="1">
        <v>45764</v>
      </c>
      <c r="B290">
        <v>2025</v>
      </c>
      <c r="C290" s="2" t="s">
        <v>42</v>
      </c>
      <c r="D290">
        <v>4</v>
      </c>
      <c r="E290" s="2" t="s">
        <v>43</v>
      </c>
      <c r="F290" s="1">
        <v>45748</v>
      </c>
      <c r="G290" s="2" t="s">
        <v>26</v>
      </c>
    </row>
    <row r="291" spans="1:7" x14ac:dyDescent="0.3">
      <c r="A291" s="1">
        <v>45765</v>
      </c>
      <c r="B291">
        <v>2025</v>
      </c>
      <c r="C291" s="2" t="s">
        <v>42</v>
      </c>
      <c r="D291">
        <v>4</v>
      </c>
      <c r="E291" s="2" t="s">
        <v>43</v>
      </c>
      <c r="F291" s="1">
        <v>45748</v>
      </c>
      <c r="G291" s="2" t="s">
        <v>27</v>
      </c>
    </row>
    <row r="292" spans="1:7" x14ac:dyDescent="0.3">
      <c r="A292" s="1">
        <v>45766</v>
      </c>
      <c r="B292">
        <v>2025</v>
      </c>
      <c r="C292" s="2" t="s">
        <v>42</v>
      </c>
      <c r="D292">
        <v>4</v>
      </c>
      <c r="E292" s="2" t="s">
        <v>43</v>
      </c>
      <c r="F292" s="1">
        <v>45748</v>
      </c>
      <c r="G292" s="2" t="s">
        <v>28</v>
      </c>
    </row>
    <row r="293" spans="1:7" x14ac:dyDescent="0.3">
      <c r="A293" s="1">
        <v>45767</v>
      </c>
      <c r="B293">
        <v>2025</v>
      </c>
      <c r="C293" s="2" t="s">
        <v>42</v>
      </c>
      <c r="D293">
        <v>4</v>
      </c>
      <c r="E293" s="2" t="s">
        <v>43</v>
      </c>
      <c r="F293" s="1">
        <v>45748</v>
      </c>
      <c r="G293" s="2" t="s">
        <v>29</v>
      </c>
    </row>
    <row r="294" spans="1:7" x14ac:dyDescent="0.3">
      <c r="A294" s="1">
        <v>45768</v>
      </c>
      <c r="B294">
        <v>2025</v>
      </c>
      <c r="C294" s="2" t="s">
        <v>42</v>
      </c>
      <c r="D294">
        <v>4</v>
      </c>
      <c r="E294" s="2" t="s">
        <v>43</v>
      </c>
      <c r="F294" s="1">
        <v>45748</v>
      </c>
      <c r="G294" s="2" t="s">
        <v>30</v>
      </c>
    </row>
    <row r="295" spans="1:7" x14ac:dyDescent="0.3">
      <c r="A295" s="1">
        <v>45769</v>
      </c>
      <c r="B295">
        <v>2025</v>
      </c>
      <c r="C295" s="2" t="s">
        <v>42</v>
      </c>
      <c r="D295">
        <v>4</v>
      </c>
      <c r="E295" s="2" t="s">
        <v>43</v>
      </c>
      <c r="F295" s="1">
        <v>45748</v>
      </c>
      <c r="G295" s="2" t="s">
        <v>31</v>
      </c>
    </row>
    <row r="296" spans="1:7" x14ac:dyDescent="0.3">
      <c r="A296" s="1">
        <v>45770</v>
      </c>
      <c r="B296">
        <v>2025</v>
      </c>
      <c r="C296" s="2" t="s">
        <v>42</v>
      </c>
      <c r="D296">
        <v>4</v>
      </c>
      <c r="E296" s="2" t="s">
        <v>43</v>
      </c>
      <c r="F296" s="1">
        <v>45748</v>
      </c>
      <c r="G296" s="2" t="s">
        <v>25</v>
      </c>
    </row>
    <row r="297" spans="1:7" x14ac:dyDescent="0.3">
      <c r="A297" s="1">
        <v>45771</v>
      </c>
      <c r="B297">
        <v>2025</v>
      </c>
      <c r="C297" s="2" t="s">
        <v>42</v>
      </c>
      <c r="D297">
        <v>4</v>
      </c>
      <c r="E297" s="2" t="s">
        <v>43</v>
      </c>
      <c r="F297" s="1">
        <v>45748</v>
      </c>
      <c r="G297" s="2" t="s">
        <v>26</v>
      </c>
    </row>
    <row r="298" spans="1:7" x14ac:dyDescent="0.3">
      <c r="A298" s="1">
        <v>45772</v>
      </c>
      <c r="B298">
        <v>2025</v>
      </c>
      <c r="C298" s="2" t="s">
        <v>42</v>
      </c>
      <c r="D298">
        <v>4</v>
      </c>
      <c r="E298" s="2" t="s">
        <v>43</v>
      </c>
      <c r="F298" s="1">
        <v>45748</v>
      </c>
      <c r="G298" s="2" t="s">
        <v>27</v>
      </c>
    </row>
    <row r="299" spans="1:7" x14ac:dyDescent="0.3">
      <c r="A299" s="1">
        <v>45773</v>
      </c>
      <c r="B299">
        <v>2025</v>
      </c>
      <c r="C299" s="2" t="s">
        <v>42</v>
      </c>
      <c r="D299">
        <v>4</v>
      </c>
      <c r="E299" s="2" t="s">
        <v>43</v>
      </c>
      <c r="F299" s="1">
        <v>45748</v>
      </c>
      <c r="G299" s="2" t="s">
        <v>28</v>
      </c>
    </row>
    <row r="300" spans="1:7" x14ac:dyDescent="0.3">
      <c r="A300" s="1">
        <v>45774</v>
      </c>
      <c r="B300">
        <v>2025</v>
      </c>
      <c r="C300" s="2" t="s">
        <v>42</v>
      </c>
      <c r="D300">
        <v>4</v>
      </c>
      <c r="E300" s="2" t="s">
        <v>43</v>
      </c>
      <c r="F300" s="1">
        <v>45748</v>
      </c>
      <c r="G300" s="2" t="s">
        <v>29</v>
      </c>
    </row>
    <row r="301" spans="1:7" x14ac:dyDescent="0.3">
      <c r="A301" s="1">
        <v>45775</v>
      </c>
      <c r="B301">
        <v>2025</v>
      </c>
      <c r="C301" s="2" t="s">
        <v>42</v>
      </c>
      <c r="D301">
        <v>4</v>
      </c>
      <c r="E301" s="2" t="s">
        <v>43</v>
      </c>
      <c r="F301" s="1">
        <v>45748</v>
      </c>
      <c r="G301" s="2" t="s">
        <v>30</v>
      </c>
    </row>
    <row r="302" spans="1:7" x14ac:dyDescent="0.3">
      <c r="A302" s="1">
        <v>45776</v>
      </c>
      <c r="B302">
        <v>2025</v>
      </c>
      <c r="C302" s="2" t="s">
        <v>42</v>
      </c>
      <c r="D302">
        <v>4</v>
      </c>
      <c r="E302" s="2" t="s">
        <v>43</v>
      </c>
      <c r="F302" s="1">
        <v>45748</v>
      </c>
      <c r="G302" s="2" t="s">
        <v>31</v>
      </c>
    </row>
    <row r="303" spans="1:7" x14ac:dyDescent="0.3">
      <c r="A303" s="1">
        <v>45777</v>
      </c>
      <c r="B303">
        <v>2025</v>
      </c>
      <c r="C303" s="2" t="s">
        <v>42</v>
      </c>
      <c r="D303">
        <v>4</v>
      </c>
      <c r="E303" s="2" t="s">
        <v>43</v>
      </c>
      <c r="F303" s="1">
        <v>45748</v>
      </c>
      <c r="G303" s="2" t="s">
        <v>25</v>
      </c>
    </row>
    <row r="304" spans="1:7" x14ac:dyDescent="0.3">
      <c r="A304" s="1">
        <v>45778</v>
      </c>
      <c r="B304">
        <v>2025</v>
      </c>
      <c r="C304" s="2" t="s">
        <v>42</v>
      </c>
      <c r="D304">
        <v>5</v>
      </c>
      <c r="E304" s="2" t="s">
        <v>44</v>
      </c>
      <c r="F304" s="1">
        <v>45778</v>
      </c>
      <c r="G304" s="2" t="s">
        <v>26</v>
      </c>
    </row>
    <row r="305" spans="1:7" x14ac:dyDescent="0.3">
      <c r="A305" s="1">
        <v>45779</v>
      </c>
      <c r="B305">
        <v>2025</v>
      </c>
      <c r="C305" s="2" t="s">
        <v>42</v>
      </c>
      <c r="D305">
        <v>5</v>
      </c>
      <c r="E305" s="2" t="s">
        <v>44</v>
      </c>
      <c r="F305" s="1">
        <v>45778</v>
      </c>
      <c r="G305" s="2" t="s">
        <v>27</v>
      </c>
    </row>
    <row r="306" spans="1:7" x14ac:dyDescent="0.3">
      <c r="A306" s="1">
        <v>45780</v>
      </c>
      <c r="B306">
        <v>2025</v>
      </c>
      <c r="C306" s="2" t="s">
        <v>42</v>
      </c>
      <c r="D306">
        <v>5</v>
      </c>
      <c r="E306" s="2" t="s">
        <v>44</v>
      </c>
      <c r="F306" s="1">
        <v>45778</v>
      </c>
      <c r="G306" s="2" t="s">
        <v>28</v>
      </c>
    </row>
    <row r="307" spans="1:7" x14ac:dyDescent="0.3">
      <c r="A307" s="1">
        <v>45781</v>
      </c>
      <c r="B307">
        <v>2025</v>
      </c>
      <c r="C307" s="2" t="s">
        <v>42</v>
      </c>
      <c r="D307">
        <v>5</v>
      </c>
      <c r="E307" s="2" t="s">
        <v>44</v>
      </c>
      <c r="F307" s="1">
        <v>45778</v>
      </c>
      <c r="G307" s="2" t="s">
        <v>29</v>
      </c>
    </row>
    <row r="308" spans="1:7" x14ac:dyDescent="0.3">
      <c r="A308" s="1">
        <v>45782</v>
      </c>
      <c r="B308">
        <v>2025</v>
      </c>
      <c r="C308" s="2" t="s">
        <v>42</v>
      </c>
      <c r="D308">
        <v>5</v>
      </c>
      <c r="E308" s="2" t="s">
        <v>44</v>
      </c>
      <c r="F308" s="1">
        <v>45778</v>
      </c>
      <c r="G308" s="2" t="s">
        <v>30</v>
      </c>
    </row>
    <row r="309" spans="1:7" x14ac:dyDescent="0.3">
      <c r="A309" s="1">
        <v>45783</v>
      </c>
      <c r="B309">
        <v>2025</v>
      </c>
      <c r="C309" s="2" t="s">
        <v>42</v>
      </c>
      <c r="D309">
        <v>5</v>
      </c>
      <c r="E309" s="2" t="s">
        <v>44</v>
      </c>
      <c r="F309" s="1">
        <v>45778</v>
      </c>
      <c r="G309" s="2" t="s">
        <v>31</v>
      </c>
    </row>
    <row r="310" spans="1:7" x14ac:dyDescent="0.3">
      <c r="A310" s="1">
        <v>45784</v>
      </c>
      <c r="B310">
        <v>2025</v>
      </c>
      <c r="C310" s="2" t="s">
        <v>42</v>
      </c>
      <c r="D310">
        <v>5</v>
      </c>
      <c r="E310" s="2" t="s">
        <v>44</v>
      </c>
      <c r="F310" s="1">
        <v>45778</v>
      </c>
      <c r="G310" s="2" t="s">
        <v>25</v>
      </c>
    </row>
    <row r="311" spans="1:7" x14ac:dyDescent="0.3">
      <c r="A311" s="1">
        <v>45785</v>
      </c>
      <c r="B311">
        <v>2025</v>
      </c>
      <c r="C311" s="2" t="s">
        <v>42</v>
      </c>
      <c r="D311">
        <v>5</v>
      </c>
      <c r="E311" s="2" t="s">
        <v>44</v>
      </c>
      <c r="F311" s="1">
        <v>45778</v>
      </c>
      <c r="G311" s="2" t="s">
        <v>26</v>
      </c>
    </row>
    <row r="312" spans="1:7" x14ac:dyDescent="0.3">
      <c r="A312" s="1">
        <v>45786</v>
      </c>
      <c r="B312">
        <v>2025</v>
      </c>
      <c r="C312" s="2" t="s">
        <v>42</v>
      </c>
      <c r="D312">
        <v>5</v>
      </c>
      <c r="E312" s="2" t="s">
        <v>44</v>
      </c>
      <c r="F312" s="1">
        <v>45778</v>
      </c>
      <c r="G312" s="2" t="s">
        <v>27</v>
      </c>
    </row>
    <row r="313" spans="1:7" x14ac:dyDescent="0.3">
      <c r="A313" s="1">
        <v>45787</v>
      </c>
      <c r="B313">
        <v>2025</v>
      </c>
      <c r="C313" s="2" t="s">
        <v>42</v>
      </c>
      <c r="D313">
        <v>5</v>
      </c>
      <c r="E313" s="2" t="s">
        <v>44</v>
      </c>
      <c r="F313" s="1">
        <v>45778</v>
      </c>
      <c r="G313" s="2" t="s">
        <v>28</v>
      </c>
    </row>
    <row r="314" spans="1:7" x14ac:dyDescent="0.3">
      <c r="A314" s="1">
        <v>45788</v>
      </c>
      <c r="B314">
        <v>2025</v>
      </c>
      <c r="C314" s="2" t="s">
        <v>42</v>
      </c>
      <c r="D314">
        <v>5</v>
      </c>
      <c r="E314" s="2" t="s">
        <v>44</v>
      </c>
      <c r="F314" s="1">
        <v>45778</v>
      </c>
      <c r="G314" s="2" t="s">
        <v>29</v>
      </c>
    </row>
    <row r="315" spans="1:7" x14ac:dyDescent="0.3">
      <c r="A315" s="1">
        <v>45789</v>
      </c>
      <c r="B315">
        <v>2025</v>
      </c>
      <c r="C315" s="2" t="s">
        <v>42</v>
      </c>
      <c r="D315">
        <v>5</v>
      </c>
      <c r="E315" s="2" t="s">
        <v>44</v>
      </c>
      <c r="F315" s="1">
        <v>45778</v>
      </c>
      <c r="G315" s="2" t="s">
        <v>30</v>
      </c>
    </row>
    <row r="316" spans="1:7" x14ac:dyDescent="0.3">
      <c r="A316" s="1">
        <v>45790</v>
      </c>
      <c r="B316">
        <v>2025</v>
      </c>
      <c r="C316" s="2" t="s">
        <v>42</v>
      </c>
      <c r="D316">
        <v>5</v>
      </c>
      <c r="E316" s="2" t="s">
        <v>44</v>
      </c>
      <c r="F316" s="1">
        <v>45778</v>
      </c>
      <c r="G316" s="2" t="s">
        <v>31</v>
      </c>
    </row>
    <row r="317" spans="1:7" x14ac:dyDescent="0.3">
      <c r="A317" s="1">
        <v>45791</v>
      </c>
      <c r="B317">
        <v>2025</v>
      </c>
      <c r="C317" s="2" t="s">
        <v>42</v>
      </c>
      <c r="D317">
        <v>5</v>
      </c>
      <c r="E317" s="2" t="s">
        <v>44</v>
      </c>
      <c r="F317" s="1">
        <v>45778</v>
      </c>
      <c r="G317" s="2" t="s">
        <v>25</v>
      </c>
    </row>
    <row r="318" spans="1:7" x14ac:dyDescent="0.3">
      <c r="A318" s="1">
        <v>45792</v>
      </c>
      <c r="B318">
        <v>2025</v>
      </c>
      <c r="C318" s="2" t="s">
        <v>42</v>
      </c>
      <c r="D318">
        <v>5</v>
      </c>
      <c r="E318" s="2" t="s">
        <v>44</v>
      </c>
      <c r="F318" s="1">
        <v>45778</v>
      </c>
      <c r="G318" s="2" t="s">
        <v>26</v>
      </c>
    </row>
    <row r="319" spans="1:7" x14ac:dyDescent="0.3">
      <c r="A319" s="1">
        <v>45793</v>
      </c>
      <c r="B319">
        <v>2025</v>
      </c>
      <c r="C319" s="2" t="s">
        <v>42</v>
      </c>
      <c r="D319">
        <v>5</v>
      </c>
      <c r="E319" s="2" t="s">
        <v>44</v>
      </c>
      <c r="F319" s="1">
        <v>45778</v>
      </c>
      <c r="G319" s="2" t="s">
        <v>27</v>
      </c>
    </row>
    <row r="320" spans="1:7" x14ac:dyDescent="0.3">
      <c r="A320" s="1">
        <v>45794</v>
      </c>
      <c r="B320">
        <v>2025</v>
      </c>
      <c r="C320" s="2" t="s">
        <v>42</v>
      </c>
      <c r="D320">
        <v>5</v>
      </c>
      <c r="E320" s="2" t="s">
        <v>44</v>
      </c>
      <c r="F320" s="1">
        <v>45778</v>
      </c>
      <c r="G320" s="2" t="s">
        <v>28</v>
      </c>
    </row>
    <row r="321" spans="1:7" x14ac:dyDescent="0.3">
      <c r="A321" s="1">
        <v>45795</v>
      </c>
      <c r="B321">
        <v>2025</v>
      </c>
      <c r="C321" s="2" t="s">
        <v>42</v>
      </c>
      <c r="D321">
        <v>5</v>
      </c>
      <c r="E321" s="2" t="s">
        <v>44</v>
      </c>
      <c r="F321" s="1">
        <v>45778</v>
      </c>
      <c r="G321" s="2" t="s">
        <v>29</v>
      </c>
    </row>
    <row r="322" spans="1:7" x14ac:dyDescent="0.3">
      <c r="A322" s="1">
        <v>45796</v>
      </c>
      <c r="B322">
        <v>2025</v>
      </c>
      <c r="C322" s="2" t="s">
        <v>42</v>
      </c>
      <c r="D322">
        <v>5</v>
      </c>
      <c r="E322" s="2" t="s">
        <v>44</v>
      </c>
      <c r="F322" s="1">
        <v>45778</v>
      </c>
      <c r="G322" s="2" t="s">
        <v>30</v>
      </c>
    </row>
    <row r="323" spans="1:7" x14ac:dyDescent="0.3">
      <c r="A323" s="1">
        <v>45797</v>
      </c>
      <c r="B323">
        <v>2025</v>
      </c>
      <c r="C323" s="2" t="s">
        <v>42</v>
      </c>
      <c r="D323">
        <v>5</v>
      </c>
      <c r="E323" s="2" t="s">
        <v>44</v>
      </c>
      <c r="F323" s="1">
        <v>45778</v>
      </c>
      <c r="G323" s="2" t="s">
        <v>31</v>
      </c>
    </row>
    <row r="324" spans="1:7" x14ac:dyDescent="0.3">
      <c r="A324" s="1">
        <v>45798</v>
      </c>
      <c r="B324">
        <v>2025</v>
      </c>
      <c r="C324" s="2" t="s">
        <v>42</v>
      </c>
      <c r="D324">
        <v>5</v>
      </c>
      <c r="E324" s="2" t="s">
        <v>44</v>
      </c>
      <c r="F324" s="1">
        <v>45778</v>
      </c>
      <c r="G324" s="2" t="s">
        <v>25</v>
      </c>
    </row>
    <row r="325" spans="1:7" x14ac:dyDescent="0.3">
      <c r="A325" s="1">
        <v>45799</v>
      </c>
      <c r="B325">
        <v>2025</v>
      </c>
      <c r="C325" s="2" t="s">
        <v>42</v>
      </c>
      <c r="D325">
        <v>5</v>
      </c>
      <c r="E325" s="2" t="s">
        <v>44</v>
      </c>
      <c r="F325" s="1">
        <v>45778</v>
      </c>
      <c r="G325" s="2" t="s">
        <v>26</v>
      </c>
    </row>
    <row r="326" spans="1:7" x14ac:dyDescent="0.3">
      <c r="A326" s="1">
        <v>45800</v>
      </c>
      <c r="B326">
        <v>2025</v>
      </c>
      <c r="C326" s="2" t="s">
        <v>42</v>
      </c>
      <c r="D326">
        <v>5</v>
      </c>
      <c r="E326" s="2" t="s">
        <v>44</v>
      </c>
      <c r="F326" s="1">
        <v>45778</v>
      </c>
      <c r="G326" s="2" t="s">
        <v>27</v>
      </c>
    </row>
    <row r="327" spans="1:7" x14ac:dyDescent="0.3">
      <c r="A327" s="1">
        <v>45801</v>
      </c>
      <c r="B327">
        <v>2025</v>
      </c>
      <c r="C327" s="2" t="s">
        <v>42</v>
      </c>
      <c r="D327">
        <v>5</v>
      </c>
      <c r="E327" s="2" t="s">
        <v>44</v>
      </c>
      <c r="F327" s="1">
        <v>45778</v>
      </c>
      <c r="G327" s="2" t="s">
        <v>28</v>
      </c>
    </row>
    <row r="328" spans="1:7" x14ac:dyDescent="0.3">
      <c r="A328" s="1">
        <v>45802</v>
      </c>
      <c r="B328">
        <v>2025</v>
      </c>
      <c r="C328" s="2" t="s">
        <v>42</v>
      </c>
      <c r="D328">
        <v>5</v>
      </c>
      <c r="E328" s="2" t="s">
        <v>44</v>
      </c>
      <c r="F328" s="1">
        <v>45778</v>
      </c>
      <c r="G328" s="2" t="s">
        <v>29</v>
      </c>
    </row>
    <row r="329" spans="1:7" x14ac:dyDescent="0.3">
      <c r="A329" s="1">
        <v>45803</v>
      </c>
      <c r="B329">
        <v>2025</v>
      </c>
      <c r="C329" s="2" t="s">
        <v>42</v>
      </c>
      <c r="D329">
        <v>5</v>
      </c>
      <c r="E329" s="2" t="s">
        <v>44</v>
      </c>
      <c r="F329" s="1">
        <v>45778</v>
      </c>
      <c r="G329" s="2" t="s">
        <v>30</v>
      </c>
    </row>
    <row r="330" spans="1:7" x14ac:dyDescent="0.3">
      <c r="A330" s="1">
        <v>45804</v>
      </c>
      <c r="B330">
        <v>2025</v>
      </c>
      <c r="C330" s="2" t="s">
        <v>42</v>
      </c>
      <c r="D330">
        <v>5</v>
      </c>
      <c r="E330" s="2" t="s">
        <v>44</v>
      </c>
      <c r="F330" s="1">
        <v>45778</v>
      </c>
      <c r="G330" s="2" t="s">
        <v>31</v>
      </c>
    </row>
    <row r="331" spans="1:7" x14ac:dyDescent="0.3">
      <c r="A331" s="1">
        <v>45805</v>
      </c>
      <c r="B331">
        <v>2025</v>
      </c>
      <c r="C331" s="2" t="s">
        <v>42</v>
      </c>
      <c r="D331">
        <v>5</v>
      </c>
      <c r="E331" s="2" t="s">
        <v>44</v>
      </c>
      <c r="F331" s="1">
        <v>45778</v>
      </c>
      <c r="G331" s="2" t="s">
        <v>25</v>
      </c>
    </row>
    <row r="332" spans="1:7" x14ac:dyDescent="0.3">
      <c r="A332" s="1">
        <v>45806</v>
      </c>
      <c r="B332">
        <v>2025</v>
      </c>
      <c r="C332" s="2" t="s">
        <v>42</v>
      </c>
      <c r="D332">
        <v>5</v>
      </c>
      <c r="E332" s="2" t="s">
        <v>44</v>
      </c>
      <c r="F332" s="1">
        <v>45778</v>
      </c>
      <c r="G332" s="2" t="s">
        <v>26</v>
      </c>
    </row>
    <row r="333" spans="1:7" x14ac:dyDescent="0.3">
      <c r="A333" s="1">
        <v>45807</v>
      </c>
      <c r="B333">
        <v>2025</v>
      </c>
      <c r="C333" s="2" t="s">
        <v>42</v>
      </c>
      <c r="D333">
        <v>5</v>
      </c>
      <c r="E333" s="2" t="s">
        <v>44</v>
      </c>
      <c r="F333" s="1">
        <v>45778</v>
      </c>
      <c r="G333" s="2" t="s">
        <v>27</v>
      </c>
    </row>
    <row r="334" spans="1:7" x14ac:dyDescent="0.3">
      <c r="A334" s="1">
        <v>45808</v>
      </c>
      <c r="B334">
        <v>2025</v>
      </c>
      <c r="C334" s="2" t="s">
        <v>42</v>
      </c>
      <c r="D334">
        <v>5</v>
      </c>
      <c r="E334" s="2" t="s">
        <v>44</v>
      </c>
      <c r="F334" s="1">
        <v>45778</v>
      </c>
      <c r="G334" s="2" t="s">
        <v>28</v>
      </c>
    </row>
    <row r="335" spans="1:7" x14ac:dyDescent="0.3">
      <c r="A335" s="1">
        <v>45809</v>
      </c>
      <c r="B335">
        <v>2025</v>
      </c>
      <c r="C335" s="2" t="s">
        <v>42</v>
      </c>
      <c r="D335">
        <v>6</v>
      </c>
      <c r="E335" s="2" t="s">
        <v>45</v>
      </c>
      <c r="F335" s="1">
        <v>45809</v>
      </c>
      <c r="G335" s="2" t="s">
        <v>29</v>
      </c>
    </row>
    <row r="336" spans="1:7" x14ac:dyDescent="0.3">
      <c r="A336" s="1">
        <v>45810</v>
      </c>
      <c r="B336">
        <v>2025</v>
      </c>
      <c r="C336" s="2" t="s">
        <v>42</v>
      </c>
      <c r="D336">
        <v>6</v>
      </c>
      <c r="E336" s="2" t="s">
        <v>45</v>
      </c>
      <c r="F336" s="1">
        <v>45809</v>
      </c>
      <c r="G336" s="2" t="s">
        <v>30</v>
      </c>
    </row>
    <row r="337" spans="1:7" x14ac:dyDescent="0.3">
      <c r="A337" s="1">
        <v>45811</v>
      </c>
      <c r="B337">
        <v>2025</v>
      </c>
      <c r="C337" s="2" t="s">
        <v>42</v>
      </c>
      <c r="D337">
        <v>6</v>
      </c>
      <c r="E337" s="2" t="s">
        <v>45</v>
      </c>
      <c r="F337" s="1">
        <v>45809</v>
      </c>
      <c r="G337" s="2" t="s">
        <v>31</v>
      </c>
    </row>
    <row r="338" spans="1:7" x14ac:dyDescent="0.3">
      <c r="A338" s="1">
        <v>45812</v>
      </c>
      <c r="B338">
        <v>2025</v>
      </c>
      <c r="C338" s="2" t="s">
        <v>42</v>
      </c>
      <c r="D338">
        <v>6</v>
      </c>
      <c r="E338" s="2" t="s">
        <v>45</v>
      </c>
      <c r="F338" s="1">
        <v>45809</v>
      </c>
      <c r="G338" s="2" t="s">
        <v>25</v>
      </c>
    </row>
    <row r="339" spans="1:7" x14ac:dyDescent="0.3">
      <c r="A339" s="1">
        <v>45813</v>
      </c>
      <c r="B339">
        <v>2025</v>
      </c>
      <c r="C339" s="2" t="s">
        <v>42</v>
      </c>
      <c r="D339">
        <v>6</v>
      </c>
      <c r="E339" s="2" t="s">
        <v>45</v>
      </c>
      <c r="F339" s="1">
        <v>45809</v>
      </c>
      <c r="G339" s="2" t="s">
        <v>26</v>
      </c>
    </row>
    <row r="340" spans="1:7" x14ac:dyDescent="0.3">
      <c r="A340" s="1">
        <v>45814</v>
      </c>
      <c r="B340">
        <v>2025</v>
      </c>
      <c r="C340" s="2" t="s">
        <v>42</v>
      </c>
      <c r="D340">
        <v>6</v>
      </c>
      <c r="E340" s="2" t="s">
        <v>45</v>
      </c>
      <c r="F340" s="1">
        <v>45809</v>
      </c>
      <c r="G340" s="2" t="s">
        <v>27</v>
      </c>
    </row>
    <row r="341" spans="1:7" x14ac:dyDescent="0.3">
      <c r="A341" s="1">
        <v>45815</v>
      </c>
      <c r="B341">
        <v>2025</v>
      </c>
      <c r="C341" s="2" t="s">
        <v>42</v>
      </c>
      <c r="D341">
        <v>6</v>
      </c>
      <c r="E341" s="2" t="s">
        <v>45</v>
      </c>
      <c r="F341" s="1">
        <v>45809</v>
      </c>
      <c r="G341" s="2" t="s">
        <v>28</v>
      </c>
    </row>
    <row r="342" spans="1:7" x14ac:dyDescent="0.3">
      <c r="A342" s="1">
        <v>45816</v>
      </c>
      <c r="B342">
        <v>2025</v>
      </c>
      <c r="C342" s="2" t="s">
        <v>42</v>
      </c>
      <c r="D342">
        <v>6</v>
      </c>
      <c r="E342" s="2" t="s">
        <v>45</v>
      </c>
      <c r="F342" s="1">
        <v>45809</v>
      </c>
      <c r="G342" s="2" t="s">
        <v>29</v>
      </c>
    </row>
    <row r="343" spans="1:7" x14ac:dyDescent="0.3">
      <c r="A343" s="1">
        <v>45817</v>
      </c>
      <c r="B343">
        <v>2025</v>
      </c>
      <c r="C343" s="2" t="s">
        <v>42</v>
      </c>
      <c r="D343">
        <v>6</v>
      </c>
      <c r="E343" s="2" t="s">
        <v>45</v>
      </c>
      <c r="F343" s="1">
        <v>45809</v>
      </c>
      <c r="G343" s="2" t="s">
        <v>30</v>
      </c>
    </row>
    <row r="344" spans="1:7" x14ac:dyDescent="0.3">
      <c r="A344" s="1">
        <v>45818</v>
      </c>
      <c r="B344">
        <v>2025</v>
      </c>
      <c r="C344" s="2" t="s">
        <v>42</v>
      </c>
      <c r="D344">
        <v>6</v>
      </c>
      <c r="E344" s="2" t="s">
        <v>45</v>
      </c>
      <c r="F344" s="1">
        <v>45809</v>
      </c>
      <c r="G344" s="2" t="s">
        <v>31</v>
      </c>
    </row>
    <row r="345" spans="1:7" x14ac:dyDescent="0.3">
      <c r="A345" s="1">
        <v>45819</v>
      </c>
      <c r="B345">
        <v>2025</v>
      </c>
      <c r="C345" s="2" t="s">
        <v>42</v>
      </c>
      <c r="D345">
        <v>6</v>
      </c>
      <c r="E345" s="2" t="s">
        <v>45</v>
      </c>
      <c r="F345" s="1">
        <v>45809</v>
      </c>
      <c r="G345" s="2" t="s">
        <v>25</v>
      </c>
    </row>
    <row r="346" spans="1:7" x14ac:dyDescent="0.3">
      <c r="A346" s="1">
        <v>45820</v>
      </c>
      <c r="B346">
        <v>2025</v>
      </c>
      <c r="C346" s="2" t="s">
        <v>42</v>
      </c>
      <c r="D346">
        <v>6</v>
      </c>
      <c r="E346" s="2" t="s">
        <v>45</v>
      </c>
      <c r="F346" s="1">
        <v>45809</v>
      </c>
      <c r="G346" s="2" t="s">
        <v>26</v>
      </c>
    </row>
    <row r="347" spans="1:7" x14ac:dyDescent="0.3">
      <c r="A347" s="1">
        <v>45821</v>
      </c>
      <c r="B347">
        <v>2025</v>
      </c>
      <c r="C347" s="2" t="s">
        <v>42</v>
      </c>
      <c r="D347">
        <v>6</v>
      </c>
      <c r="E347" s="2" t="s">
        <v>45</v>
      </c>
      <c r="F347" s="1">
        <v>45809</v>
      </c>
      <c r="G347" s="2" t="s">
        <v>27</v>
      </c>
    </row>
    <row r="348" spans="1:7" x14ac:dyDescent="0.3">
      <c r="A348" s="1">
        <v>45822</v>
      </c>
      <c r="B348">
        <v>2025</v>
      </c>
      <c r="C348" s="2" t="s">
        <v>42</v>
      </c>
      <c r="D348">
        <v>6</v>
      </c>
      <c r="E348" s="2" t="s">
        <v>45</v>
      </c>
      <c r="F348" s="1">
        <v>45809</v>
      </c>
      <c r="G348" s="2" t="s">
        <v>28</v>
      </c>
    </row>
    <row r="349" spans="1:7" x14ac:dyDescent="0.3">
      <c r="A349" s="1">
        <v>45823</v>
      </c>
      <c r="B349">
        <v>2025</v>
      </c>
      <c r="C349" s="2" t="s">
        <v>42</v>
      </c>
      <c r="D349">
        <v>6</v>
      </c>
      <c r="E349" s="2" t="s">
        <v>45</v>
      </c>
      <c r="F349" s="1">
        <v>45809</v>
      </c>
      <c r="G349" s="2" t="s">
        <v>29</v>
      </c>
    </row>
    <row r="350" spans="1:7" x14ac:dyDescent="0.3">
      <c r="A350" s="1">
        <v>45824</v>
      </c>
      <c r="B350">
        <v>2025</v>
      </c>
      <c r="C350" s="2" t="s">
        <v>42</v>
      </c>
      <c r="D350">
        <v>6</v>
      </c>
      <c r="E350" s="2" t="s">
        <v>45</v>
      </c>
      <c r="F350" s="1">
        <v>45809</v>
      </c>
      <c r="G350" s="2" t="s">
        <v>30</v>
      </c>
    </row>
    <row r="351" spans="1:7" x14ac:dyDescent="0.3">
      <c r="A351" s="1">
        <v>45825</v>
      </c>
      <c r="B351">
        <v>2025</v>
      </c>
      <c r="C351" s="2" t="s">
        <v>42</v>
      </c>
      <c r="D351">
        <v>6</v>
      </c>
      <c r="E351" s="2" t="s">
        <v>45</v>
      </c>
      <c r="F351" s="1">
        <v>45809</v>
      </c>
      <c r="G351" s="2" t="s">
        <v>31</v>
      </c>
    </row>
    <row r="352" spans="1:7" x14ac:dyDescent="0.3">
      <c r="A352" s="1">
        <v>45826</v>
      </c>
      <c r="B352">
        <v>2025</v>
      </c>
      <c r="C352" s="2" t="s">
        <v>42</v>
      </c>
      <c r="D352">
        <v>6</v>
      </c>
      <c r="E352" s="2" t="s">
        <v>45</v>
      </c>
      <c r="F352" s="1">
        <v>45809</v>
      </c>
      <c r="G352" s="2" t="s">
        <v>25</v>
      </c>
    </row>
    <row r="353" spans="1:7" x14ac:dyDescent="0.3">
      <c r="A353" s="1">
        <v>45827</v>
      </c>
      <c r="B353">
        <v>2025</v>
      </c>
      <c r="C353" s="2" t="s">
        <v>42</v>
      </c>
      <c r="D353">
        <v>6</v>
      </c>
      <c r="E353" s="2" t="s">
        <v>45</v>
      </c>
      <c r="F353" s="1">
        <v>45809</v>
      </c>
      <c r="G353" s="2" t="s">
        <v>26</v>
      </c>
    </row>
    <row r="354" spans="1:7" x14ac:dyDescent="0.3">
      <c r="A354" s="1">
        <v>45828</v>
      </c>
      <c r="B354">
        <v>2025</v>
      </c>
      <c r="C354" s="2" t="s">
        <v>42</v>
      </c>
      <c r="D354">
        <v>6</v>
      </c>
      <c r="E354" s="2" t="s">
        <v>45</v>
      </c>
      <c r="F354" s="1">
        <v>45809</v>
      </c>
      <c r="G354" s="2" t="s">
        <v>27</v>
      </c>
    </row>
    <row r="355" spans="1:7" x14ac:dyDescent="0.3">
      <c r="A355" s="1">
        <v>45829</v>
      </c>
      <c r="B355">
        <v>2025</v>
      </c>
      <c r="C355" s="2" t="s">
        <v>42</v>
      </c>
      <c r="D355">
        <v>6</v>
      </c>
      <c r="E355" s="2" t="s">
        <v>45</v>
      </c>
      <c r="F355" s="1">
        <v>45809</v>
      </c>
      <c r="G355" s="2" t="s">
        <v>28</v>
      </c>
    </row>
    <row r="356" spans="1:7" x14ac:dyDescent="0.3">
      <c r="A356" s="1">
        <v>45830</v>
      </c>
      <c r="B356">
        <v>2025</v>
      </c>
      <c r="C356" s="2" t="s">
        <v>42</v>
      </c>
      <c r="D356">
        <v>6</v>
      </c>
      <c r="E356" s="2" t="s">
        <v>45</v>
      </c>
      <c r="F356" s="1">
        <v>45809</v>
      </c>
      <c r="G356" s="2" t="s">
        <v>29</v>
      </c>
    </row>
    <row r="357" spans="1:7" x14ac:dyDescent="0.3">
      <c r="A357" s="1">
        <v>45831</v>
      </c>
      <c r="B357">
        <v>2025</v>
      </c>
      <c r="C357" s="2" t="s">
        <v>42</v>
      </c>
      <c r="D357">
        <v>6</v>
      </c>
      <c r="E357" s="2" t="s">
        <v>45</v>
      </c>
      <c r="F357" s="1">
        <v>45809</v>
      </c>
      <c r="G357" s="2" t="s">
        <v>30</v>
      </c>
    </row>
    <row r="358" spans="1:7" x14ac:dyDescent="0.3">
      <c r="A358" s="1">
        <v>45832</v>
      </c>
      <c r="B358">
        <v>2025</v>
      </c>
      <c r="C358" s="2" t="s">
        <v>42</v>
      </c>
      <c r="D358">
        <v>6</v>
      </c>
      <c r="E358" s="2" t="s">
        <v>45</v>
      </c>
      <c r="F358" s="1">
        <v>45809</v>
      </c>
      <c r="G358" s="2" t="s">
        <v>31</v>
      </c>
    </row>
    <row r="359" spans="1:7" x14ac:dyDescent="0.3">
      <c r="A359" s="1">
        <v>45833</v>
      </c>
      <c r="B359">
        <v>2025</v>
      </c>
      <c r="C359" s="2" t="s">
        <v>42</v>
      </c>
      <c r="D359">
        <v>6</v>
      </c>
      <c r="E359" s="2" t="s">
        <v>45</v>
      </c>
      <c r="F359" s="1">
        <v>45809</v>
      </c>
      <c r="G359" s="2" t="s">
        <v>25</v>
      </c>
    </row>
    <row r="360" spans="1:7" x14ac:dyDescent="0.3">
      <c r="A360" s="1">
        <v>45834</v>
      </c>
      <c r="B360">
        <v>2025</v>
      </c>
      <c r="C360" s="2" t="s">
        <v>42</v>
      </c>
      <c r="D360">
        <v>6</v>
      </c>
      <c r="E360" s="2" t="s">
        <v>45</v>
      </c>
      <c r="F360" s="1">
        <v>45809</v>
      </c>
      <c r="G360" s="2" t="s">
        <v>26</v>
      </c>
    </row>
    <row r="361" spans="1:7" x14ac:dyDescent="0.3">
      <c r="A361" s="1">
        <v>45835</v>
      </c>
      <c r="B361">
        <v>2025</v>
      </c>
      <c r="C361" s="2" t="s">
        <v>42</v>
      </c>
      <c r="D361">
        <v>6</v>
      </c>
      <c r="E361" s="2" t="s">
        <v>45</v>
      </c>
      <c r="F361" s="1">
        <v>45809</v>
      </c>
      <c r="G361" s="2" t="s">
        <v>27</v>
      </c>
    </row>
    <row r="362" spans="1:7" x14ac:dyDescent="0.3">
      <c r="A362" s="1">
        <v>45836</v>
      </c>
      <c r="B362">
        <v>2025</v>
      </c>
      <c r="C362" s="2" t="s">
        <v>42</v>
      </c>
      <c r="D362">
        <v>6</v>
      </c>
      <c r="E362" s="2" t="s">
        <v>45</v>
      </c>
      <c r="F362" s="1">
        <v>45809</v>
      </c>
      <c r="G362" s="2" t="s">
        <v>28</v>
      </c>
    </row>
    <row r="363" spans="1:7" x14ac:dyDescent="0.3">
      <c r="A363" s="1">
        <v>45837</v>
      </c>
      <c r="B363">
        <v>2025</v>
      </c>
      <c r="C363" s="2" t="s">
        <v>42</v>
      </c>
      <c r="D363">
        <v>6</v>
      </c>
      <c r="E363" s="2" t="s">
        <v>45</v>
      </c>
      <c r="F363" s="1">
        <v>45809</v>
      </c>
      <c r="G363" s="2" t="s">
        <v>29</v>
      </c>
    </row>
    <row r="364" spans="1:7" x14ac:dyDescent="0.3">
      <c r="A364" s="1">
        <v>45838</v>
      </c>
      <c r="B364">
        <v>2025</v>
      </c>
      <c r="C364" s="2" t="s">
        <v>42</v>
      </c>
      <c r="D364">
        <v>6</v>
      </c>
      <c r="E364" s="2" t="s">
        <v>45</v>
      </c>
      <c r="F364" s="1">
        <v>45809</v>
      </c>
      <c r="G364" s="2" t="s">
        <v>30</v>
      </c>
    </row>
    <row r="365" spans="1:7" x14ac:dyDescent="0.3">
      <c r="A365" s="1">
        <v>45839</v>
      </c>
      <c r="B365">
        <v>2025</v>
      </c>
      <c r="C365" s="2" t="s">
        <v>23</v>
      </c>
      <c r="D365">
        <v>7</v>
      </c>
      <c r="E365" s="2" t="s">
        <v>24</v>
      </c>
      <c r="F365" s="1">
        <v>45839</v>
      </c>
      <c r="G365" s="2" t="s">
        <v>31</v>
      </c>
    </row>
    <row r="366" spans="1:7" x14ac:dyDescent="0.3">
      <c r="A366" s="1">
        <v>45840</v>
      </c>
      <c r="B366">
        <v>2025</v>
      </c>
      <c r="C366" s="2" t="s">
        <v>23</v>
      </c>
      <c r="D366">
        <v>7</v>
      </c>
      <c r="E366" s="2" t="s">
        <v>24</v>
      </c>
      <c r="F366" s="1">
        <v>45839</v>
      </c>
      <c r="G366" s="2" t="s">
        <v>25</v>
      </c>
    </row>
    <row r="367" spans="1:7" x14ac:dyDescent="0.3">
      <c r="A367" s="1">
        <v>45841</v>
      </c>
      <c r="B367">
        <v>2025</v>
      </c>
      <c r="C367" s="2" t="s">
        <v>23</v>
      </c>
      <c r="D367">
        <v>7</v>
      </c>
      <c r="E367" s="2" t="s">
        <v>24</v>
      </c>
      <c r="F367" s="1">
        <v>45839</v>
      </c>
      <c r="G367" s="2" t="s">
        <v>26</v>
      </c>
    </row>
    <row r="368" spans="1:7" x14ac:dyDescent="0.3">
      <c r="A368" s="1">
        <v>45842</v>
      </c>
      <c r="B368">
        <v>2025</v>
      </c>
      <c r="C368" s="2" t="s">
        <v>23</v>
      </c>
      <c r="D368">
        <v>7</v>
      </c>
      <c r="E368" s="2" t="s">
        <v>24</v>
      </c>
      <c r="F368" s="1">
        <v>45839</v>
      </c>
      <c r="G368" s="2" t="s">
        <v>27</v>
      </c>
    </row>
    <row r="369" spans="1:7" x14ac:dyDescent="0.3">
      <c r="A369" s="1">
        <v>45843</v>
      </c>
      <c r="B369">
        <v>2025</v>
      </c>
      <c r="C369" s="2" t="s">
        <v>23</v>
      </c>
      <c r="D369">
        <v>7</v>
      </c>
      <c r="E369" s="2" t="s">
        <v>24</v>
      </c>
      <c r="F369" s="1">
        <v>45839</v>
      </c>
      <c r="G369" s="2" t="s">
        <v>28</v>
      </c>
    </row>
    <row r="370" spans="1:7" x14ac:dyDescent="0.3">
      <c r="A370" s="1">
        <v>45844</v>
      </c>
      <c r="B370">
        <v>2025</v>
      </c>
      <c r="C370" s="2" t="s">
        <v>23</v>
      </c>
      <c r="D370">
        <v>7</v>
      </c>
      <c r="E370" s="2" t="s">
        <v>24</v>
      </c>
      <c r="F370" s="1">
        <v>45839</v>
      </c>
      <c r="G370" s="2" t="s">
        <v>29</v>
      </c>
    </row>
    <row r="371" spans="1:7" x14ac:dyDescent="0.3">
      <c r="A371" s="1">
        <v>45845</v>
      </c>
      <c r="B371">
        <v>2025</v>
      </c>
      <c r="C371" s="2" t="s">
        <v>23</v>
      </c>
      <c r="D371">
        <v>7</v>
      </c>
      <c r="E371" s="2" t="s">
        <v>24</v>
      </c>
      <c r="F371" s="1">
        <v>45839</v>
      </c>
      <c r="G371" s="2" t="s">
        <v>30</v>
      </c>
    </row>
    <row r="372" spans="1:7" x14ac:dyDescent="0.3">
      <c r="A372" s="1">
        <v>45846</v>
      </c>
      <c r="B372">
        <v>2025</v>
      </c>
      <c r="C372" s="2" t="s">
        <v>23</v>
      </c>
      <c r="D372">
        <v>7</v>
      </c>
      <c r="E372" s="2" t="s">
        <v>24</v>
      </c>
      <c r="F372" s="1">
        <v>45839</v>
      </c>
      <c r="G372" s="2" t="s">
        <v>31</v>
      </c>
    </row>
    <row r="373" spans="1:7" x14ac:dyDescent="0.3">
      <c r="A373" s="1">
        <v>45847</v>
      </c>
      <c r="B373">
        <v>2025</v>
      </c>
      <c r="C373" s="2" t="s">
        <v>23</v>
      </c>
      <c r="D373">
        <v>7</v>
      </c>
      <c r="E373" s="2" t="s">
        <v>24</v>
      </c>
      <c r="F373" s="1">
        <v>45839</v>
      </c>
      <c r="G373" s="2" t="s">
        <v>25</v>
      </c>
    </row>
    <row r="374" spans="1:7" x14ac:dyDescent="0.3">
      <c r="A374" s="1">
        <v>45848</v>
      </c>
      <c r="B374">
        <v>2025</v>
      </c>
      <c r="C374" s="2" t="s">
        <v>23</v>
      </c>
      <c r="D374">
        <v>7</v>
      </c>
      <c r="E374" s="2" t="s">
        <v>24</v>
      </c>
      <c r="F374" s="1">
        <v>45839</v>
      </c>
      <c r="G374" s="2" t="s">
        <v>26</v>
      </c>
    </row>
    <row r="375" spans="1:7" x14ac:dyDescent="0.3">
      <c r="A375" s="1">
        <v>45849</v>
      </c>
      <c r="B375">
        <v>2025</v>
      </c>
      <c r="C375" s="2" t="s">
        <v>23</v>
      </c>
      <c r="D375">
        <v>7</v>
      </c>
      <c r="E375" s="2" t="s">
        <v>24</v>
      </c>
      <c r="F375" s="1">
        <v>45839</v>
      </c>
      <c r="G375" s="2" t="s">
        <v>27</v>
      </c>
    </row>
    <row r="376" spans="1:7" x14ac:dyDescent="0.3">
      <c r="A376" s="1">
        <v>45850</v>
      </c>
      <c r="B376">
        <v>2025</v>
      </c>
      <c r="C376" s="2" t="s">
        <v>23</v>
      </c>
      <c r="D376">
        <v>7</v>
      </c>
      <c r="E376" s="2" t="s">
        <v>24</v>
      </c>
      <c r="F376" s="1">
        <v>45839</v>
      </c>
      <c r="G376" s="2" t="s">
        <v>28</v>
      </c>
    </row>
    <row r="377" spans="1:7" x14ac:dyDescent="0.3">
      <c r="A377" s="1">
        <v>45851</v>
      </c>
      <c r="B377">
        <v>2025</v>
      </c>
      <c r="C377" s="2" t="s">
        <v>23</v>
      </c>
      <c r="D377">
        <v>7</v>
      </c>
      <c r="E377" s="2" t="s">
        <v>24</v>
      </c>
      <c r="F377" s="1">
        <v>45839</v>
      </c>
      <c r="G377" s="2" t="s">
        <v>29</v>
      </c>
    </row>
    <row r="378" spans="1:7" x14ac:dyDescent="0.3">
      <c r="A378" s="1">
        <v>45852</v>
      </c>
      <c r="B378">
        <v>2025</v>
      </c>
      <c r="C378" s="2" t="s">
        <v>23</v>
      </c>
      <c r="D378">
        <v>7</v>
      </c>
      <c r="E378" s="2" t="s">
        <v>24</v>
      </c>
      <c r="F378" s="1">
        <v>45839</v>
      </c>
      <c r="G378" s="2" t="s">
        <v>30</v>
      </c>
    </row>
    <row r="379" spans="1:7" x14ac:dyDescent="0.3">
      <c r="A379" s="1">
        <v>45853</v>
      </c>
      <c r="B379">
        <v>2025</v>
      </c>
      <c r="C379" s="2" t="s">
        <v>23</v>
      </c>
      <c r="D379">
        <v>7</v>
      </c>
      <c r="E379" s="2" t="s">
        <v>24</v>
      </c>
      <c r="F379" s="1">
        <v>45839</v>
      </c>
      <c r="G379" s="2" t="s">
        <v>31</v>
      </c>
    </row>
    <row r="380" spans="1:7" x14ac:dyDescent="0.3">
      <c r="A380" s="1">
        <v>45854</v>
      </c>
      <c r="B380">
        <v>2025</v>
      </c>
      <c r="C380" s="2" t="s">
        <v>23</v>
      </c>
      <c r="D380">
        <v>7</v>
      </c>
      <c r="E380" s="2" t="s">
        <v>24</v>
      </c>
      <c r="F380" s="1">
        <v>45839</v>
      </c>
      <c r="G380" s="2" t="s">
        <v>25</v>
      </c>
    </row>
    <row r="381" spans="1:7" x14ac:dyDescent="0.3">
      <c r="A381" s="1">
        <v>45855</v>
      </c>
      <c r="B381">
        <v>2025</v>
      </c>
      <c r="C381" s="2" t="s">
        <v>23</v>
      </c>
      <c r="D381">
        <v>7</v>
      </c>
      <c r="E381" s="2" t="s">
        <v>24</v>
      </c>
      <c r="F381" s="1">
        <v>45839</v>
      </c>
      <c r="G381" s="2" t="s">
        <v>26</v>
      </c>
    </row>
    <row r="382" spans="1:7" x14ac:dyDescent="0.3">
      <c r="A382" s="1">
        <v>45856</v>
      </c>
      <c r="B382">
        <v>2025</v>
      </c>
      <c r="C382" s="2" t="s">
        <v>23</v>
      </c>
      <c r="D382">
        <v>7</v>
      </c>
      <c r="E382" s="2" t="s">
        <v>24</v>
      </c>
      <c r="F382" s="1">
        <v>45839</v>
      </c>
      <c r="G382" s="2" t="s">
        <v>27</v>
      </c>
    </row>
    <row r="383" spans="1:7" x14ac:dyDescent="0.3">
      <c r="A383" s="1">
        <v>45857</v>
      </c>
      <c r="B383">
        <v>2025</v>
      </c>
      <c r="C383" s="2" t="s">
        <v>23</v>
      </c>
      <c r="D383">
        <v>7</v>
      </c>
      <c r="E383" s="2" t="s">
        <v>24</v>
      </c>
      <c r="F383" s="1">
        <v>45839</v>
      </c>
      <c r="G383" s="2" t="s">
        <v>28</v>
      </c>
    </row>
    <row r="384" spans="1:7" x14ac:dyDescent="0.3">
      <c r="A384" s="1">
        <v>45858</v>
      </c>
      <c r="B384">
        <v>2025</v>
      </c>
      <c r="C384" s="2" t="s">
        <v>23</v>
      </c>
      <c r="D384">
        <v>7</v>
      </c>
      <c r="E384" s="2" t="s">
        <v>24</v>
      </c>
      <c r="F384" s="1">
        <v>45839</v>
      </c>
      <c r="G384" s="2" t="s">
        <v>29</v>
      </c>
    </row>
    <row r="385" spans="1:7" x14ac:dyDescent="0.3">
      <c r="A385" s="1">
        <v>45859</v>
      </c>
      <c r="B385">
        <v>2025</v>
      </c>
      <c r="C385" s="2" t="s">
        <v>23</v>
      </c>
      <c r="D385">
        <v>7</v>
      </c>
      <c r="E385" s="2" t="s">
        <v>24</v>
      </c>
      <c r="F385" s="1">
        <v>45839</v>
      </c>
      <c r="G385" s="2" t="s">
        <v>30</v>
      </c>
    </row>
    <row r="386" spans="1:7" x14ac:dyDescent="0.3">
      <c r="A386" s="1">
        <v>45860</v>
      </c>
      <c r="B386">
        <v>2025</v>
      </c>
      <c r="C386" s="2" t="s">
        <v>23</v>
      </c>
      <c r="D386">
        <v>7</v>
      </c>
      <c r="E386" s="2" t="s">
        <v>24</v>
      </c>
      <c r="F386" s="1">
        <v>45839</v>
      </c>
      <c r="G386" s="2" t="s">
        <v>31</v>
      </c>
    </row>
    <row r="387" spans="1:7" x14ac:dyDescent="0.3">
      <c r="A387" s="1">
        <v>45861</v>
      </c>
      <c r="B387">
        <v>2025</v>
      </c>
      <c r="C387" s="2" t="s">
        <v>23</v>
      </c>
      <c r="D387">
        <v>7</v>
      </c>
      <c r="E387" s="2" t="s">
        <v>24</v>
      </c>
      <c r="F387" s="1">
        <v>45839</v>
      </c>
      <c r="G387" s="2" t="s">
        <v>25</v>
      </c>
    </row>
    <row r="388" spans="1:7" x14ac:dyDescent="0.3">
      <c r="A388" s="1">
        <v>45862</v>
      </c>
      <c r="B388">
        <v>2025</v>
      </c>
      <c r="C388" s="2" t="s">
        <v>23</v>
      </c>
      <c r="D388">
        <v>7</v>
      </c>
      <c r="E388" s="2" t="s">
        <v>24</v>
      </c>
      <c r="F388" s="1">
        <v>45839</v>
      </c>
      <c r="G388" s="2" t="s">
        <v>26</v>
      </c>
    </row>
    <row r="389" spans="1:7" x14ac:dyDescent="0.3">
      <c r="A389" s="1">
        <v>45863</v>
      </c>
      <c r="B389">
        <v>2025</v>
      </c>
      <c r="C389" s="2" t="s">
        <v>23</v>
      </c>
      <c r="D389">
        <v>7</v>
      </c>
      <c r="E389" s="2" t="s">
        <v>24</v>
      </c>
      <c r="F389" s="1">
        <v>45839</v>
      </c>
      <c r="G389" s="2" t="s">
        <v>27</v>
      </c>
    </row>
    <row r="390" spans="1:7" x14ac:dyDescent="0.3">
      <c r="A390" s="1">
        <v>45864</v>
      </c>
      <c r="B390">
        <v>2025</v>
      </c>
      <c r="C390" s="2" t="s">
        <v>23</v>
      </c>
      <c r="D390">
        <v>7</v>
      </c>
      <c r="E390" s="2" t="s">
        <v>24</v>
      </c>
      <c r="F390" s="1">
        <v>45839</v>
      </c>
      <c r="G390" s="2" t="s">
        <v>28</v>
      </c>
    </row>
    <row r="391" spans="1:7" x14ac:dyDescent="0.3">
      <c r="A391" s="1">
        <v>45865</v>
      </c>
      <c r="B391">
        <v>2025</v>
      </c>
      <c r="C391" s="2" t="s">
        <v>23</v>
      </c>
      <c r="D391">
        <v>7</v>
      </c>
      <c r="E391" s="2" t="s">
        <v>24</v>
      </c>
      <c r="F391" s="1">
        <v>45839</v>
      </c>
      <c r="G391" s="2" t="s">
        <v>29</v>
      </c>
    </row>
    <row r="392" spans="1:7" x14ac:dyDescent="0.3">
      <c r="A392" s="1">
        <v>45866</v>
      </c>
      <c r="B392">
        <v>2025</v>
      </c>
      <c r="C392" s="2" t="s">
        <v>23</v>
      </c>
      <c r="D392">
        <v>7</v>
      </c>
      <c r="E392" s="2" t="s">
        <v>24</v>
      </c>
      <c r="F392" s="1">
        <v>45839</v>
      </c>
      <c r="G392" s="2" t="s">
        <v>30</v>
      </c>
    </row>
    <row r="393" spans="1:7" x14ac:dyDescent="0.3">
      <c r="A393" s="1">
        <v>45867</v>
      </c>
      <c r="B393">
        <v>2025</v>
      </c>
      <c r="C393" s="2" t="s">
        <v>23</v>
      </c>
      <c r="D393">
        <v>7</v>
      </c>
      <c r="E393" s="2" t="s">
        <v>24</v>
      </c>
      <c r="F393" s="1">
        <v>45839</v>
      </c>
      <c r="G393" s="2" t="s">
        <v>31</v>
      </c>
    </row>
    <row r="394" spans="1:7" x14ac:dyDescent="0.3">
      <c r="A394" s="1">
        <v>45868</v>
      </c>
      <c r="B394">
        <v>2025</v>
      </c>
      <c r="C394" s="2" t="s">
        <v>23</v>
      </c>
      <c r="D394">
        <v>7</v>
      </c>
      <c r="E394" s="2" t="s">
        <v>24</v>
      </c>
      <c r="F394" s="1">
        <v>45839</v>
      </c>
      <c r="G394" s="2" t="s">
        <v>25</v>
      </c>
    </row>
    <row r="395" spans="1:7" x14ac:dyDescent="0.3">
      <c r="A395" s="1">
        <v>45869</v>
      </c>
      <c r="B395">
        <v>2025</v>
      </c>
      <c r="C395" s="2" t="s">
        <v>23</v>
      </c>
      <c r="D395">
        <v>7</v>
      </c>
      <c r="E395" s="2" t="s">
        <v>24</v>
      </c>
      <c r="F395" s="1">
        <v>45839</v>
      </c>
      <c r="G395" s="2" t="s">
        <v>26</v>
      </c>
    </row>
    <row r="396" spans="1:7" x14ac:dyDescent="0.3">
      <c r="A396" s="1">
        <v>45870</v>
      </c>
      <c r="B396">
        <v>2025</v>
      </c>
      <c r="C396" s="2" t="s">
        <v>23</v>
      </c>
      <c r="D396">
        <v>8</v>
      </c>
      <c r="E396" s="2" t="s">
        <v>32</v>
      </c>
      <c r="F396" s="1">
        <v>45870</v>
      </c>
      <c r="G396" s="2" t="s">
        <v>27</v>
      </c>
    </row>
    <row r="397" spans="1:7" x14ac:dyDescent="0.3">
      <c r="A397" s="1">
        <v>45871</v>
      </c>
      <c r="B397">
        <v>2025</v>
      </c>
      <c r="C397" s="2" t="s">
        <v>23</v>
      </c>
      <c r="D397">
        <v>8</v>
      </c>
      <c r="E397" s="2" t="s">
        <v>32</v>
      </c>
      <c r="F397" s="1">
        <v>45870</v>
      </c>
      <c r="G397" s="2" t="s">
        <v>28</v>
      </c>
    </row>
    <row r="398" spans="1:7" x14ac:dyDescent="0.3">
      <c r="A398" s="1">
        <v>45872</v>
      </c>
      <c r="B398">
        <v>2025</v>
      </c>
      <c r="C398" s="2" t="s">
        <v>23</v>
      </c>
      <c r="D398">
        <v>8</v>
      </c>
      <c r="E398" s="2" t="s">
        <v>32</v>
      </c>
      <c r="F398" s="1">
        <v>45870</v>
      </c>
      <c r="G398" s="2" t="s">
        <v>29</v>
      </c>
    </row>
    <row r="399" spans="1:7" x14ac:dyDescent="0.3">
      <c r="A399" s="1">
        <v>45873</v>
      </c>
      <c r="B399">
        <v>2025</v>
      </c>
      <c r="C399" s="2" t="s">
        <v>23</v>
      </c>
      <c r="D399">
        <v>8</v>
      </c>
      <c r="E399" s="2" t="s">
        <v>32</v>
      </c>
      <c r="F399" s="1">
        <v>45870</v>
      </c>
      <c r="G399" s="2" t="s">
        <v>30</v>
      </c>
    </row>
    <row r="400" spans="1:7" x14ac:dyDescent="0.3">
      <c r="A400" s="1">
        <v>45874</v>
      </c>
      <c r="B400">
        <v>2025</v>
      </c>
      <c r="C400" s="2" t="s">
        <v>23</v>
      </c>
      <c r="D400">
        <v>8</v>
      </c>
      <c r="E400" s="2" t="s">
        <v>32</v>
      </c>
      <c r="F400" s="1">
        <v>45870</v>
      </c>
      <c r="G400" s="2" t="s">
        <v>31</v>
      </c>
    </row>
    <row r="401" spans="1:7" x14ac:dyDescent="0.3">
      <c r="A401" s="1">
        <v>45875</v>
      </c>
      <c r="B401">
        <v>2025</v>
      </c>
      <c r="C401" s="2" t="s">
        <v>23</v>
      </c>
      <c r="D401">
        <v>8</v>
      </c>
      <c r="E401" s="2" t="s">
        <v>32</v>
      </c>
      <c r="F401" s="1">
        <v>45870</v>
      </c>
      <c r="G401" s="2" t="s">
        <v>25</v>
      </c>
    </row>
    <row r="402" spans="1:7" x14ac:dyDescent="0.3">
      <c r="A402" s="1">
        <v>45876</v>
      </c>
      <c r="B402">
        <v>2025</v>
      </c>
      <c r="C402" s="2" t="s">
        <v>23</v>
      </c>
      <c r="D402">
        <v>8</v>
      </c>
      <c r="E402" s="2" t="s">
        <v>32</v>
      </c>
      <c r="F402" s="1">
        <v>45870</v>
      </c>
      <c r="G402" s="2" t="s">
        <v>26</v>
      </c>
    </row>
    <row r="403" spans="1:7" x14ac:dyDescent="0.3">
      <c r="A403" s="1">
        <v>45877</v>
      </c>
      <c r="B403">
        <v>2025</v>
      </c>
      <c r="C403" s="2" t="s">
        <v>23</v>
      </c>
      <c r="D403">
        <v>8</v>
      </c>
      <c r="E403" s="2" t="s">
        <v>32</v>
      </c>
      <c r="F403" s="1">
        <v>45870</v>
      </c>
      <c r="G403" s="2" t="s">
        <v>27</v>
      </c>
    </row>
    <row r="404" spans="1:7" x14ac:dyDescent="0.3">
      <c r="A404" s="1">
        <v>45878</v>
      </c>
      <c r="B404">
        <v>2025</v>
      </c>
      <c r="C404" s="2" t="s">
        <v>23</v>
      </c>
      <c r="D404">
        <v>8</v>
      </c>
      <c r="E404" s="2" t="s">
        <v>32</v>
      </c>
      <c r="F404" s="1">
        <v>45870</v>
      </c>
      <c r="G404" s="2" t="s">
        <v>28</v>
      </c>
    </row>
    <row r="405" spans="1:7" x14ac:dyDescent="0.3">
      <c r="A405" s="1">
        <v>45879</v>
      </c>
      <c r="B405">
        <v>2025</v>
      </c>
      <c r="C405" s="2" t="s">
        <v>23</v>
      </c>
      <c r="D405">
        <v>8</v>
      </c>
      <c r="E405" s="2" t="s">
        <v>32</v>
      </c>
      <c r="F405" s="1">
        <v>45870</v>
      </c>
      <c r="G405" s="2" t="s">
        <v>29</v>
      </c>
    </row>
    <row r="406" spans="1:7" x14ac:dyDescent="0.3">
      <c r="A406" s="1">
        <v>45880</v>
      </c>
      <c r="B406">
        <v>2025</v>
      </c>
      <c r="C406" s="2" t="s">
        <v>23</v>
      </c>
      <c r="D406">
        <v>8</v>
      </c>
      <c r="E406" s="2" t="s">
        <v>32</v>
      </c>
      <c r="F406" s="1">
        <v>45870</v>
      </c>
      <c r="G406" s="2" t="s">
        <v>30</v>
      </c>
    </row>
    <row r="407" spans="1:7" x14ac:dyDescent="0.3">
      <c r="A407" s="1">
        <v>45881</v>
      </c>
      <c r="B407">
        <v>2025</v>
      </c>
      <c r="C407" s="2" t="s">
        <v>23</v>
      </c>
      <c r="D407">
        <v>8</v>
      </c>
      <c r="E407" s="2" t="s">
        <v>32</v>
      </c>
      <c r="F407" s="1">
        <v>45870</v>
      </c>
      <c r="G407" s="2" t="s">
        <v>31</v>
      </c>
    </row>
    <row r="408" spans="1:7" x14ac:dyDescent="0.3">
      <c r="A408" s="1">
        <v>45882</v>
      </c>
      <c r="B408">
        <v>2025</v>
      </c>
      <c r="C408" s="2" t="s">
        <v>23</v>
      </c>
      <c r="D408">
        <v>8</v>
      </c>
      <c r="E408" s="2" t="s">
        <v>32</v>
      </c>
      <c r="F408" s="1">
        <v>45870</v>
      </c>
      <c r="G408" s="2" t="s">
        <v>25</v>
      </c>
    </row>
    <row r="409" spans="1:7" x14ac:dyDescent="0.3">
      <c r="A409" s="1">
        <v>45883</v>
      </c>
      <c r="B409">
        <v>2025</v>
      </c>
      <c r="C409" s="2" t="s">
        <v>23</v>
      </c>
      <c r="D409">
        <v>8</v>
      </c>
      <c r="E409" s="2" t="s">
        <v>32</v>
      </c>
      <c r="F409" s="1">
        <v>45870</v>
      </c>
      <c r="G409" s="2" t="s">
        <v>26</v>
      </c>
    </row>
    <row r="410" spans="1:7" x14ac:dyDescent="0.3">
      <c r="A410" s="1">
        <v>45884</v>
      </c>
      <c r="B410">
        <v>2025</v>
      </c>
      <c r="C410" s="2" t="s">
        <v>23</v>
      </c>
      <c r="D410">
        <v>8</v>
      </c>
      <c r="E410" s="2" t="s">
        <v>32</v>
      </c>
      <c r="F410" s="1">
        <v>45870</v>
      </c>
      <c r="G410" s="2" t="s">
        <v>27</v>
      </c>
    </row>
    <row r="411" spans="1:7" x14ac:dyDescent="0.3">
      <c r="A411" s="1">
        <v>45885</v>
      </c>
      <c r="B411">
        <v>2025</v>
      </c>
      <c r="C411" s="2" t="s">
        <v>23</v>
      </c>
      <c r="D411">
        <v>8</v>
      </c>
      <c r="E411" s="2" t="s">
        <v>32</v>
      </c>
      <c r="F411" s="1">
        <v>45870</v>
      </c>
      <c r="G411" s="2" t="s">
        <v>28</v>
      </c>
    </row>
    <row r="412" spans="1:7" x14ac:dyDescent="0.3">
      <c r="A412" s="1">
        <v>45886</v>
      </c>
      <c r="B412">
        <v>2025</v>
      </c>
      <c r="C412" s="2" t="s">
        <v>23</v>
      </c>
      <c r="D412">
        <v>8</v>
      </c>
      <c r="E412" s="2" t="s">
        <v>32</v>
      </c>
      <c r="F412" s="1">
        <v>45870</v>
      </c>
      <c r="G412" s="2" t="s">
        <v>29</v>
      </c>
    </row>
    <row r="413" spans="1:7" x14ac:dyDescent="0.3">
      <c r="A413" s="1">
        <v>45887</v>
      </c>
      <c r="B413">
        <v>2025</v>
      </c>
      <c r="C413" s="2" t="s">
        <v>23</v>
      </c>
      <c r="D413">
        <v>8</v>
      </c>
      <c r="E413" s="2" t="s">
        <v>32</v>
      </c>
      <c r="F413" s="1">
        <v>45870</v>
      </c>
      <c r="G413" s="2" t="s">
        <v>30</v>
      </c>
    </row>
    <row r="414" spans="1:7" x14ac:dyDescent="0.3">
      <c r="A414" s="1">
        <v>45888</v>
      </c>
      <c r="B414">
        <v>2025</v>
      </c>
      <c r="C414" s="2" t="s">
        <v>23</v>
      </c>
      <c r="D414">
        <v>8</v>
      </c>
      <c r="E414" s="2" t="s">
        <v>32</v>
      </c>
      <c r="F414" s="1">
        <v>45870</v>
      </c>
      <c r="G414" s="2" t="s">
        <v>31</v>
      </c>
    </row>
    <row r="415" spans="1:7" x14ac:dyDescent="0.3">
      <c r="A415" s="1">
        <v>45889</v>
      </c>
      <c r="B415">
        <v>2025</v>
      </c>
      <c r="C415" s="2" t="s">
        <v>23</v>
      </c>
      <c r="D415">
        <v>8</v>
      </c>
      <c r="E415" s="2" t="s">
        <v>32</v>
      </c>
      <c r="F415" s="1">
        <v>45870</v>
      </c>
      <c r="G415" s="2" t="s">
        <v>25</v>
      </c>
    </row>
    <row r="416" spans="1:7" x14ac:dyDescent="0.3">
      <c r="A416" s="1">
        <v>45890</v>
      </c>
      <c r="B416">
        <v>2025</v>
      </c>
      <c r="C416" s="2" t="s">
        <v>23</v>
      </c>
      <c r="D416">
        <v>8</v>
      </c>
      <c r="E416" s="2" t="s">
        <v>32</v>
      </c>
      <c r="F416" s="1">
        <v>45870</v>
      </c>
      <c r="G416" s="2" t="s">
        <v>26</v>
      </c>
    </row>
    <row r="417" spans="1:7" x14ac:dyDescent="0.3">
      <c r="A417" s="1">
        <v>45891</v>
      </c>
      <c r="B417">
        <v>2025</v>
      </c>
      <c r="C417" s="2" t="s">
        <v>23</v>
      </c>
      <c r="D417">
        <v>8</v>
      </c>
      <c r="E417" s="2" t="s">
        <v>32</v>
      </c>
      <c r="F417" s="1">
        <v>45870</v>
      </c>
      <c r="G417" s="2" t="s">
        <v>27</v>
      </c>
    </row>
    <row r="418" spans="1:7" x14ac:dyDescent="0.3">
      <c r="A418" s="1">
        <v>45892</v>
      </c>
      <c r="B418">
        <v>2025</v>
      </c>
      <c r="C418" s="2" t="s">
        <v>23</v>
      </c>
      <c r="D418">
        <v>8</v>
      </c>
      <c r="E418" s="2" t="s">
        <v>32</v>
      </c>
      <c r="F418" s="1">
        <v>45870</v>
      </c>
      <c r="G418" s="2" t="s">
        <v>28</v>
      </c>
    </row>
    <row r="419" spans="1:7" x14ac:dyDescent="0.3">
      <c r="A419" s="1">
        <v>45893</v>
      </c>
      <c r="B419">
        <v>2025</v>
      </c>
      <c r="C419" s="2" t="s">
        <v>23</v>
      </c>
      <c r="D419">
        <v>8</v>
      </c>
      <c r="E419" s="2" t="s">
        <v>32</v>
      </c>
      <c r="F419" s="1">
        <v>45870</v>
      </c>
      <c r="G419" s="2" t="s">
        <v>29</v>
      </c>
    </row>
    <row r="420" spans="1:7" x14ac:dyDescent="0.3">
      <c r="A420" s="1">
        <v>45894</v>
      </c>
      <c r="B420">
        <v>2025</v>
      </c>
      <c r="C420" s="2" t="s">
        <v>23</v>
      </c>
      <c r="D420">
        <v>8</v>
      </c>
      <c r="E420" s="2" t="s">
        <v>32</v>
      </c>
      <c r="F420" s="1">
        <v>45870</v>
      </c>
      <c r="G420" s="2" t="s">
        <v>30</v>
      </c>
    </row>
    <row r="421" spans="1:7" x14ac:dyDescent="0.3">
      <c r="A421" s="1">
        <v>45895</v>
      </c>
      <c r="B421">
        <v>2025</v>
      </c>
      <c r="C421" s="2" t="s">
        <v>23</v>
      </c>
      <c r="D421">
        <v>8</v>
      </c>
      <c r="E421" s="2" t="s">
        <v>32</v>
      </c>
      <c r="F421" s="1">
        <v>45870</v>
      </c>
      <c r="G421" s="2" t="s">
        <v>31</v>
      </c>
    </row>
    <row r="422" spans="1:7" x14ac:dyDescent="0.3">
      <c r="A422" s="1">
        <v>45896</v>
      </c>
      <c r="B422">
        <v>2025</v>
      </c>
      <c r="C422" s="2" t="s">
        <v>23</v>
      </c>
      <c r="D422">
        <v>8</v>
      </c>
      <c r="E422" s="2" t="s">
        <v>32</v>
      </c>
      <c r="F422" s="1">
        <v>45870</v>
      </c>
      <c r="G422" s="2" t="s">
        <v>25</v>
      </c>
    </row>
    <row r="423" spans="1:7" x14ac:dyDescent="0.3">
      <c r="A423" s="1">
        <v>45897</v>
      </c>
      <c r="B423">
        <v>2025</v>
      </c>
      <c r="C423" s="2" t="s">
        <v>23</v>
      </c>
      <c r="D423">
        <v>8</v>
      </c>
      <c r="E423" s="2" t="s">
        <v>32</v>
      </c>
      <c r="F423" s="1">
        <v>45870</v>
      </c>
      <c r="G423" s="2" t="s">
        <v>26</v>
      </c>
    </row>
    <row r="424" spans="1:7" x14ac:dyDescent="0.3">
      <c r="A424" s="1">
        <v>45898</v>
      </c>
      <c r="B424">
        <v>2025</v>
      </c>
      <c r="C424" s="2" t="s">
        <v>23</v>
      </c>
      <c r="D424">
        <v>8</v>
      </c>
      <c r="E424" s="2" t="s">
        <v>32</v>
      </c>
      <c r="F424" s="1">
        <v>45870</v>
      </c>
      <c r="G424" s="2" t="s">
        <v>27</v>
      </c>
    </row>
    <row r="425" spans="1:7" x14ac:dyDescent="0.3">
      <c r="A425" s="1">
        <v>45899</v>
      </c>
      <c r="B425">
        <v>2025</v>
      </c>
      <c r="C425" s="2" t="s">
        <v>23</v>
      </c>
      <c r="D425">
        <v>8</v>
      </c>
      <c r="E425" s="2" t="s">
        <v>32</v>
      </c>
      <c r="F425" s="1">
        <v>45870</v>
      </c>
      <c r="G425" s="2" t="s">
        <v>28</v>
      </c>
    </row>
    <row r="426" spans="1:7" x14ac:dyDescent="0.3">
      <c r="A426" s="1">
        <v>45900</v>
      </c>
      <c r="B426">
        <v>2025</v>
      </c>
      <c r="C426" s="2" t="s">
        <v>23</v>
      </c>
      <c r="D426">
        <v>8</v>
      </c>
      <c r="E426" s="2" t="s">
        <v>32</v>
      </c>
      <c r="F426" s="1">
        <v>45870</v>
      </c>
      <c r="G426" s="2" t="s">
        <v>29</v>
      </c>
    </row>
    <row r="427" spans="1:7" x14ac:dyDescent="0.3">
      <c r="A427" s="1">
        <v>45901</v>
      </c>
      <c r="B427">
        <v>2025</v>
      </c>
      <c r="C427" s="2" t="s">
        <v>23</v>
      </c>
      <c r="D427">
        <v>9</v>
      </c>
      <c r="E427" s="2" t="s">
        <v>33</v>
      </c>
      <c r="F427" s="1">
        <v>45901</v>
      </c>
      <c r="G427" s="2" t="s">
        <v>30</v>
      </c>
    </row>
    <row r="428" spans="1:7" x14ac:dyDescent="0.3">
      <c r="A428" s="1">
        <v>45902</v>
      </c>
      <c r="B428">
        <v>2025</v>
      </c>
      <c r="C428" s="2" t="s">
        <v>23</v>
      </c>
      <c r="D428">
        <v>9</v>
      </c>
      <c r="E428" s="2" t="s">
        <v>33</v>
      </c>
      <c r="F428" s="1">
        <v>45901</v>
      </c>
      <c r="G428" s="2" t="s">
        <v>31</v>
      </c>
    </row>
    <row r="429" spans="1:7" x14ac:dyDescent="0.3">
      <c r="A429" s="1">
        <v>45903</v>
      </c>
      <c r="B429">
        <v>2025</v>
      </c>
      <c r="C429" s="2" t="s">
        <v>23</v>
      </c>
      <c r="D429">
        <v>9</v>
      </c>
      <c r="E429" s="2" t="s">
        <v>33</v>
      </c>
      <c r="F429" s="1">
        <v>45901</v>
      </c>
      <c r="G429" s="2" t="s">
        <v>25</v>
      </c>
    </row>
    <row r="430" spans="1:7" x14ac:dyDescent="0.3">
      <c r="A430" s="1">
        <v>45904</v>
      </c>
      <c r="B430">
        <v>2025</v>
      </c>
      <c r="C430" s="2" t="s">
        <v>23</v>
      </c>
      <c r="D430">
        <v>9</v>
      </c>
      <c r="E430" s="2" t="s">
        <v>33</v>
      </c>
      <c r="F430" s="1">
        <v>45901</v>
      </c>
      <c r="G430" s="2" t="s">
        <v>26</v>
      </c>
    </row>
    <row r="431" spans="1:7" x14ac:dyDescent="0.3">
      <c r="A431" s="1">
        <v>45905</v>
      </c>
      <c r="B431">
        <v>2025</v>
      </c>
      <c r="C431" s="2" t="s">
        <v>23</v>
      </c>
      <c r="D431">
        <v>9</v>
      </c>
      <c r="E431" s="2" t="s">
        <v>33</v>
      </c>
      <c r="F431" s="1">
        <v>45901</v>
      </c>
      <c r="G431" s="2" t="s">
        <v>27</v>
      </c>
    </row>
    <row r="432" spans="1:7" x14ac:dyDescent="0.3">
      <c r="A432" s="1">
        <v>45906</v>
      </c>
      <c r="B432">
        <v>2025</v>
      </c>
      <c r="C432" s="2" t="s">
        <v>23</v>
      </c>
      <c r="D432">
        <v>9</v>
      </c>
      <c r="E432" s="2" t="s">
        <v>33</v>
      </c>
      <c r="F432" s="1">
        <v>45901</v>
      </c>
      <c r="G432" s="2" t="s">
        <v>28</v>
      </c>
    </row>
    <row r="433" spans="1:7" x14ac:dyDescent="0.3">
      <c r="A433" s="1">
        <v>45907</v>
      </c>
      <c r="B433">
        <v>2025</v>
      </c>
      <c r="C433" s="2" t="s">
        <v>23</v>
      </c>
      <c r="D433">
        <v>9</v>
      </c>
      <c r="E433" s="2" t="s">
        <v>33</v>
      </c>
      <c r="F433" s="1">
        <v>45901</v>
      </c>
      <c r="G433" s="2" t="s">
        <v>29</v>
      </c>
    </row>
    <row r="434" spans="1:7" x14ac:dyDescent="0.3">
      <c r="A434" s="1">
        <v>45908</v>
      </c>
      <c r="B434">
        <v>2025</v>
      </c>
      <c r="C434" s="2" t="s">
        <v>23</v>
      </c>
      <c r="D434">
        <v>9</v>
      </c>
      <c r="E434" s="2" t="s">
        <v>33</v>
      </c>
      <c r="F434" s="1">
        <v>45901</v>
      </c>
      <c r="G434" s="2" t="s">
        <v>30</v>
      </c>
    </row>
    <row r="435" spans="1:7" x14ac:dyDescent="0.3">
      <c r="A435" s="1">
        <v>45909</v>
      </c>
      <c r="B435">
        <v>2025</v>
      </c>
      <c r="C435" s="2" t="s">
        <v>23</v>
      </c>
      <c r="D435">
        <v>9</v>
      </c>
      <c r="E435" s="2" t="s">
        <v>33</v>
      </c>
      <c r="F435" s="1">
        <v>45901</v>
      </c>
      <c r="G435" s="2" t="s">
        <v>31</v>
      </c>
    </row>
    <row r="436" spans="1:7" x14ac:dyDescent="0.3">
      <c r="A436" s="1">
        <v>45910</v>
      </c>
      <c r="B436">
        <v>2025</v>
      </c>
      <c r="C436" s="2" t="s">
        <v>23</v>
      </c>
      <c r="D436">
        <v>9</v>
      </c>
      <c r="E436" s="2" t="s">
        <v>33</v>
      </c>
      <c r="F436" s="1">
        <v>45901</v>
      </c>
      <c r="G436" s="2" t="s">
        <v>25</v>
      </c>
    </row>
    <row r="437" spans="1:7" x14ac:dyDescent="0.3">
      <c r="A437" s="1">
        <v>45911</v>
      </c>
      <c r="B437">
        <v>2025</v>
      </c>
      <c r="C437" s="2" t="s">
        <v>23</v>
      </c>
      <c r="D437">
        <v>9</v>
      </c>
      <c r="E437" s="2" t="s">
        <v>33</v>
      </c>
      <c r="F437" s="1">
        <v>45901</v>
      </c>
      <c r="G437" s="2" t="s">
        <v>26</v>
      </c>
    </row>
    <row r="438" spans="1:7" x14ac:dyDescent="0.3">
      <c r="A438" s="1">
        <v>45912</v>
      </c>
      <c r="B438">
        <v>2025</v>
      </c>
      <c r="C438" s="2" t="s">
        <v>23</v>
      </c>
      <c r="D438">
        <v>9</v>
      </c>
      <c r="E438" s="2" t="s">
        <v>33</v>
      </c>
      <c r="F438" s="1">
        <v>45901</v>
      </c>
      <c r="G438" s="2" t="s">
        <v>27</v>
      </c>
    </row>
    <row r="439" spans="1:7" x14ac:dyDescent="0.3">
      <c r="A439" s="1">
        <v>45913</v>
      </c>
      <c r="B439">
        <v>2025</v>
      </c>
      <c r="C439" s="2" t="s">
        <v>23</v>
      </c>
      <c r="D439">
        <v>9</v>
      </c>
      <c r="E439" s="2" t="s">
        <v>33</v>
      </c>
      <c r="F439" s="1">
        <v>45901</v>
      </c>
      <c r="G439" s="2" t="s">
        <v>28</v>
      </c>
    </row>
    <row r="440" spans="1:7" x14ac:dyDescent="0.3">
      <c r="A440" s="1">
        <v>45914</v>
      </c>
      <c r="B440">
        <v>2025</v>
      </c>
      <c r="C440" s="2" t="s">
        <v>23</v>
      </c>
      <c r="D440">
        <v>9</v>
      </c>
      <c r="E440" s="2" t="s">
        <v>33</v>
      </c>
      <c r="F440" s="1">
        <v>45901</v>
      </c>
      <c r="G440" s="2" t="s">
        <v>29</v>
      </c>
    </row>
    <row r="441" spans="1:7" x14ac:dyDescent="0.3">
      <c r="A441" s="1">
        <v>45915</v>
      </c>
      <c r="B441">
        <v>2025</v>
      </c>
      <c r="C441" s="2" t="s">
        <v>23</v>
      </c>
      <c r="D441">
        <v>9</v>
      </c>
      <c r="E441" s="2" t="s">
        <v>33</v>
      </c>
      <c r="F441" s="1">
        <v>45901</v>
      </c>
      <c r="G441" s="2" t="s">
        <v>30</v>
      </c>
    </row>
    <row r="442" spans="1:7" x14ac:dyDescent="0.3">
      <c r="A442" s="1">
        <v>45916</v>
      </c>
      <c r="B442">
        <v>2025</v>
      </c>
      <c r="C442" s="2" t="s">
        <v>23</v>
      </c>
      <c r="D442">
        <v>9</v>
      </c>
      <c r="E442" s="2" t="s">
        <v>33</v>
      </c>
      <c r="F442" s="1">
        <v>45901</v>
      </c>
      <c r="G442" s="2" t="s">
        <v>31</v>
      </c>
    </row>
    <row r="443" spans="1:7" x14ac:dyDescent="0.3">
      <c r="A443" s="1">
        <v>45917</v>
      </c>
      <c r="B443">
        <v>2025</v>
      </c>
      <c r="C443" s="2" t="s">
        <v>23</v>
      </c>
      <c r="D443">
        <v>9</v>
      </c>
      <c r="E443" s="2" t="s">
        <v>33</v>
      </c>
      <c r="F443" s="1">
        <v>45901</v>
      </c>
      <c r="G443" s="2" t="s">
        <v>25</v>
      </c>
    </row>
    <row r="444" spans="1:7" x14ac:dyDescent="0.3">
      <c r="A444" s="1">
        <v>45918</v>
      </c>
      <c r="B444">
        <v>2025</v>
      </c>
      <c r="C444" s="2" t="s">
        <v>23</v>
      </c>
      <c r="D444">
        <v>9</v>
      </c>
      <c r="E444" s="2" t="s">
        <v>33</v>
      </c>
      <c r="F444" s="1">
        <v>45901</v>
      </c>
      <c r="G444" s="2" t="s">
        <v>26</v>
      </c>
    </row>
    <row r="445" spans="1:7" x14ac:dyDescent="0.3">
      <c r="A445" s="1">
        <v>45919</v>
      </c>
      <c r="B445">
        <v>2025</v>
      </c>
      <c r="C445" s="2" t="s">
        <v>23</v>
      </c>
      <c r="D445">
        <v>9</v>
      </c>
      <c r="E445" s="2" t="s">
        <v>33</v>
      </c>
      <c r="F445" s="1">
        <v>45901</v>
      </c>
      <c r="G445" s="2" t="s">
        <v>27</v>
      </c>
    </row>
    <row r="446" spans="1:7" x14ac:dyDescent="0.3">
      <c r="A446" s="1">
        <v>45920</v>
      </c>
      <c r="B446">
        <v>2025</v>
      </c>
      <c r="C446" s="2" t="s">
        <v>23</v>
      </c>
      <c r="D446">
        <v>9</v>
      </c>
      <c r="E446" s="2" t="s">
        <v>33</v>
      </c>
      <c r="F446" s="1">
        <v>45901</v>
      </c>
      <c r="G446" s="2" t="s">
        <v>28</v>
      </c>
    </row>
    <row r="447" spans="1:7" x14ac:dyDescent="0.3">
      <c r="A447" s="1">
        <v>45921</v>
      </c>
      <c r="B447">
        <v>2025</v>
      </c>
      <c r="C447" s="2" t="s">
        <v>23</v>
      </c>
      <c r="D447">
        <v>9</v>
      </c>
      <c r="E447" s="2" t="s">
        <v>33</v>
      </c>
      <c r="F447" s="1">
        <v>45901</v>
      </c>
      <c r="G447" s="2" t="s">
        <v>29</v>
      </c>
    </row>
    <row r="448" spans="1:7" x14ac:dyDescent="0.3">
      <c r="A448" s="1">
        <v>45922</v>
      </c>
      <c r="B448">
        <v>2025</v>
      </c>
      <c r="C448" s="2" t="s">
        <v>23</v>
      </c>
      <c r="D448">
        <v>9</v>
      </c>
      <c r="E448" s="2" t="s">
        <v>33</v>
      </c>
      <c r="F448" s="1">
        <v>45901</v>
      </c>
      <c r="G448" s="2" t="s">
        <v>30</v>
      </c>
    </row>
    <row r="449" spans="1:7" x14ac:dyDescent="0.3">
      <c r="A449" s="1">
        <v>45923</v>
      </c>
      <c r="B449">
        <v>2025</v>
      </c>
      <c r="C449" s="2" t="s">
        <v>23</v>
      </c>
      <c r="D449">
        <v>9</v>
      </c>
      <c r="E449" s="2" t="s">
        <v>33</v>
      </c>
      <c r="F449" s="1">
        <v>45901</v>
      </c>
      <c r="G449" s="2" t="s">
        <v>31</v>
      </c>
    </row>
    <row r="450" spans="1:7" x14ac:dyDescent="0.3">
      <c r="A450" s="1">
        <v>45924</v>
      </c>
      <c r="B450">
        <v>2025</v>
      </c>
      <c r="C450" s="2" t="s">
        <v>23</v>
      </c>
      <c r="D450">
        <v>9</v>
      </c>
      <c r="E450" s="2" t="s">
        <v>33</v>
      </c>
      <c r="F450" s="1">
        <v>45901</v>
      </c>
      <c r="G450" s="2" t="s">
        <v>25</v>
      </c>
    </row>
    <row r="451" spans="1:7" x14ac:dyDescent="0.3">
      <c r="A451" s="1">
        <v>45925</v>
      </c>
      <c r="B451">
        <v>2025</v>
      </c>
      <c r="C451" s="2" t="s">
        <v>23</v>
      </c>
      <c r="D451">
        <v>9</v>
      </c>
      <c r="E451" s="2" t="s">
        <v>33</v>
      </c>
      <c r="F451" s="1">
        <v>45901</v>
      </c>
      <c r="G451" s="2" t="s">
        <v>26</v>
      </c>
    </row>
    <row r="452" spans="1:7" x14ac:dyDescent="0.3">
      <c r="A452" s="1">
        <v>45926</v>
      </c>
      <c r="B452">
        <v>2025</v>
      </c>
      <c r="C452" s="2" t="s">
        <v>23</v>
      </c>
      <c r="D452">
        <v>9</v>
      </c>
      <c r="E452" s="2" t="s">
        <v>33</v>
      </c>
      <c r="F452" s="1">
        <v>45901</v>
      </c>
      <c r="G452" s="2" t="s">
        <v>27</v>
      </c>
    </row>
    <row r="453" spans="1:7" x14ac:dyDescent="0.3">
      <c r="A453" s="1">
        <v>45927</v>
      </c>
      <c r="B453">
        <v>2025</v>
      </c>
      <c r="C453" s="2" t="s">
        <v>23</v>
      </c>
      <c r="D453">
        <v>9</v>
      </c>
      <c r="E453" s="2" t="s">
        <v>33</v>
      </c>
      <c r="F453" s="1">
        <v>45901</v>
      </c>
      <c r="G453" s="2" t="s">
        <v>28</v>
      </c>
    </row>
    <row r="454" spans="1:7" x14ac:dyDescent="0.3">
      <c r="A454" s="1">
        <v>45928</v>
      </c>
      <c r="B454">
        <v>2025</v>
      </c>
      <c r="C454" s="2" t="s">
        <v>23</v>
      </c>
      <c r="D454">
        <v>9</v>
      </c>
      <c r="E454" s="2" t="s">
        <v>33</v>
      </c>
      <c r="F454" s="1">
        <v>45901</v>
      </c>
      <c r="G454" s="2" t="s">
        <v>29</v>
      </c>
    </row>
    <row r="455" spans="1:7" x14ac:dyDescent="0.3">
      <c r="A455" s="1">
        <v>45929</v>
      </c>
      <c r="B455">
        <v>2025</v>
      </c>
      <c r="C455" s="2" t="s">
        <v>23</v>
      </c>
      <c r="D455">
        <v>9</v>
      </c>
      <c r="E455" s="2" t="s">
        <v>33</v>
      </c>
      <c r="F455" s="1">
        <v>45901</v>
      </c>
      <c r="G455" s="2" t="s">
        <v>30</v>
      </c>
    </row>
    <row r="456" spans="1:7" x14ac:dyDescent="0.3">
      <c r="A456" s="1">
        <v>45930</v>
      </c>
      <c r="B456">
        <v>2025</v>
      </c>
      <c r="C456" s="2" t="s">
        <v>23</v>
      </c>
      <c r="D456">
        <v>9</v>
      </c>
      <c r="E456" s="2" t="s">
        <v>33</v>
      </c>
      <c r="F456" s="1">
        <v>45901</v>
      </c>
      <c r="G456" s="2" t="s">
        <v>31</v>
      </c>
    </row>
    <row r="457" spans="1:7" x14ac:dyDescent="0.3">
      <c r="A457" s="1">
        <v>45931</v>
      </c>
      <c r="B457">
        <v>2025</v>
      </c>
      <c r="C457" s="2" t="s">
        <v>34</v>
      </c>
      <c r="D457">
        <v>10</v>
      </c>
      <c r="E457" s="2" t="s">
        <v>35</v>
      </c>
      <c r="F457" s="1">
        <v>45931</v>
      </c>
      <c r="G457" s="2" t="s">
        <v>25</v>
      </c>
    </row>
    <row r="458" spans="1:7" x14ac:dyDescent="0.3">
      <c r="A458" s="1">
        <v>45932</v>
      </c>
      <c r="B458">
        <v>2025</v>
      </c>
      <c r="C458" s="2" t="s">
        <v>34</v>
      </c>
      <c r="D458">
        <v>10</v>
      </c>
      <c r="E458" s="2" t="s">
        <v>35</v>
      </c>
      <c r="F458" s="1">
        <v>45931</v>
      </c>
      <c r="G458" s="2" t="s">
        <v>26</v>
      </c>
    </row>
    <row r="459" spans="1:7" x14ac:dyDescent="0.3">
      <c r="A459" s="1">
        <v>45933</v>
      </c>
      <c r="B459">
        <v>2025</v>
      </c>
      <c r="C459" s="2" t="s">
        <v>34</v>
      </c>
      <c r="D459">
        <v>10</v>
      </c>
      <c r="E459" s="2" t="s">
        <v>35</v>
      </c>
      <c r="F459" s="1">
        <v>45931</v>
      </c>
      <c r="G459" s="2" t="s">
        <v>27</v>
      </c>
    </row>
    <row r="460" spans="1:7" x14ac:dyDescent="0.3">
      <c r="A460" s="1">
        <v>45934</v>
      </c>
      <c r="B460">
        <v>2025</v>
      </c>
      <c r="C460" s="2" t="s">
        <v>34</v>
      </c>
      <c r="D460">
        <v>10</v>
      </c>
      <c r="E460" s="2" t="s">
        <v>35</v>
      </c>
      <c r="F460" s="1">
        <v>45931</v>
      </c>
      <c r="G460" s="2" t="s">
        <v>28</v>
      </c>
    </row>
    <row r="461" spans="1:7" x14ac:dyDescent="0.3">
      <c r="A461" s="1">
        <v>45935</v>
      </c>
      <c r="B461">
        <v>2025</v>
      </c>
      <c r="C461" s="2" t="s">
        <v>34</v>
      </c>
      <c r="D461">
        <v>10</v>
      </c>
      <c r="E461" s="2" t="s">
        <v>35</v>
      </c>
      <c r="F461" s="1">
        <v>45931</v>
      </c>
      <c r="G461" s="2" t="s">
        <v>29</v>
      </c>
    </row>
    <row r="462" spans="1:7" x14ac:dyDescent="0.3">
      <c r="A462" s="1">
        <v>45936</v>
      </c>
      <c r="B462">
        <v>2025</v>
      </c>
      <c r="C462" s="2" t="s">
        <v>34</v>
      </c>
      <c r="D462">
        <v>10</v>
      </c>
      <c r="E462" s="2" t="s">
        <v>35</v>
      </c>
      <c r="F462" s="1">
        <v>45931</v>
      </c>
      <c r="G462" s="2" t="s">
        <v>30</v>
      </c>
    </row>
    <row r="463" spans="1:7" x14ac:dyDescent="0.3">
      <c r="A463" s="1">
        <v>45937</v>
      </c>
      <c r="B463">
        <v>2025</v>
      </c>
      <c r="C463" s="2" t="s">
        <v>34</v>
      </c>
      <c r="D463">
        <v>10</v>
      </c>
      <c r="E463" s="2" t="s">
        <v>35</v>
      </c>
      <c r="F463" s="1">
        <v>45931</v>
      </c>
      <c r="G463" s="2" t="s">
        <v>31</v>
      </c>
    </row>
    <row r="464" spans="1:7" x14ac:dyDescent="0.3">
      <c r="A464" s="1">
        <v>45938</v>
      </c>
      <c r="B464">
        <v>2025</v>
      </c>
      <c r="C464" s="2" t="s">
        <v>34</v>
      </c>
      <c r="D464">
        <v>10</v>
      </c>
      <c r="E464" s="2" t="s">
        <v>35</v>
      </c>
      <c r="F464" s="1">
        <v>45931</v>
      </c>
      <c r="G464" s="2" t="s">
        <v>25</v>
      </c>
    </row>
    <row r="465" spans="1:7" x14ac:dyDescent="0.3">
      <c r="A465" s="1">
        <v>45939</v>
      </c>
      <c r="B465">
        <v>2025</v>
      </c>
      <c r="C465" s="2" t="s">
        <v>34</v>
      </c>
      <c r="D465">
        <v>10</v>
      </c>
      <c r="E465" s="2" t="s">
        <v>35</v>
      </c>
      <c r="F465" s="1">
        <v>45931</v>
      </c>
      <c r="G465" s="2" t="s">
        <v>26</v>
      </c>
    </row>
    <row r="466" spans="1:7" x14ac:dyDescent="0.3">
      <c r="A466" s="1">
        <v>45940</v>
      </c>
      <c r="B466">
        <v>2025</v>
      </c>
      <c r="C466" s="2" t="s">
        <v>34</v>
      </c>
      <c r="D466">
        <v>10</v>
      </c>
      <c r="E466" s="2" t="s">
        <v>35</v>
      </c>
      <c r="F466" s="1">
        <v>45931</v>
      </c>
      <c r="G466" s="2" t="s">
        <v>27</v>
      </c>
    </row>
    <row r="467" spans="1:7" x14ac:dyDescent="0.3">
      <c r="A467" s="1">
        <v>45941</v>
      </c>
      <c r="B467">
        <v>2025</v>
      </c>
      <c r="C467" s="2" t="s">
        <v>34</v>
      </c>
      <c r="D467">
        <v>10</v>
      </c>
      <c r="E467" s="2" t="s">
        <v>35</v>
      </c>
      <c r="F467" s="1">
        <v>45931</v>
      </c>
      <c r="G467" s="2" t="s">
        <v>28</v>
      </c>
    </row>
    <row r="468" spans="1:7" x14ac:dyDescent="0.3">
      <c r="A468" s="1">
        <v>45942</v>
      </c>
      <c r="B468">
        <v>2025</v>
      </c>
      <c r="C468" s="2" t="s">
        <v>34</v>
      </c>
      <c r="D468">
        <v>10</v>
      </c>
      <c r="E468" s="2" t="s">
        <v>35</v>
      </c>
      <c r="F468" s="1">
        <v>45931</v>
      </c>
      <c r="G468" s="2" t="s">
        <v>29</v>
      </c>
    </row>
    <row r="469" spans="1:7" x14ac:dyDescent="0.3">
      <c r="A469" s="1">
        <v>45943</v>
      </c>
      <c r="B469">
        <v>2025</v>
      </c>
      <c r="C469" s="2" t="s">
        <v>34</v>
      </c>
      <c r="D469">
        <v>10</v>
      </c>
      <c r="E469" s="2" t="s">
        <v>35</v>
      </c>
      <c r="F469" s="1">
        <v>45931</v>
      </c>
      <c r="G469" s="2" t="s">
        <v>30</v>
      </c>
    </row>
    <row r="470" spans="1:7" x14ac:dyDescent="0.3">
      <c r="A470" s="1">
        <v>45944</v>
      </c>
      <c r="B470">
        <v>2025</v>
      </c>
      <c r="C470" s="2" t="s">
        <v>34</v>
      </c>
      <c r="D470">
        <v>10</v>
      </c>
      <c r="E470" s="2" t="s">
        <v>35</v>
      </c>
      <c r="F470" s="1">
        <v>45931</v>
      </c>
      <c r="G470" s="2" t="s">
        <v>31</v>
      </c>
    </row>
    <row r="471" spans="1:7" x14ac:dyDescent="0.3">
      <c r="A471" s="1">
        <v>45945</v>
      </c>
      <c r="B471">
        <v>2025</v>
      </c>
      <c r="C471" s="2" t="s">
        <v>34</v>
      </c>
      <c r="D471">
        <v>10</v>
      </c>
      <c r="E471" s="2" t="s">
        <v>35</v>
      </c>
      <c r="F471" s="1">
        <v>45931</v>
      </c>
      <c r="G471" s="2" t="s">
        <v>25</v>
      </c>
    </row>
    <row r="472" spans="1:7" x14ac:dyDescent="0.3">
      <c r="A472" s="1">
        <v>45946</v>
      </c>
      <c r="B472">
        <v>2025</v>
      </c>
      <c r="C472" s="2" t="s">
        <v>34</v>
      </c>
      <c r="D472">
        <v>10</v>
      </c>
      <c r="E472" s="2" t="s">
        <v>35</v>
      </c>
      <c r="F472" s="1">
        <v>45931</v>
      </c>
      <c r="G472" s="2" t="s">
        <v>26</v>
      </c>
    </row>
    <row r="473" spans="1:7" x14ac:dyDescent="0.3">
      <c r="A473" s="1">
        <v>45947</v>
      </c>
      <c r="B473">
        <v>2025</v>
      </c>
      <c r="C473" s="2" t="s">
        <v>34</v>
      </c>
      <c r="D473">
        <v>10</v>
      </c>
      <c r="E473" s="2" t="s">
        <v>35</v>
      </c>
      <c r="F473" s="1">
        <v>45931</v>
      </c>
      <c r="G473" s="2" t="s">
        <v>27</v>
      </c>
    </row>
    <row r="474" spans="1:7" x14ac:dyDescent="0.3">
      <c r="A474" s="1">
        <v>45948</v>
      </c>
      <c r="B474">
        <v>2025</v>
      </c>
      <c r="C474" s="2" t="s">
        <v>34</v>
      </c>
      <c r="D474">
        <v>10</v>
      </c>
      <c r="E474" s="2" t="s">
        <v>35</v>
      </c>
      <c r="F474" s="1">
        <v>45931</v>
      </c>
      <c r="G474" s="2" t="s">
        <v>28</v>
      </c>
    </row>
    <row r="475" spans="1:7" x14ac:dyDescent="0.3">
      <c r="A475" s="1">
        <v>45949</v>
      </c>
      <c r="B475">
        <v>2025</v>
      </c>
      <c r="C475" s="2" t="s">
        <v>34</v>
      </c>
      <c r="D475">
        <v>10</v>
      </c>
      <c r="E475" s="2" t="s">
        <v>35</v>
      </c>
      <c r="F475" s="1">
        <v>45931</v>
      </c>
      <c r="G475" s="2" t="s">
        <v>29</v>
      </c>
    </row>
    <row r="476" spans="1:7" x14ac:dyDescent="0.3">
      <c r="A476" s="1">
        <v>45950</v>
      </c>
      <c r="B476">
        <v>2025</v>
      </c>
      <c r="C476" s="2" t="s">
        <v>34</v>
      </c>
      <c r="D476">
        <v>10</v>
      </c>
      <c r="E476" s="2" t="s">
        <v>35</v>
      </c>
      <c r="F476" s="1">
        <v>45931</v>
      </c>
      <c r="G476" s="2" t="s">
        <v>30</v>
      </c>
    </row>
    <row r="477" spans="1:7" x14ac:dyDescent="0.3">
      <c r="A477" s="1">
        <v>45951</v>
      </c>
      <c r="B477">
        <v>2025</v>
      </c>
      <c r="C477" s="2" t="s">
        <v>34</v>
      </c>
      <c r="D477">
        <v>10</v>
      </c>
      <c r="E477" s="2" t="s">
        <v>35</v>
      </c>
      <c r="F477" s="1">
        <v>45931</v>
      </c>
      <c r="G477" s="2" t="s">
        <v>31</v>
      </c>
    </row>
    <row r="478" spans="1:7" x14ac:dyDescent="0.3">
      <c r="A478" s="1">
        <v>45952</v>
      </c>
      <c r="B478">
        <v>2025</v>
      </c>
      <c r="C478" s="2" t="s">
        <v>34</v>
      </c>
      <c r="D478">
        <v>10</v>
      </c>
      <c r="E478" s="2" t="s">
        <v>35</v>
      </c>
      <c r="F478" s="1">
        <v>45931</v>
      </c>
      <c r="G478" s="2" t="s">
        <v>25</v>
      </c>
    </row>
    <row r="479" spans="1:7" x14ac:dyDescent="0.3">
      <c r="A479" s="1">
        <v>45953</v>
      </c>
      <c r="B479">
        <v>2025</v>
      </c>
      <c r="C479" s="2" t="s">
        <v>34</v>
      </c>
      <c r="D479">
        <v>10</v>
      </c>
      <c r="E479" s="2" t="s">
        <v>35</v>
      </c>
      <c r="F479" s="1">
        <v>45931</v>
      </c>
      <c r="G479" s="2" t="s">
        <v>26</v>
      </c>
    </row>
    <row r="480" spans="1:7" x14ac:dyDescent="0.3">
      <c r="A480" s="1">
        <v>45954</v>
      </c>
      <c r="B480">
        <v>2025</v>
      </c>
      <c r="C480" s="2" t="s">
        <v>34</v>
      </c>
      <c r="D480">
        <v>10</v>
      </c>
      <c r="E480" s="2" t="s">
        <v>35</v>
      </c>
      <c r="F480" s="1">
        <v>45931</v>
      </c>
      <c r="G480" s="2" t="s">
        <v>27</v>
      </c>
    </row>
    <row r="481" spans="1:7" x14ac:dyDescent="0.3">
      <c r="A481" s="1">
        <v>45955</v>
      </c>
      <c r="B481">
        <v>2025</v>
      </c>
      <c r="C481" s="2" t="s">
        <v>34</v>
      </c>
      <c r="D481">
        <v>10</v>
      </c>
      <c r="E481" s="2" t="s">
        <v>35</v>
      </c>
      <c r="F481" s="1">
        <v>45931</v>
      </c>
      <c r="G481" s="2" t="s">
        <v>28</v>
      </c>
    </row>
    <row r="482" spans="1:7" x14ac:dyDescent="0.3">
      <c r="A482" s="1">
        <v>45956</v>
      </c>
      <c r="B482">
        <v>2025</v>
      </c>
      <c r="C482" s="2" t="s">
        <v>34</v>
      </c>
      <c r="D482">
        <v>10</v>
      </c>
      <c r="E482" s="2" t="s">
        <v>35</v>
      </c>
      <c r="F482" s="1">
        <v>45931</v>
      </c>
      <c r="G482" s="2" t="s">
        <v>29</v>
      </c>
    </row>
    <row r="483" spans="1:7" x14ac:dyDescent="0.3">
      <c r="A483" s="1">
        <v>45957</v>
      </c>
      <c r="B483">
        <v>2025</v>
      </c>
      <c r="C483" s="2" t="s">
        <v>34</v>
      </c>
      <c r="D483">
        <v>10</v>
      </c>
      <c r="E483" s="2" t="s">
        <v>35</v>
      </c>
      <c r="F483" s="1">
        <v>45931</v>
      </c>
      <c r="G483" s="2" t="s">
        <v>30</v>
      </c>
    </row>
    <row r="484" spans="1:7" x14ac:dyDescent="0.3">
      <c r="A484" s="1">
        <v>45958</v>
      </c>
      <c r="B484">
        <v>2025</v>
      </c>
      <c r="C484" s="2" t="s">
        <v>34</v>
      </c>
      <c r="D484">
        <v>10</v>
      </c>
      <c r="E484" s="2" t="s">
        <v>35</v>
      </c>
      <c r="F484" s="1">
        <v>45931</v>
      </c>
      <c r="G484" s="2" t="s">
        <v>31</v>
      </c>
    </row>
    <row r="485" spans="1:7" x14ac:dyDescent="0.3">
      <c r="A485" s="1">
        <v>45959</v>
      </c>
      <c r="B485">
        <v>2025</v>
      </c>
      <c r="C485" s="2" t="s">
        <v>34</v>
      </c>
      <c r="D485">
        <v>10</v>
      </c>
      <c r="E485" s="2" t="s">
        <v>35</v>
      </c>
      <c r="F485" s="1">
        <v>45931</v>
      </c>
      <c r="G485" s="2" t="s">
        <v>25</v>
      </c>
    </row>
    <row r="486" spans="1:7" x14ac:dyDescent="0.3">
      <c r="A486" s="1">
        <v>45960</v>
      </c>
      <c r="B486">
        <v>2025</v>
      </c>
      <c r="C486" s="2" t="s">
        <v>34</v>
      </c>
      <c r="D486">
        <v>10</v>
      </c>
      <c r="E486" s="2" t="s">
        <v>35</v>
      </c>
      <c r="F486" s="1">
        <v>45931</v>
      </c>
      <c r="G486" s="2" t="s">
        <v>26</v>
      </c>
    </row>
    <row r="487" spans="1:7" x14ac:dyDescent="0.3">
      <c r="A487" s="1">
        <v>45961</v>
      </c>
      <c r="B487">
        <v>2025</v>
      </c>
      <c r="C487" s="2" t="s">
        <v>34</v>
      </c>
      <c r="D487">
        <v>10</v>
      </c>
      <c r="E487" s="2" t="s">
        <v>35</v>
      </c>
      <c r="F487" s="1">
        <v>45931</v>
      </c>
      <c r="G487" s="2" t="s">
        <v>27</v>
      </c>
    </row>
    <row r="488" spans="1:7" x14ac:dyDescent="0.3">
      <c r="A488" s="1">
        <v>45962</v>
      </c>
      <c r="B488">
        <v>2025</v>
      </c>
      <c r="C488" s="2" t="s">
        <v>34</v>
      </c>
      <c r="D488">
        <v>11</v>
      </c>
      <c r="E488" s="2" t="s">
        <v>36</v>
      </c>
      <c r="F488" s="1">
        <v>45962</v>
      </c>
      <c r="G488" s="2" t="s">
        <v>28</v>
      </c>
    </row>
    <row r="489" spans="1:7" x14ac:dyDescent="0.3">
      <c r="A489" s="1">
        <v>45963</v>
      </c>
      <c r="B489">
        <v>2025</v>
      </c>
      <c r="C489" s="2" t="s">
        <v>34</v>
      </c>
      <c r="D489">
        <v>11</v>
      </c>
      <c r="E489" s="2" t="s">
        <v>36</v>
      </c>
      <c r="F489" s="1">
        <v>45962</v>
      </c>
      <c r="G489" s="2" t="s">
        <v>29</v>
      </c>
    </row>
    <row r="490" spans="1:7" x14ac:dyDescent="0.3">
      <c r="A490" s="1">
        <v>45964</v>
      </c>
      <c r="B490">
        <v>2025</v>
      </c>
      <c r="C490" s="2" t="s">
        <v>34</v>
      </c>
      <c r="D490">
        <v>11</v>
      </c>
      <c r="E490" s="2" t="s">
        <v>36</v>
      </c>
      <c r="F490" s="1">
        <v>45962</v>
      </c>
      <c r="G490" s="2" t="s">
        <v>30</v>
      </c>
    </row>
    <row r="491" spans="1:7" x14ac:dyDescent="0.3">
      <c r="A491" s="1">
        <v>45965</v>
      </c>
      <c r="B491">
        <v>2025</v>
      </c>
      <c r="C491" s="2" t="s">
        <v>34</v>
      </c>
      <c r="D491">
        <v>11</v>
      </c>
      <c r="E491" s="2" t="s">
        <v>36</v>
      </c>
      <c r="F491" s="1">
        <v>45962</v>
      </c>
      <c r="G491" s="2" t="s">
        <v>31</v>
      </c>
    </row>
    <row r="492" spans="1:7" x14ac:dyDescent="0.3">
      <c r="A492" s="1">
        <v>45966</v>
      </c>
      <c r="B492">
        <v>2025</v>
      </c>
      <c r="C492" s="2" t="s">
        <v>34</v>
      </c>
      <c r="D492">
        <v>11</v>
      </c>
      <c r="E492" s="2" t="s">
        <v>36</v>
      </c>
      <c r="F492" s="1">
        <v>45962</v>
      </c>
      <c r="G492" s="2" t="s">
        <v>25</v>
      </c>
    </row>
    <row r="493" spans="1:7" x14ac:dyDescent="0.3">
      <c r="A493" s="1">
        <v>45967</v>
      </c>
      <c r="B493">
        <v>2025</v>
      </c>
      <c r="C493" s="2" t="s">
        <v>34</v>
      </c>
      <c r="D493">
        <v>11</v>
      </c>
      <c r="E493" s="2" t="s">
        <v>36</v>
      </c>
      <c r="F493" s="1">
        <v>45962</v>
      </c>
      <c r="G493" s="2" t="s">
        <v>26</v>
      </c>
    </row>
    <row r="494" spans="1:7" x14ac:dyDescent="0.3">
      <c r="A494" s="1">
        <v>45968</v>
      </c>
      <c r="B494">
        <v>2025</v>
      </c>
      <c r="C494" s="2" t="s">
        <v>34</v>
      </c>
      <c r="D494">
        <v>11</v>
      </c>
      <c r="E494" s="2" t="s">
        <v>36</v>
      </c>
      <c r="F494" s="1">
        <v>45962</v>
      </c>
      <c r="G494" s="2" t="s">
        <v>27</v>
      </c>
    </row>
    <row r="495" spans="1:7" x14ac:dyDescent="0.3">
      <c r="A495" s="1">
        <v>45969</v>
      </c>
      <c r="B495">
        <v>2025</v>
      </c>
      <c r="C495" s="2" t="s">
        <v>34</v>
      </c>
      <c r="D495">
        <v>11</v>
      </c>
      <c r="E495" s="2" t="s">
        <v>36</v>
      </c>
      <c r="F495" s="1">
        <v>45962</v>
      </c>
      <c r="G495" s="2" t="s">
        <v>28</v>
      </c>
    </row>
    <row r="496" spans="1:7" x14ac:dyDescent="0.3">
      <c r="A496" s="1">
        <v>45970</v>
      </c>
      <c r="B496">
        <v>2025</v>
      </c>
      <c r="C496" s="2" t="s">
        <v>34</v>
      </c>
      <c r="D496">
        <v>11</v>
      </c>
      <c r="E496" s="2" t="s">
        <v>36</v>
      </c>
      <c r="F496" s="1">
        <v>45962</v>
      </c>
      <c r="G496" s="2" t="s">
        <v>29</v>
      </c>
    </row>
    <row r="497" spans="1:7" x14ac:dyDescent="0.3">
      <c r="A497" s="1">
        <v>45971</v>
      </c>
      <c r="B497">
        <v>2025</v>
      </c>
      <c r="C497" s="2" t="s">
        <v>34</v>
      </c>
      <c r="D497">
        <v>11</v>
      </c>
      <c r="E497" s="2" t="s">
        <v>36</v>
      </c>
      <c r="F497" s="1">
        <v>45962</v>
      </c>
      <c r="G497" s="2" t="s">
        <v>30</v>
      </c>
    </row>
    <row r="498" spans="1:7" x14ac:dyDescent="0.3">
      <c r="A498" s="1">
        <v>45972</v>
      </c>
      <c r="B498">
        <v>2025</v>
      </c>
      <c r="C498" s="2" t="s">
        <v>34</v>
      </c>
      <c r="D498">
        <v>11</v>
      </c>
      <c r="E498" s="2" t="s">
        <v>36</v>
      </c>
      <c r="F498" s="1">
        <v>45962</v>
      </c>
      <c r="G498" s="2" t="s">
        <v>31</v>
      </c>
    </row>
    <row r="499" spans="1:7" x14ac:dyDescent="0.3">
      <c r="A499" s="1">
        <v>45973</v>
      </c>
      <c r="B499">
        <v>2025</v>
      </c>
      <c r="C499" s="2" t="s">
        <v>34</v>
      </c>
      <c r="D499">
        <v>11</v>
      </c>
      <c r="E499" s="2" t="s">
        <v>36</v>
      </c>
      <c r="F499" s="1">
        <v>45962</v>
      </c>
      <c r="G499" s="2" t="s">
        <v>25</v>
      </c>
    </row>
    <row r="500" spans="1:7" x14ac:dyDescent="0.3">
      <c r="A500" s="1">
        <v>45974</v>
      </c>
      <c r="B500">
        <v>2025</v>
      </c>
      <c r="C500" s="2" t="s">
        <v>34</v>
      </c>
      <c r="D500">
        <v>11</v>
      </c>
      <c r="E500" s="2" t="s">
        <v>36</v>
      </c>
      <c r="F500" s="1">
        <v>45962</v>
      </c>
      <c r="G500" s="2" t="s">
        <v>26</v>
      </c>
    </row>
    <row r="501" spans="1:7" x14ac:dyDescent="0.3">
      <c r="A501" s="1">
        <v>45975</v>
      </c>
      <c r="B501">
        <v>2025</v>
      </c>
      <c r="C501" s="2" t="s">
        <v>34</v>
      </c>
      <c r="D501">
        <v>11</v>
      </c>
      <c r="E501" s="2" t="s">
        <v>36</v>
      </c>
      <c r="F501" s="1">
        <v>45962</v>
      </c>
      <c r="G501" s="2" t="s">
        <v>27</v>
      </c>
    </row>
    <row r="502" spans="1:7" x14ac:dyDescent="0.3">
      <c r="A502" s="1">
        <v>45976</v>
      </c>
      <c r="B502">
        <v>2025</v>
      </c>
      <c r="C502" s="2" t="s">
        <v>34</v>
      </c>
      <c r="D502">
        <v>11</v>
      </c>
      <c r="E502" s="2" t="s">
        <v>36</v>
      </c>
      <c r="F502" s="1">
        <v>45962</v>
      </c>
      <c r="G502" s="2" t="s">
        <v>28</v>
      </c>
    </row>
    <row r="503" spans="1:7" x14ac:dyDescent="0.3">
      <c r="A503" s="1">
        <v>45977</v>
      </c>
      <c r="B503">
        <v>2025</v>
      </c>
      <c r="C503" s="2" t="s">
        <v>34</v>
      </c>
      <c r="D503">
        <v>11</v>
      </c>
      <c r="E503" s="2" t="s">
        <v>36</v>
      </c>
      <c r="F503" s="1">
        <v>45962</v>
      </c>
      <c r="G503" s="2" t="s">
        <v>29</v>
      </c>
    </row>
    <row r="504" spans="1:7" x14ac:dyDescent="0.3">
      <c r="A504" s="1">
        <v>45978</v>
      </c>
      <c r="B504">
        <v>2025</v>
      </c>
      <c r="C504" s="2" t="s">
        <v>34</v>
      </c>
      <c r="D504">
        <v>11</v>
      </c>
      <c r="E504" s="2" t="s">
        <v>36</v>
      </c>
      <c r="F504" s="1">
        <v>45962</v>
      </c>
      <c r="G504" s="2" t="s">
        <v>30</v>
      </c>
    </row>
    <row r="505" spans="1:7" x14ac:dyDescent="0.3">
      <c r="A505" s="1">
        <v>45979</v>
      </c>
      <c r="B505">
        <v>2025</v>
      </c>
      <c r="C505" s="2" t="s">
        <v>34</v>
      </c>
      <c r="D505">
        <v>11</v>
      </c>
      <c r="E505" s="2" t="s">
        <v>36</v>
      </c>
      <c r="F505" s="1">
        <v>45962</v>
      </c>
      <c r="G505" s="2" t="s">
        <v>31</v>
      </c>
    </row>
    <row r="506" spans="1:7" x14ac:dyDescent="0.3">
      <c r="A506" s="1">
        <v>45980</v>
      </c>
      <c r="B506">
        <v>2025</v>
      </c>
      <c r="C506" s="2" t="s">
        <v>34</v>
      </c>
      <c r="D506">
        <v>11</v>
      </c>
      <c r="E506" s="2" t="s">
        <v>36</v>
      </c>
      <c r="F506" s="1">
        <v>45962</v>
      </c>
      <c r="G506" s="2" t="s">
        <v>25</v>
      </c>
    </row>
    <row r="507" spans="1:7" x14ac:dyDescent="0.3">
      <c r="A507" s="1">
        <v>45981</v>
      </c>
      <c r="B507">
        <v>2025</v>
      </c>
      <c r="C507" s="2" t="s">
        <v>34</v>
      </c>
      <c r="D507">
        <v>11</v>
      </c>
      <c r="E507" s="2" t="s">
        <v>36</v>
      </c>
      <c r="F507" s="1">
        <v>45962</v>
      </c>
      <c r="G507" s="2" t="s">
        <v>26</v>
      </c>
    </row>
    <row r="508" spans="1:7" x14ac:dyDescent="0.3">
      <c r="A508" s="1">
        <v>45982</v>
      </c>
      <c r="B508">
        <v>2025</v>
      </c>
      <c r="C508" s="2" t="s">
        <v>34</v>
      </c>
      <c r="D508">
        <v>11</v>
      </c>
      <c r="E508" s="2" t="s">
        <v>36</v>
      </c>
      <c r="F508" s="1">
        <v>45962</v>
      </c>
      <c r="G508" s="2" t="s">
        <v>27</v>
      </c>
    </row>
    <row r="509" spans="1:7" x14ac:dyDescent="0.3">
      <c r="A509" s="1">
        <v>45983</v>
      </c>
      <c r="B509">
        <v>2025</v>
      </c>
      <c r="C509" s="2" t="s">
        <v>34</v>
      </c>
      <c r="D509">
        <v>11</v>
      </c>
      <c r="E509" s="2" t="s">
        <v>36</v>
      </c>
      <c r="F509" s="1">
        <v>45962</v>
      </c>
      <c r="G509" s="2" t="s">
        <v>28</v>
      </c>
    </row>
    <row r="510" spans="1:7" x14ac:dyDescent="0.3">
      <c r="A510" s="1">
        <v>45984</v>
      </c>
      <c r="B510">
        <v>2025</v>
      </c>
      <c r="C510" s="2" t="s">
        <v>34</v>
      </c>
      <c r="D510">
        <v>11</v>
      </c>
      <c r="E510" s="2" t="s">
        <v>36</v>
      </c>
      <c r="F510" s="1">
        <v>45962</v>
      </c>
      <c r="G510" s="2" t="s">
        <v>29</v>
      </c>
    </row>
    <row r="511" spans="1:7" x14ac:dyDescent="0.3">
      <c r="A511" s="1">
        <v>45985</v>
      </c>
      <c r="B511">
        <v>2025</v>
      </c>
      <c r="C511" s="2" t="s">
        <v>34</v>
      </c>
      <c r="D511">
        <v>11</v>
      </c>
      <c r="E511" s="2" t="s">
        <v>36</v>
      </c>
      <c r="F511" s="1">
        <v>45962</v>
      </c>
      <c r="G511" s="2" t="s">
        <v>30</v>
      </c>
    </row>
    <row r="512" spans="1:7" x14ac:dyDescent="0.3">
      <c r="A512" s="1">
        <v>45986</v>
      </c>
      <c r="B512">
        <v>2025</v>
      </c>
      <c r="C512" s="2" t="s">
        <v>34</v>
      </c>
      <c r="D512">
        <v>11</v>
      </c>
      <c r="E512" s="2" t="s">
        <v>36</v>
      </c>
      <c r="F512" s="1">
        <v>45962</v>
      </c>
      <c r="G512" s="2" t="s">
        <v>31</v>
      </c>
    </row>
    <row r="513" spans="1:7" x14ac:dyDescent="0.3">
      <c r="A513" s="1">
        <v>45987</v>
      </c>
      <c r="B513">
        <v>2025</v>
      </c>
      <c r="C513" s="2" t="s">
        <v>34</v>
      </c>
      <c r="D513">
        <v>11</v>
      </c>
      <c r="E513" s="2" t="s">
        <v>36</v>
      </c>
      <c r="F513" s="1">
        <v>45962</v>
      </c>
      <c r="G513" s="2" t="s">
        <v>25</v>
      </c>
    </row>
    <row r="514" spans="1:7" x14ac:dyDescent="0.3">
      <c r="A514" s="1">
        <v>45988</v>
      </c>
      <c r="B514">
        <v>2025</v>
      </c>
      <c r="C514" s="2" t="s">
        <v>34</v>
      </c>
      <c r="D514">
        <v>11</v>
      </c>
      <c r="E514" s="2" t="s">
        <v>36</v>
      </c>
      <c r="F514" s="1">
        <v>45962</v>
      </c>
      <c r="G514" s="2" t="s">
        <v>26</v>
      </c>
    </row>
    <row r="515" spans="1:7" x14ac:dyDescent="0.3">
      <c r="A515" s="1">
        <v>45989</v>
      </c>
      <c r="B515">
        <v>2025</v>
      </c>
      <c r="C515" s="2" t="s">
        <v>34</v>
      </c>
      <c r="D515">
        <v>11</v>
      </c>
      <c r="E515" s="2" t="s">
        <v>36</v>
      </c>
      <c r="F515" s="1">
        <v>45962</v>
      </c>
      <c r="G515" s="2" t="s">
        <v>27</v>
      </c>
    </row>
    <row r="516" spans="1:7" x14ac:dyDescent="0.3">
      <c r="A516" s="1">
        <v>45990</v>
      </c>
      <c r="B516">
        <v>2025</v>
      </c>
      <c r="C516" s="2" t="s">
        <v>34</v>
      </c>
      <c r="D516">
        <v>11</v>
      </c>
      <c r="E516" s="2" t="s">
        <v>36</v>
      </c>
      <c r="F516" s="1">
        <v>45962</v>
      </c>
      <c r="G516" s="2" t="s">
        <v>28</v>
      </c>
    </row>
    <row r="517" spans="1:7" x14ac:dyDescent="0.3">
      <c r="A517" s="1">
        <v>45991</v>
      </c>
      <c r="B517">
        <v>2025</v>
      </c>
      <c r="C517" s="2" t="s">
        <v>34</v>
      </c>
      <c r="D517">
        <v>11</v>
      </c>
      <c r="E517" s="2" t="s">
        <v>36</v>
      </c>
      <c r="F517" s="1">
        <v>45962</v>
      </c>
      <c r="G517" s="2" t="s">
        <v>29</v>
      </c>
    </row>
    <row r="518" spans="1:7" x14ac:dyDescent="0.3">
      <c r="A518" s="1">
        <v>45992</v>
      </c>
      <c r="B518">
        <v>2025</v>
      </c>
      <c r="C518" s="2" t="s">
        <v>34</v>
      </c>
      <c r="D518">
        <v>12</v>
      </c>
      <c r="E518" s="2" t="s">
        <v>37</v>
      </c>
      <c r="F518" s="1">
        <v>45992</v>
      </c>
      <c r="G518" s="2" t="s">
        <v>30</v>
      </c>
    </row>
    <row r="519" spans="1:7" x14ac:dyDescent="0.3">
      <c r="A519" s="1">
        <v>45993</v>
      </c>
      <c r="B519">
        <v>2025</v>
      </c>
      <c r="C519" s="2" t="s">
        <v>34</v>
      </c>
      <c r="D519">
        <v>12</v>
      </c>
      <c r="E519" s="2" t="s">
        <v>37</v>
      </c>
      <c r="F519" s="1">
        <v>45992</v>
      </c>
      <c r="G519" s="2" t="s">
        <v>31</v>
      </c>
    </row>
    <row r="520" spans="1:7" x14ac:dyDescent="0.3">
      <c r="A520" s="1">
        <v>45994</v>
      </c>
      <c r="B520">
        <v>2025</v>
      </c>
      <c r="C520" s="2" t="s">
        <v>34</v>
      </c>
      <c r="D520">
        <v>12</v>
      </c>
      <c r="E520" s="2" t="s">
        <v>37</v>
      </c>
      <c r="F520" s="1">
        <v>45992</v>
      </c>
      <c r="G520" s="2" t="s">
        <v>25</v>
      </c>
    </row>
    <row r="521" spans="1:7" x14ac:dyDescent="0.3">
      <c r="A521" s="1">
        <v>45995</v>
      </c>
      <c r="B521">
        <v>2025</v>
      </c>
      <c r="C521" s="2" t="s">
        <v>34</v>
      </c>
      <c r="D521">
        <v>12</v>
      </c>
      <c r="E521" s="2" t="s">
        <v>37</v>
      </c>
      <c r="F521" s="1">
        <v>45992</v>
      </c>
      <c r="G521" s="2" t="s">
        <v>26</v>
      </c>
    </row>
    <row r="522" spans="1:7" x14ac:dyDescent="0.3">
      <c r="A522" s="1">
        <v>45996</v>
      </c>
      <c r="B522">
        <v>2025</v>
      </c>
      <c r="C522" s="2" t="s">
        <v>34</v>
      </c>
      <c r="D522">
        <v>12</v>
      </c>
      <c r="E522" s="2" t="s">
        <v>37</v>
      </c>
      <c r="F522" s="1">
        <v>45992</v>
      </c>
      <c r="G522" s="2" t="s">
        <v>27</v>
      </c>
    </row>
    <row r="523" spans="1:7" x14ac:dyDescent="0.3">
      <c r="A523" s="1">
        <v>45997</v>
      </c>
      <c r="B523">
        <v>2025</v>
      </c>
      <c r="C523" s="2" t="s">
        <v>34</v>
      </c>
      <c r="D523">
        <v>12</v>
      </c>
      <c r="E523" s="2" t="s">
        <v>37</v>
      </c>
      <c r="F523" s="1">
        <v>45992</v>
      </c>
      <c r="G523" s="2" t="s">
        <v>28</v>
      </c>
    </row>
    <row r="524" spans="1:7" x14ac:dyDescent="0.3">
      <c r="A524" s="1">
        <v>45998</v>
      </c>
      <c r="B524">
        <v>2025</v>
      </c>
      <c r="C524" s="2" t="s">
        <v>34</v>
      </c>
      <c r="D524">
        <v>12</v>
      </c>
      <c r="E524" s="2" t="s">
        <v>37</v>
      </c>
      <c r="F524" s="1">
        <v>45992</v>
      </c>
      <c r="G524" s="2" t="s">
        <v>29</v>
      </c>
    </row>
    <row r="525" spans="1:7" x14ac:dyDescent="0.3">
      <c r="A525" s="1">
        <v>45999</v>
      </c>
      <c r="B525">
        <v>2025</v>
      </c>
      <c r="C525" s="2" t="s">
        <v>34</v>
      </c>
      <c r="D525">
        <v>12</v>
      </c>
      <c r="E525" s="2" t="s">
        <v>37</v>
      </c>
      <c r="F525" s="1">
        <v>45992</v>
      </c>
      <c r="G525" s="2" t="s">
        <v>30</v>
      </c>
    </row>
    <row r="526" spans="1:7" x14ac:dyDescent="0.3">
      <c r="A526" s="1">
        <v>46000</v>
      </c>
      <c r="B526">
        <v>2025</v>
      </c>
      <c r="C526" s="2" t="s">
        <v>34</v>
      </c>
      <c r="D526">
        <v>12</v>
      </c>
      <c r="E526" s="2" t="s">
        <v>37</v>
      </c>
      <c r="F526" s="1">
        <v>45992</v>
      </c>
      <c r="G526" s="2" t="s">
        <v>31</v>
      </c>
    </row>
    <row r="527" spans="1:7" x14ac:dyDescent="0.3">
      <c r="A527" s="1">
        <v>46001</v>
      </c>
      <c r="B527">
        <v>2025</v>
      </c>
      <c r="C527" s="2" t="s">
        <v>34</v>
      </c>
      <c r="D527">
        <v>12</v>
      </c>
      <c r="E527" s="2" t="s">
        <v>37</v>
      </c>
      <c r="F527" s="1">
        <v>45992</v>
      </c>
      <c r="G527" s="2" t="s">
        <v>25</v>
      </c>
    </row>
    <row r="528" spans="1:7" x14ac:dyDescent="0.3">
      <c r="A528" s="1">
        <v>46002</v>
      </c>
      <c r="B528">
        <v>2025</v>
      </c>
      <c r="C528" s="2" t="s">
        <v>34</v>
      </c>
      <c r="D528">
        <v>12</v>
      </c>
      <c r="E528" s="2" t="s">
        <v>37</v>
      </c>
      <c r="F528" s="1">
        <v>45992</v>
      </c>
      <c r="G528" s="2" t="s">
        <v>26</v>
      </c>
    </row>
    <row r="529" spans="1:7" x14ac:dyDescent="0.3">
      <c r="A529" s="1">
        <v>46003</v>
      </c>
      <c r="B529">
        <v>2025</v>
      </c>
      <c r="C529" s="2" t="s">
        <v>34</v>
      </c>
      <c r="D529">
        <v>12</v>
      </c>
      <c r="E529" s="2" t="s">
        <v>37</v>
      </c>
      <c r="F529" s="1">
        <v>45992</v>
      </c>
      <c r="G529" s="2" t="s">
        <v>27</v>
      </c>
    </row>
    <row r="530" spans="1:7" x14ac:dyDescent="0.3">
      <c r="A530" s="1">
        <v>46004</v>
      </c>
      <c r="B530">
        <v>2025</v>
      </c>
      <c r="C530" s="2" t="s">
        <v>34</v>
      </c>
      <c r="D530">
        <v>12</v>
      </c>
      <c r="E530" s="2" t="s">
        <v>37</v>
      </c>
      <c r="F530" s="1">
        <v>45992</v>
      </c>
      <c r="G530" s="2" t="s">
        <v>28</v>
      </c>
    </row>
    <row r="531" spans="1:7" x14ac:dyDescent="0.3">
      <c r="A531" s="1">
        <v>46005</v>
      </c>
      <c r="B531">
        <v>2025</v>
      </c>
      <c r="C531" s="2" t="s">
        <v>34</v>
      </c>
      <c r="D531">
        <v>12</v>
      </c>
      <c r="E531" s="2" t="s">
        <v>37</v>
      </c>
      <c r="F531" s="1">
        <v>45992</v>
      </c>
      <c r="G531" s="2" t="s">
        <v>29</v>
      </c>
    </row>
    <row r="532" spans="1:7" x14ac:dyDescent="0.3">
      <c r="A532" s="1">
        <v>46006</v>
      </c>
      <c r="B532">
        <v>2025</v>
      </c>
      <c r="C532" s="2" t="s">
        <v>34</v>
      </c>
      <c r="D532">
        <v>12</v>
      </c>
      <c r="E532" s="2" t="s">
        <v>37</v>
      </c>
      <c r="F532" s="1">
        <v>45992</v>
      </c>
      <c r="G532" s="2" t="s">
        <v>30</v>
      </c>
    </row>
    <row r="533" spans="1:7" x14ac:dyDescent="0.3">
      <c r="A533" s="1">
        <v>46007</v>
      </c>
      <c r="B533">
        <v>2025</v>
      </c>
      <c r="C533" s="2" t="s">
        <v>34</v>
      </c>
      <c r="D533">
        <v>12</v>
      </c>
      <c r="E533" s="2" t="s">
        <v>37</v>
      </c>
      <c r="F533" s="1">
        <v>45992</v>
      </c>
      <c r="G533" s="2" t="s">
        <v>31</v>
      </c>
    </row>
    <row r="534" spans="1:7" x14ac:dyDescent="0.3">
      <c r="A534" s="1">
        <v>46008</v>
      </c>
      <c r="B534">
        <v>2025</v>
      </c>
      <c r="C534" s="2" t="s">
        <v>34</v>
      </c>
      <c r="D534">
        <v>12</v>
      </c>
      <c r="E534" s="2" t="s">
        <v>37</v>
      </c>
      <c r="F534" s="1">
        <v>45992</v>
      </c>
      <c r="G534" s="2" t="s">
        <v>25</v>
      </c>
    </row>
    <row r="535" spans="1:7" x14ac:dyDescent="0.3">
      <c r="A535" s="1">
        <v>46009</v>
      </c>
      <c r="B535">
        <v>2025</v>
      </c>
      <c r="C535" s="2" t="s">
        <v>34</v>
      </c>
      <c r="D535">
        <v>12</v>
      </c>
      <c r="E535" s="2" t="s">
        <v>37</v>
      </c>
      <c r="F535" s="1">
        <v>45992</v>
      </c>
      <c r="G535" s="2" t="s">
        <v>26</v>
      </c>
    </row>
    <row r="536" spans="1:7" x14ac:dyDescent="0.3">
      <c r="A536" s="1">
        <v>46010</v>
      </c>
      <c r="B536">
        <v>2025</v>
      </c>
      <c r="C536" s="2" t="s">
        <v>34</v>
      </c>
      <c r="D536">
        <v>12</v>
      </c>
      <c r="E536" s="2" t="s">
        <v>37</v>
      </c>
      <c r="F536" s="1">
        <v>45992</v>
      </c>
      <c r="G536" s="2" t="s">
        <v>27</v>
      </c>
    </row>
    <row r="537" spans="1:7" x14ac:dyDescent="0.3">
      <c r="A537" s="1">
        <v>46011</v>
      </c>
      <c r="B537">
        <v>2025</v>
      </c>
      <c r="C537" s="2" t="s">
        <v>34</v>
      </c>
      <c r="D537">
        <v>12</v>
      </c>
      <c r="E537" s="2" t="s">
        <v>37</v>
      </c>
      <c r="F537" s="1">
        <v>45992</v>
      </c>
      <c r="G537" s="2" t="s">
        <v>28</v>
      </c>
    </row>
    <row r="538" spans="1:7" x14ac:dyDescent="0.3">
      <c r="A538" s="1">
        <v>46012</v>
      </c>
      <c r="B538">
        <v>2025</v>
      </c>
      <c r="C538" s="2" t="s">
        <v>34</v>
      </c>
      <c r="D538">
        <v>12</v>
      </c>
      <c r="E538" s="2" t="s">
        <v>37</v>
      </c>
      <c r="F538" s="1">
        <v>45992</v>
      </c>
      <c r="G538" s="2" t="s">
        <v>29</v>
      </c>
    </row>
    <row r="539" spans="1:7" x14ac:dyDescent="0.3">
      <c r="A539" s="1">
        <v>46013</v>
      </c>
      <c r="B539">
        <v>2025</v>
      </c>
      <c r="C539" s="2" t="s">
        <v>34</v>
      </c>
      <c r="D539">
        <v>12</v>
      </c>
      <c r="E539" s="2" t="s">
        <v>37</v>
      </c>
      <c r="F539" s="1">
        <v>45992</v>
      </c>
      <c r="G539" s="2" t="s">
        <v>30</v>
      </c>
    </row>
    <row r="540" spans="1:7" x14ac:dyDescent="0.3">
      <c r="A540" s="1">
        <v>46014</v>
      </c>
      <c r="B540">
        <v>2025</v>
      </c>
      <c r="C540" s="2" t="s">
        <v>34</v>
      </c>
      <c r="D540">
        <v>12</v>
      </c>
      <c r="E540" s="2" t="s">
        <v>37</v>
      </c>
      <c r="F540" s="1">
        <v>45992</v>
      </c>
      <c r="G540" s="2" t="s">
        <v>31</v>
      </c>
    </row>
    <row r="541" spans="1:7" x14ac:dyDescent="0.3">
      <c r="A541" s="1">
        <v>46015</v>
      </c>
      <c r="B541">
        <v>2025</v>
      </c>
      <c r="C541" s="2" t="s">
        <v>34</v>
      </c>
      <c r="D541">
        <v>12</v>
      </c>
      <c r="E541" s="2" t="s">
        <v>37</v>
      </c>
      <c r="F541" s="1">
        <v>45992</v>
      </c>
      <c r="G541" s="2" t="s">
        <v>25</v>
      </c>
    </row>
    <row r="542" spans="1:7" x14ac:dyDescent="0.3">
      <c r="A542" s="1">
        <v>46016</v>
      </c>
      <c r="B542">
        <v>2025</v>
      </c>
      <c r="C542" s="2" t="s">
        <v>34</v>
      </c>
      <c r="D542">
        <v>12</v>
      </c>
      <c r="E542" s="2" t="s">
        <v>37</v>
      </c>
      <c r="F542" s="1">
        <v>45992</v>
      </c>
      <c r="G542" s="2" t="s">
        <v>26</v>
      </c>
    </row>
    <row r="543" spans="1:7" x14ac:dyDescent="0.3">
      <c r="A543" s="1">
        <v>46017</v>
      </c>
      <c r="B543">
        <v>2025</v>
      </c>
      <c r="C543" s="2" t="s">
        <v>34</v>
      </c>
      <c r="D543">
        <v>12</v>
      </c>
      <c r="E543" s="2" t="s">
        <v>37</v>
      </c>
      <c r="F543" s="1">
        <v>45992</v>
      </c>
      <c r="G543" s="2" t="s">
        <v>27</v>
      </c>
    </row>
    <row r="544" spans="1:7" x14ac:dyDescent="0.3">
      <c r="A544" s="1">
        <v>46018</v>
      </c>
      <c r="B544">
        <v>2025</v>
      </c>
      <c r="C544" s="2" t="s">
        <v>34</v>
      </c>
      <c r="D544">
        <v>12</v>
      </c>
      <c r="E544" s="2" t="s">
        <v>37</v>
      </c>
      <c r="F544" s="1">
        <v>45992</v>
      </c>
      <c r="G544" s="2" t="s">
        <v>28</v>
      </c>
    </row>
    <row r="545" spans="1:7" x14ac:dyDescent="0.3">
      <c r="A545" s="1">
        <v>46019</v>
      </c>
      <c r="B545">
        <v>2025</v>
      </c>
      <c r="C545" s="2" t="s">
        <v>34</v>
      </c>
      <c r="D545">
        <v>12</v>
      </c>
      <c r="E545" s="2" t="s">
        <v>37</v>
      </c>
      <c r="F545" s="1">
        <v>45992</v>
      </c>
      <c r="G545" s="2" t="s">
        <v>29</v>
      </c>
    </row>
    <row r="546" spans="1:7" x14ac:dyDescent="0.3">
      <c r="A546" s="1">
        <v>46020</v>
      </c>
      <c r="B546">
        <v>2025</v>
      </c>
      <c r="C546" s="2" t="s">
        <v>34</v>
      </c>
      <c r="D546">
        <v>12</v>
      </c>
      <c r="E546" s="2" t="s">
        <v>37</v>
      </c>
      <c r="F546" s="1">
        <v>45992</v>
      </c>
      <c r="G546" s="2" t="s">
        <v>30</v>
      </c>
    </row>
    <row r="547" spans="1:7" x14ac:dyDescent="0.3">
      <c r="A547" s="1">
        <v>46021</v>
      </c>
      <c r="B547">
        <v>2025</v>
      </c>
      <c r="C547" s="2" t="s">
        <v>34</v>
      </c>
      <c r="D547">
        <v>12</v>
      </c>
      <c r="E547" s="2" t="s">
        <v>37</v>
      </c>
      <c r="F547" s="1">
        <v>45992</v>
      </c>
      <c r="G547" s="2" t="s">
        <v>31</v>
      </c>
    </row>
    <row r="548" spans="1:7" x14ac:dyDescent="0.3">
      <c r="A548" s="1">
        <v>46022</v>
      </c>
      <c r="B548">
        <v>2025</v>
      </c>
      <c r="C548" s="2" t="s">
        <v>34</v>
      </c>
      <c r="D548">
        <v>12</v>
      </c>
      <c r="E548" s="2" t="s">
        <v>37</v>
      </c>
      <c r="F548" s="1">
        <v>45992</v>
      </c>
      <c r="G548" s="2" t="s">
        <v>25</v>
      </c>
    </row>
    <row r="549" spans="1:7" x14ac:dyDescent="0.3">
      <c r="A549" s="1">
        <v>46023</v>
      </c>
      <c r="B549">
        <v>2026</v>
      </c>
      <c r="C549" s="2" t="s">
        <v>38</v>
      </c>
      <c r="D549">
        <v>1</v>
      </c>
      <c r="E549" s="2" t="s">
        <v>39</v>
      </c>
      <c r="F549" s="1">
        <v>46023</v>
      </c>
      <c r="G549" s="2" t="s">
        <v>26</v>
      </c>
    </row>
    <row r="550" spans="1:7" x14ac:dyDescent="0.3">
      <c r="A550" s="1">
        <v>46024</v>
      </c>
      <c r="B550">
        <v>2026</v>
      </c>
      <c r="C550" s="2" t="s">
        <v>38</v>
      </c>
      <c r="D550">
        <v>1</v>
      </c>
      <c r="E550" s="2" t="s">
        <v>39</v>
      </c>
      <c r="F550" s="1">
        <v>46023</v>
      </c>
      <c r="G550" s="2" t="s">
        <v>27</v>
      </c>
    </row>
    <row r="551" spans="1:7" x14ac:dyDescent="0.3">
      <c r="A551" s="1">
        <v>46025</v>
      </c>
      <c r="B551">
        <v>2026</v>
      </c>
      <c r="C551" s="2" t="s">
        <v>38</v>
      </c>
      <c r="D551">
        <v>1</v>
      </c>
      <c r="E551" s="2" t="s">
        <v>39</v>
      </c>
      <c r="F551" s="1">
        <v>46023</v>
      </c>
      <c r="G551" s="2" t="s">
        <v>28</v>
      </c>
    </row>
    <row r="552" spans="1:7" x14ac:dyDescent="0.3">
      <c r="A552" s="1">
        <v>46026</v>
      </c>
      <c r="B552">
        <v>2026</v>
      </c>
      <c r="C552" s="2" t="s">
        <v>38</v>
      </c>
      <c r="D552">
        <v>1</v>
      </c>
      <c r="E552" s="2" t="s">
        <v>39</v>
      </c>
      <c r="F552" s="1">
        <v>46023</v>
      </c>
      <c r="G552" s="2" t="s">
        <v>29</v>
      </c>
    </row>
    <row r="553" spans="1:7" x14ac:dyDescent="0.3">
      <c r="A553" s="1">
        <v>46027</v>
      </c>
      <c r="B553">
        <v>2026</v>
      </c>
      <c r="C553" s="2" t="s">
        <v>38</v>
      </c>
      <c r="D553">
        <v>1</v>
      </c>
      <c r="E553" s="2" t="s">
        <v>39</v>
      </c>
      <c r="F553" s="1">
        <v>46023</v>
      </c>
      <c r="G553" s="2" t="s">
        <v>30</v>
      </c>
    </row>
    <row r="554" spans="1:7" x14ac:dyDescent="0.3">
      <c r="A554" s="1">
        <v>46028</v>
      </c>
      <c r="B554">
        <v>2026</v>
      </c>
      <c r="C554" s="2" t="s">
        <v>38</v>
      </c>
      <c r="D554">
        <v>1</v>
      </c>
      <c r="E554" s="2" t="s">
        <v>39</v>
      </c>
      <c r="F554" s="1">
        <v>46023</v>
      </c>
      <c r="G554" s="2" t="s">
        <v>31</v>
      </c>
    </row>
    <row r="555" spans="1:7" x14ac:dyDescent="0.3">
      <c r="A555" s="1">
        <v>46029</v>
      </c>
      <c r="B555">
        <v>2026</v>
      </c>
      <c r="C555" s="2" t="s">
        <v>38</v>
      </c>
      <c r="D555">
        <v>1</v>
      </c>
      <c r="E555" s="2" t="s">
        <v>39</v>
      </c>
      <c r="F555" s="1">
        <v>46023</v>
      </c>
      <c r="G555" s="2" t="s">
        <v>25</v>
      </c>
    </row>
    <row r="556" spans="1:7" x14ac:dyDescent="0.3">
      <c r="A556" s="1">
        <v>46030</v>
      </c>
      <c r="B556">
        <v>2026</v>
      </c>
      <c r="C556" s="2" t="s">
        <v>38</v>
      </c>
      <c r="D556">
        <v>1</v>
      </c>
      <c r="E556" s="2" t="s">
        <v>39</v>
      </c>
      <c r="F556" s="1">
        <v>46023</v>
      </c>
      <c r="G556" s="2" t="s">
        <v>26</v>
      </c>
    </row>
    <row r="557" spans="1:7" x14ac:dyDescent="0.3">
      <c r="A557" s="1">
        <v>46031</v>
      </c>
      <c r="B557">
        <v>2026</v>
      </c>
      <c r="C557" s="2" t="s">
        <v>38</v>
      </c>
      <c r="D557">
        <v>1</v>
      </c>
      <c r="E557" s="2" t="s">
        <v>39</v>
      </c>
      <c r="F557" s="1">
        <v>46023</v>
      </c>
      <c r="G557" s="2" t="s">
        <v>27</v>
      </c>
    </row>
    <row r="558" spans="1:7" x14ac:dyDescent="0.3">
      <c r="A558" s="1">
        <v>46032</v>
      </c>
      <c r="B558">
        <v>2026</v>
      </c>
      <c r="C558" s="2" t="s">
        <v>38</v>
      </c>
      <c r="D558">
        <v>1</v>
      </c>
      <c r="E558" s="2" t="s">
        <v>39</v>
      </c>
      <c r="F558" s="1">
        <v>46023</v>
      </c>
      <c r="G558" s="2" t="s">
        <v>28</v>
      </c>
    </row>
    <row r="559" spans="1:7" x14ac:dyDescent="0.3">
      <c r="A559" s="1">
        <v>46033</v>
      </c>
      <c r="B559">
        <v>2026</v>
      </c>
      <c r="C559" s="2" t="s">
        <v>38</v>
      </c>
      <c r="D559">
        <v>1</v>
      </c>
      <c r="E559" s="2" t="s">
        <v>39</v>
      </c>
      <c r="F559" s="1">
        <v>46023</v>
      </c>
      <c r="G559" s="2" t="s">
        <v>29</v>
      </c>
    </row>
    <row r="560" spans="1:7" x14ac:dyDescent="0.3">
      <c r="A560" s="1">
        <v>46034</v>
      </c>
      <c r="B560">
        <v>2026</v>
      </c>
      <c r="C560" s="2" t="s">
        <v>38</v>
      </c>
      <c r="D560">
        <v>1</v>
      </c>
      <c r="E560" s="2" t="s">
        <v>39</v>
      </c>
      <c r="F560" s="1">
        <v>46023</v>
      </c>
      <c r="G560" s="2" t="s">
        <v>30</v>
      </c>
    </row>
    <row r="561" spans="1:7" x14ac:dyDescent="0.3">
      <c r="A561" s="1">
        <v>46035</v>
      </c>
      <c r="B561">
        <v>2026</v>
      </c>
      <c r="C561" s="2" t="s">
        <v>38</v>
      </c>
      <c r="D561">
        <v>1</v>
      </c>
      <c r="E561" s="2" t="s">
        <v>39</v>
      </c>
      <c r="F561" s="1">
        <v>46023</v>
      </c>
      <c r="G561" s="2" t="s">
        <v>31</v>
      </c>
    </row>
    <row r="562" spans="1:7" x14ac:dyDescent="0.3">
      <c r="A562" s="1">
        <v>46036</v>
      </c>
      <c r="B562">
        <v>2026</v>
      </c>
      <c r="C562" s="2" t="s">
        <v>38</v>
      </c>
      <c r="D562">
        <v>1</v>
      </c>
      <c r="E562" s="2" t="s">
        <v>39</v>
      </c>
      <c r="F562" s="1">
        <v>46023</v>
      </c>
      <c r="G562" s="2" t="s">
        <v>25</v>
      </c>
    </row>
    <row r="563" spans="1:7" x14ac:dyDescent="0.3">
      <c r="A563" s="1">
        <v>46037</v>
      </c>
      <c r="B563">
        <v>2026</v>
      </c>
      <c r="C563" s="2" t="s">
        <v>38</v>
      </c>
      <c r="D563">
        <v>1</v>
      </c>
      <c r="E563" s="2" t="s">
        <v>39</v>
      </c>
      <c r="F563" s="1">
        <v>46023</v>
      </c>
      <c r="G563" s="2" t="s">
        <v>26</v>
      </c>
    </row>
    <row r="564" spans="1:7" x14ac:dyDescent="0.3">
      <c r="A564" s="1">
        <v>46038</v>
      </c>
      <c r="B564">
        <v>2026</v>
      </c>
      <c r="C564" s="2" t="s">
        <v>38</v>
      </c>
      <c r="D564">
        <v>1</v>
      </c>
      <c r="E564" s="2" t="s">
        <v>39</v>
      </c>
      <c r="F564" s="1">
        <v>46023</v>
      </c>
      <c r="G564" s="2" t="s">
        <v>27</v>
      </c>
    </row>
    <row r="565" spans="1:7" x14ac:dyDescent="0.3">
      <c r="A565" s="1">
        <v>46039</v>
      </c>
      <c r="B565">
        <v>2026</v>
      </c>
      <c r="C565" s="2" t="s">
        <v>38</v>
      </c>
      <c r="D565">
        <v>1</v>
      </c>
      <c r="E565" s="2" t="s">
        <v>39</v>
      </c>
      <c r="F565" s="1">
        <v>46023</v>
      </c>
      <c r="G565" s="2" t="s">
        <v>28</v>
      </c>
    </row>
    <row r="566" spans="1:7" x14ac:dyDescent="0.3">
      <c r="A566" s="1">
        <v>46040</v>
      </c>
      <c r="B566">
        <v>2026</v>
      </c>
      <c r="C566" s="2" t="s">
        <v>38</v>
      </c>
      <c r="D566">
        <v>1</v>
      </c>
      <c r="E566" s="2" t="s">
        <v>39</v>
      </c>
      <c r="F566" s="1">
        <v>46023</v>
      </c>
      <c r="G566" s="2" t="s">
        <v>29</v>
      </c>
    </row>
    <row r="567" spans="1:7" x14ac:dyDescent="0.3">
      <c r="A567" s="1">
        <v>46041</v>
      </c>
      <c r="B567">
        <v>2026</v>
      </c>
      <c r="C567" s="2" t="s">
        <v>38</v>
      </c>
      <c r="D567">
        <v>1</v>
      </c>
      <c r="E567" s="2" t="s">
        <v>39</v>
      </c>
      <c r="F567" s="1">
        <v>46023</v>
      </c>
      <c r="G567" s="2" t="s">
        <v>30</v>
      </c>
    </row>
    <row r="568" spans="1:7" x14ac:dyDescent="0.3">
      <c r="A568" s="1">
        <v>46042</v>
      </c>
      <c r="B568">
        <v>2026</v>
      </c>
      <c r="C568" s="2" t="s">
        <v>38</v>
      </c>
      <c r="D568">
        <v>1</v>
      </c>
      <c r="E568" s="2" t="s">
        <v>39</v>
      </c>
      <c r="F568" s="1">
        <v>46023</v>
      </c>
      <c r="G568" s="2" t="s">
        <v>31</v>
      </c>
    </row>
    <row r="569" spans="1:7" x14ac:dyDescent="0.3">
      <c r="A569" s="1">
        <v>46043</v>
      </c>
      <c r="B569">
        <v>2026</v>
      </c>
      <c r="C569" s="2" t="s">
        <v>38</v>
      </c>
      <c r="D569">
        <v>1</v>
      </c>
      <c r="E569" s="2" t="s">
        <v>39</v>
      </c>
      <c r="F569" s="1">
        <v>46023</v>
      </c>
      <c r="G569" s="2" t="s">
        <v>25</v>
      </c>
    </row>
    <row r="570" spans="1:7" x14ac:dyDescent="0.3">
      <c r="A570" s="1">
        <v>46044</v>
      </c>
      <c r="B570">
        <v>2026</v>
      </c>
      <c r="C570" s="2" t="s">
        <v>38</v>
      </c>
      <c r="D570">
        <v>1</v>
      </c>
      <c r="E570" s="2" t="s">
        <v>39</v>
      </c>
      <c r="F570" s="1">
        <v>46023</v>
      </c>
      <c r="G570" s="2" t="s">
        <v>26</v>
      </c>
    </row>
    <row r="571" spans="1:7" x14ac:dyDescent="0.3">
      <c r="A571" s="1">
        <v>46045</v>
      </c>
      <c r="B571">
        <v>2026</v>
      </c>
      <c r="C571" s="2" t="s">
        <v>38</v>
      </c>
      <c r="D571">
        <v>1</v>
      </c>
      <c r="E571" s="2" t="s">
        <v>39</v>
      </c>
      <c r="F571" s="1">
        <v>46023</v>
      </c>
      <c r="G571" s="2" t="s">
        <v>27</v>
      </c>
    </row>
    <row r="572" spans="1:7" x14ac:dyDescent="0.3">
      <c r="A572" s="1">
        <v>46046</v>
      </c>
      <c r="B572">
        <v>2026</v>
      </c>
      <c r="C572" s="2" t="s">
        <v>38</v>
      </c>
      <c r="D572">
        <v>1</v>
      </c>
      <c r="E572" s="2" t="s">
        <v>39</v>
      </c>
      <c r="F572" s="1">
        <v>46023</v>
      </c>
      <c r="G572" s="2" t="s">
        <v>28</v>
      </c>
    </row>
    <row r="573" spans="1:7" x14ac:dyDescent="0.3">
      <c r="A573" s="1">
        <v>46047</v>
      </c>
      <c r="B573">
        <v>2026</v>
      </c>
      <c r="C573" s="2" t="s">
        <v>38</v>
      </c>
      <c r="D573">
        <v>1</v>
      </c>
      <c r="E573" s="2" t="s">
        <v>39</v>
      </c>
      <c r="F573" s="1">
        <v>46023</v>
      </c>
      <c r="G573" s="2" t="s">
        <v>29</v>
      </c>
    </row>
    <row r="574" spans="1:7" x14ac:dyDescent="0.3">
      <c r="A574" s="1">
        <v>46048</v>
      </c>
      <c r="B574">
        <v>2026</v>
      </c>
      <c r="C574" s="2" t="s">
        <v>38</v>
      </c>
      <c r="D574">
        <v>1</v>
      </c>
      <c r="E574" s="2" t="s">
        <v>39</v>
      </c>
      <c r="F574" s="1">
        <v>46023</v>
      </c>
      <c r="G574" s="2" t="s">
        <v>30</v>
      </c>
    </row>
    <row r="575" spans="1:7" x14ac:dyDescent="0.3">
      <c r="A575" s="1">
        <v>46049</v>
      </c>
      <c r="B575">
        <v>2026</v>
      </c>
      <c r="C575" s="2" t="s">
        <v>38</v>
      </c>
      <c r="D575">
        <v>1</v>
      </c>
      <c r="E575" s="2" t="s">
        <v>39</v>
      </c>
      <c r="F575" s="1">
        <v>46023</v>
      </c>
      <c r="G575" s="2" t="s">
        <v>31</v>
      </c>
    </row>
    <row r="576" spans="1:7" x14ac:dyDescent="0.3">
      <c r="A576" s="1">
        <v>46050</v>
      </c>
      <c r="B576">
        <v>2026</v>
      </c>
      <c r="C576" s="2" t="s">
        <v>38</v>
      </c>
      <c r="D576">
        <v>1</v>
      </c>
      <c r="E576" s="2" t="s">
        <v>39</v>
      </c>
      <c r="F576" s="1">
        <v>46023</v>
      </c>
      <c r="G576" s="2" t="s">
        <v>25</v>
      </c>
    </row>
    <row r="577" spans="1:7" x14ac:dyDescent="0.3">
      <c r="A577" s="1">
        <v>46051</v>
      </c>
      <c r="B577">
        <v>2026</v>
      </c>
      <c r="C577" s="2" t="s">
        <v>38</v>
      </c>
      <c r="D577">
        <v>1</v>
      </c>
      <c r="E577" s="2" t="s">
        <v>39</v>
      </c>
      <c r="F577" s="1">
        <v>46023</v>
      </c>
      <c r="G577" s="2" t="s">
        <v>26</v>
      </c>
    </row>
    <row r="578" spans="1:7" x14ac:dyDescent="0.3">
      <c r="A578" s="1">
        <v>46052</v>
      </c>
      <c r="B578">
        <v>2026</v>
      </c>
      <c r="C578" s="2" t="s">
        <v>38</v>
      </c>
      <c r="D578">
        <v>1</v>
      </c>
      <c r="E578" s="2" t="s">
        <v>39</v>
      </c>
      <c r="F578" s="1">
        <v>46023</v>
      </c>
      <c r="G578" s="2" t="s">
        <v>27</v>
      </c>
    </row>
    <row r="579" spans="1:7" x14ac:dyDescent="0.3">
      <c r="A579" s="1">
        <v>46053</v>
      </c>
      <c r="B579">
        <v>2026</v>
      </c>
      <c r="C579" s="2" t="s">
        <v>38</v>
      </c>
      <c r="D579">
        <v>1</v>
      </c>
      <c r="E579" s="2" t="s">
        <v>39</v>
      </c>
      <c r="F579" s="1">
        <v>46023</v>
      </c>
      <c r="G579" s="2" t="s">
        <v>28</v>
      </c>
    </row>
    <row r="580" spans="1:7" x14ac:dyDescent="0.3">
      <c r="A580" s="1">
        <v>46054</v>
      </c>
      <c r="B580">
        <v>2026</v>
      </c>
      <c r="C580" s="2" t="s">
        <v>38</v>
      </c>
      <c r="D580">
        <v>2</v>
      </c>
      <c r="E580" s="2" t="s">
        <v>40</v>
      </c>
      <c r="F580" s="1">
        <v>46054</v>
      </c>
      <c r="G580" s="2" t="s">
        <v>29</v>
      </c>
    </row>
    <row r="581" spans="1:7" x14ac:dyDescent="0.3">
      <c r="A581" s="1">
        <v>46055</v>
      </c>
      <c r="B581">
        <v>2026</v>
      </c>
      <c r="C581" s="2" t="s">
        <v>38</v>
      </c>
      <c r="D581">
        <v>2</v>
      </c>
      <c r="E581" s="2" t="s">
        <v>40</v>
      </c>
      <c r="F581" s="1">
        <v>46054</v>
      </c>
      <c r="G581" s="2" t="s">
        <v>30</v>
      </c>
    </row>
    <row r="582" spans="1:7" x14ac:dyDescent="0.3">
      <c r="A582" s="1">
        <v>46056</v>
      </c>
      <c r="B582">
        <v>2026</v>
      </c>
      <c r="C582" s="2" t="s">
        <v>38</v>
      </c>
      <c r="D582">
        <v>2</v>
      </c>
      <c r="E582" s="2" t="s">
        <v>40</v>
      </c>
      <c r="F582" s="1">
        <v>46054</v>
      </c>
      <c r="G582" s="2" t="s">
        <v>31</v>
      </c>
    </row>
    <row r="583" spans="1:7" x14ac:dyDescent="0.3">
      <c r="A583" s="1">
        <v>46057</v>
      </c>
      <c r="B583">
        <v>2026</v>
      </c>
      <c r="C583" s="2" t="s">
        <v>38</v>
      </c>
      <c r="D583">
        <v>2</v>
      </c>
      <c r="E583" s="2" t="s">
        <v>40</v>
      </c>
      <c r="F583" s="1">
        <v>46054</v>
      </c>
      <c r="G583" s="2" t="s">
        <v>25</v>
      </c>
    </row>
    <row r="584" spans="1:7" x14ac:dyDescent="0.3">
      <c r="A584" s="1">
        <v>46058</v>
      </c>
      <c r="B584">
        <v>2026</v>
      </c>
      <c r="C584" s="2" t="s">
        <v>38</v>
      </c>
      <c r="D584">
        <v>2</v>
      </c>
      <c r="E584" s="2" t="s">
        <v>40</v>
      </c>
      <c r="F584" s="1">
        <v>46054</v>
      </c>
      <c r="G584" s="2" t="s">
        <v>26</v>
      </c>
    </row>
    <row r="585" spans="1:7" x14ac:dyDescent="0.3">
      <c r="A585" s="1">
        <v>46059</v>
      </c>
      <c r="B585">
        <v>2026</v>
      </c>
      <c r="C585" s="2" t="s">
        <v>38</v>
      </c>
      <c r="D585">
        <v>2</v>
      </c>
      <c r="E585" s="2" t="s">
        <v>40</v>
      </c>
      <c r="F585" s="1">
        <v>46054</v>
      </c>
      <c r="G585" s="2" t="s">
        <v>27</v>
      </c>
    </row>
    <row r="586" spans="1:7" x14ac:dyDescent="0.3">
      <c r="A586" s="1">
        <v>46060</v>
      </c>
      <c r="B586">
        <v>2026</v>
      </c>
      <c r="C586" s="2" t="s">
        <v>38</v>
      </c>
      <c r="D586">
        <v>2</v>
      </c>
      <c r="E586" s="2" t="s">
        <v>40</v>
      </c>
      <c r="F586" s="1">
        <v>46054</v>
      </c>
      <c r="G586" s="2" t="s">
        <v>28</v>
      </c>
    </row>
    <row r="587" spans="1:7" x14ac:dyDescent="0.3">
      <c r="A587" s="1">
        <v>46061</v>
      </c>
      <c r="B587">
        <v>2026</v>
      </c>
      <c r="C587" s="2" t="s">
        <v>38</v>
      </c>
      <c r="D587">
        <v>2</v>
      </c>
      <c r="E587" s="2" t="s">
        <v>40</v>
      </c>
      <c r="F587" s="1">
        <v>46054</v>
      </c>
      <c r="G587" s="2" t="s">
        <v>29</v>
      </c>
    </row>
    <row r="588" spans="1:7" x14ac:dyDescent="0.3">
      <c r="A588" s="1">
        <v>46062</v>
      </c>
      <c r="B588">
        <v>2026</v>
      </c>
      <c r="C588" s="2" t="s">
        <v>38</v>
      </c>
      <c r="D588">
        <v>2</v>
      </c>
      <c r="E588" s="2" t="s">
        <v>40</v>
      </c>
      <c r="F588" s="1">
        <v>46054</v>
      </c>
      <c r="G588" s="2" t="s">
        <v>30</v>
      </c>
    </row>
    <row r="589" spans="1:7" x14ac:dyDescent="0.3">
      <c r="A589" s="1">
        <v>46063</v>
      </c>
      <c r="B589">
        <v>2026</v>
      </c>
      <c r="C589" s="2" t="s">
        <v>38</v>
      </c>
      <c r="D589">
        <v>2</v>
      </c>
      <c r="E589" s="2" t="s">
        <v>40</v>
      </c>
      <c r="F589" s="1">
        <v>46054</v>
      </c>
      <c r="G589" s="2" t="s">
        <v>31</v>
      </c>
    </row>
    <row r="590" spans="1:7" x14ac:dyDescent="0.3">
      <c r="A590" s="1">
        <v>46064</v>
      </c>
      <c r="B590">
        <v>2026</v>
      </c>
      <c r="C590" s="2" t="s">
        <v>38</v>
      </c>
      <c r="D590">
        <v>2</v>
      </c>
      <c r="E590" s="2" t="s">
        <v>40</v>
      </c>
      <c r="F590" s="1">
        <v>46054</v>
      </c>
      <c r="G590" s="2" t="s">
        <v>25</v>
      </c>
    </row>
    <row r="591" spans="1:7" x14ac:dyDescent="0.3">
      <c r="A591" s="1">
        <v>46065</v>
      </c>
      <c r="B591">
        <v>2026</v>
      </c>
      <c r="C591" s="2" t="s">
        <v>38</v>
      </c>
      <c r="D591">
        <v>2</v>
      </c>
      <c r="E591" s="2" t="s">
        <v>40</v>
      </c>
      <c r="F591" s="1">
        <v>46054</v>
      </c>
      <c r="G591" s="2" t="s">
        <v>26</v>
      </c>
    </row>
    <row r="592" spans="1:7" x14ac:dyDescent="0.3">
      <c r="A592" s="1">
        <v>46066</v>
      </c>
      <c r="B592">
        <v>2026</v>
      </c>
      <c r="C592" s="2" t="s">
        <v>38</v>
      </c>
      <c r="D592">
        <v>2</v>
      </c>
      <c r="E592" s="2" t="s">
        <v>40</v>
      </c>
      <c r="F592" s="1">
        <v>46054</v>
      </c>
      <c r="G592" s="2" t="s">
        <v>27</v>
      </c>
    </row>
    <row r="593" spans="1:7" x14ac:dyDescent="0.3">
      <c r="A593" s="1">
        <v>46067</v>
      </c>
      <c r="B593">
        <v>2026</v>
      </c>
      <c r="C593" s="2" t="s">
        <v>38</v>
      </c>
      <c r="D593">
        <v>2</v>
      </c>
      <c r="E593" s="2" t="s">
        <v>40</v>
      </c>
      <c r="F593" s="1">
        <v>46054</v>
      </c>
      <c r="G593" s="2" t="s">
        <v>28</v>
      </c>
    </row>
    <row r="594" spans="1:7" x14ac:dyDescent="0.3">
      <c r="A594" s="1">
        <v>46068</v>
      </c>
      <c r="B594">
        <v>2026</v>
      </c>
      <c r="C594" s="2" t="s">
        <v>38</v>
      </c>
      <c r="D594">
        <v>2</v>
      </c>
      <c r="E594" s="2" t="s">
        <v>40</v>
      </c>
      <c r="F594" s="1">
        <v>46054</v>
      </c>
      <c r="G594" s="2" t="s">
        <v>29</v>
      </c>
    </row>
    <row r="595" spans="1:7" x14ac:dyDescent="0.3">
      <c r="A595" s="1">
        <v>46069</v>
      </c>
      <c r="B595">
        <v>2026</v>
      </c>
      <c r="C595" s="2" t="s">
        <v>38</v>
      </c>
      <c r="D595">
        <v>2</v>
      </c>
      <c r="E595" s="2" t="s">
        <v>40</v>
      </c>
      <c r="F595" s="1">
        <v>46054</v>
      </c>
      <c r="G595" s="2" t="s">
        <v>30</v>
      </c>
    </row>
    <row r="596" spans="1:7" x14ac:dyDescent="0.3">
      <c r="A596" s="1">
        <v>46070</v>
      </c>
      <c r="B596">
        <v>2026</v>
      </c>
      <c r="C596" s="2" t="s">
        <v>38</v>
      </c>
      <c r="D596">
        <v>2</v>
      </c>
      <c r="E596" s="2" t="s">
        <v>40</v>
      </c>
      <c r="F596" s="1">
        <v>46054</v>
      </c>
      <c r="G596" s="2" t="s">
        <v>31</v>
      </c>
    </row>
    <row r="597" spans="1:7" x14ac:dyDescent="0.3">
      <c r="A597" s="1">
        <v>46071</v>
      </c>
      <c r="B597">
        <v>2026</v>
      </c>
      <c r="C597" s="2" t="s">
        <v>38</v>
      </c>
      <c r="D597">
        <v>2</v>
      </c>
      <c r="E597" s="2" t="s">
        <v>40</v>
      </c>
      <c r="F597" s="1">
        <v>46054</v>
      </c>
      <c r="G597" s="2" t="s">
        <v>25</v>
      </c>
    </row>
    <row r="598" spans="1:7" x14ac:dyDescent="0.3">
      <c r="A598" s="1">
        <v>46072</v>
      </c>
      <c r="B598">
        <v>2026</v>
      </c>
      <c r="C598" s="2" t="s">
        <v>38</v>
      </c>
      <c r="D598">
        <v>2</v>
      </c>
      <c r="E598" s="2" t="s">
        <v>40</v>
      </c>
      <c r="F598" s="1">
        <v>46054</v>
      </c>
      <c r="G598" s="2" t="s">
        <v>26</v>
      </c>
    </row>
    <row r="599" spans="1:7" x14ac:dyDescent="0.3">
      <c r="A599" s="1">
        <v>46073</v>
      </c>
      <c r="B599">
        <v>2026</v>
      </c>
      <c r="C599" s="2" t="s">
        <v>38</v>
      </c>
      <c r="D599">
        <v>2</v>
      </c>
      <c r="E599" s="2" t="s">
        <v>40</v>
      </c>
      <c r="F599" s="1">
        <v>46054</v>
      </c>
      <c r="G599" s="2" t="s">
        <v>27</v>
      </c>
    </row>
    <row r="600" spans="1:7" x14ac:dyDescent="0.3">
      <c r="A600" s="1">
        <v>46074</v>
      </c>
      <c r="B600">
        <v>2026</v>
      </c>
      <c r="C600" s="2" t="s">
        <v>38</v>
      </c>
      <c r="D600">
        <v>2</v>
      </c>
      <c r="E600" s="2" t="s">
        <v>40</v>
      </c>
      <c r="F600" s="1">
        <v>46054</v>
      </c>
      <c r="G600" s="2" t="s">
        <v>28</v>
      </c>
    </row>
    <row r="601" spans="1:7" x14ac:dyDescent="0.3">
      <c r="A601" s="1">
        <v>46075</v>
      </c>
      <c r="B601">
        <v>2026</v>
      </c>
      <c r="C601" s="2" t="s">
        <v>38</v>
      </c>
      <c r="D601">
        <v>2</v>
      </c>
      <c r="E601" s="2" t="s">
        <v>40</v>
      </c>
      <c r="F601" s="1">
        <v>46054</v>
      </c>
      <c r="G601" s="2" t="s">
        <v>29</v>
      </c>
    </row>
    <row r="602" spans="1:7" x14ac:dyDescent="0.3">
      <c r="A602" s="1">
        <v>46076</v>
      </c>
      <c r="B602">
        <v>2026</v>
      </c>
      <c r="C602" s="2" t="s">
        <v>38</v>
      </c>
      <c r="D602">
        <v>2</v>
      </c>
      <c r="E602" s="2" t="s">
        <v>40</v>
      </c>
      <c r="F602" s="1">
        <v>46054</v>
      </c>
      <c r="G602" s="2" t="s">
        <v>30</v>
      </c>
    </row>
    <row r="603" spans="1:7" x14ac:dyDescent="0.3">
      <c r="A603" s="1">
        <v>46077</v>
      </c>
      <c r="B603">
        <v>2026</v>
      </c>
      <c r="C603" s="2" t="s">
        <v>38</v>
      </c>
      <c r="D603">
        <v>2</v>
      </c>
      <c r="E603" s="2" t="s">
        <v>40</v>
      </c>
      <c r="F603" s="1">
        <v>46054</v>
      </c>
      <c r="G603" s="2" t="s">
        <v>31</v>
      </c>
    </row>
    <row r="604" spans="1:7" x14ac:dyDescent="0.3">
      <c r="A604" s="1">
        <v>46078</v>
      </c>
      <c r="B604">
        <v>2026</v>
      </c>
      <c r="C604" s="2" t="s">
        <v>38</v>
      </c>
      <c r="D604">
        <v>2</v>
      </c>
      <c r="E604" s="2" t="s">
        <v>40</v>
      </c>
      <c r="F604" s="1">
        <v>46054</v>
      </c>
      <c r="G604" s="2" t="s">
        <v>25</v>
      </c>
    </row>
    <row r="605" spans="1:7" x14ac:dyDescent="0.3">
      <c r="A605" s="1">
        <v>46079</v>
      </c>
      <c r="B605">
        <v>2026</v>
      </c>
      <c r="C605" s="2" t="s">
        <v>38</v>
      </c>
      <c r="D605">
        <v>2</v>
      </c>
      <c r="E605" s="2" t="s">
        <v>40</v>
      </c>
      <c r="F605" s="1">
        <v>46054</v>
      </c>
      <c r="G605" s="2" t="s">
        <v>26</v>
      </c>
    </row>
    <row r="606" spans="1:7" x14ac:dyDescent="0.3">
      <c r="A606" s="1">
        <v>46080</v>
      </c>
      <c r="B606">
        <v>2026</v>
      </c>
      <c r="C606" s="2" t="s">
        <v>38</v>
      </c>
      <c r="D606">
        <v>2</v>
      </c>
      <c r="E606" s="2" t="s">
        <v>40</v>
      </c>
      <c r="F606" s="1">
        <v>46054</v>
      </c>
      <c r="G606" s="2" t="s">
        <v>27</v>
      </c>
    </row>
    <row r="607" spans="1:7" x14ac:dyDescent="0.3">
      <c r="A607" s="1">
        <v>46081</v>
      </c>
      <c r="B607">
        <v>2026</v>
      </c>
      <c r="C607" s="2" t="s">
        <v>38</v>
      </c>
      <c r="D607">
        <v>2</v>
      </c>
      <c r="E607" s="2" t="s">
        <v>40</v>
      </c>
      <c r="F607" s="1">
        <v>46054</v>
      </c>
      <c r="G607" s="2" t="s">
        <v>28</v>
      </c>
    </row>
    <row r="608" spans="1:7" x14ac:dyDescent="0.3">
      <c r="A608" s="1">
        <v>46082</v>
      </c>
      <c r="B608">
        <v>2026</v>
      </c>
      <c r="C608" s="2" t="s">
        <v>38</v>
      </c>
      <c r="D608">
        <v>3</v>
      </c>
      <c r="E608" s="2" t="s">
        <v>41</v>
      </c>
      <c r="F608" s="1">
        <v>46082</v>
      </c>
      <c r="G608" s="2" t="s">
        <v>29</v>
      </c>
    </row>
    <row r="609" spans="1:7" x14ac:dyDescent="0.3">
      <c r="A609" s="1">
        <v>46083</v>
      </c>
      <c r="B609">
        <v>2026</v>
      </c>
      <c r="C609" s="2" t="s">
        <v>38</v>
      </c>
      <c r="D609">
        <v>3</v>
      </c>
      <c r="E609" s="2" t="s">
        <v>41</v>
      </c>
      <c r="F609" s="1">
        <v>46082</v>
      </c>
      <c r="G609" s="2" t="s">
        <v>30</v>
      </c>
    </row>
    <row r="610" spans="1:7" x14ac:dyDescent="0.3">
      <c r="A610" s="1">
        <v>46084</v>
      </c>
      <c r="B610">
        <v>2026</v>
      </c>
      <c r="C610" s="2" t="s">
        <v>38</v>
      </c>
      <c r="D610">
        <v>3</v>
      </c>
      <c r="E610" s="2" t="s">
        <v>41</v>
      </c>
      <c r="F610" s="1">
        <v>46082</v>
      </c>
      <c r="G610" s="2" t="s">
        <v>31</v>
      </c>
    </row>
    <row r="611" spans="1:7" x14ac:dyDescent="0.3">
      <c r="A611" s="1">
        <v>46085</v>
      </c>
      <c r="B611">
        <v>2026</v>
      </c>
      <c r="C611" s="2" t="s">
        <v>38</v>
      </c>
      <c r="D611">
        <v>3</v>
      </c>
      <c r="E611" s="2" t="s">
        <v>41</v>
      </c>
      <c r="F611" s="1">
        <v>46082</v>
      </c>
      <c r="G611" s="2" t="s">
        <v>25</v>
      </c>
    </row>
    <row r="612" spans="1:7" x14ac:dyDescent="0.3">
      <c r="A612" s="1">
        <v>46086</v>
      </c>
      <c r="B612">
        <v>2026</v>
      </c>
      <c r="C612" s="2" t="s">
        <v>38</v>
      </c>
      <c r="D612">
        <v>3</v>
      </c>
      <c r="E612" s="2" t="s">
        <v>41</v>
      </c>
      <c r="F612" s="1">
        <v>46082</v>
      </c>
      <c r="G612" s="2" t="s">
        <v>26</v>
      </c>
    </row>
    <row r="613" spans="1:7" x14ac:dyDescent="0.3">
      <c r="A613" s="1">
        <v>46087</v>
      </c>
      <c r="B613">
        <v>2026</v>
      </c>
      <c r="C613" s="2" t="s">
        <v>38</v>
      </c>
      <c r="D613">
        <v>3</v>
      </c>
      <c r="E613" s="2" t="s">
        <v>41</v>
      </c>
      <c r="F613" s="1">
        <v>46082</v>
      </c>
      <c r="G613" s="2" t="s">
        <v>27</v>
      </c>
    </row>
    <row r="614" spans="1:7" x14ac:dyDescent="0.3">
      <c r="A614" s="1">
        <v>46088</v>
      </c>
      <c r="B614">
        <v>2026</v>
      </c>
      <c r="C614" s="2" t="s">
        <v>38</v>
      </c>
      <c r="D614">
        <v>3</v>
      </c>
      <c r="E614" s="2" t="s">
        <v>41</v>
      </c>
      <c r="F614" s="1">
        <v>46082</v>
      </c>
      <c r="G614" s="2" t="s">
        <v>28</v>
      </c>
    </row>
    <row r="615" spans="1:7" x14ac:dyDescent="0.3">
      <c r="A615" s="1">
        <v>46089</v>
      </c>
      <c r="B615">
        <v>2026</v>
      </c>
      <c r="C615" s="2" t="s">
        <v>38</v>
      </c>
      <c r="D615">
        <v>3</v>
      </c>
      <c r="E615" s="2" t="s">
        <v>41</v>
      </c>
      <c r="F615" s="1">
        <v>46082</v>
      </c>
      <c r="G615" s="2" t="s">
        <v>29</v>
      </c>
    </row>
    <row r="616" spans="1:7" x14ac:dyDescent="0.3">
      <c r="A616" s="1">
        <v>46090</v>
      </c>
      <c r="B616">
        <v>2026</v>
      </c>
      <c r="C616" s="2" t="s">
        <v>38</v>
      </c>
      <c r="D616">
        <v>3</v>
      </c>
      <c r="E616" s="2" t="s">
        <v>41</v>
      </c>
      <c r="F616" s="1">
        <v>46082</v>
      </c>
      <c r="G616" s="2" t="s">
        <v>30</v>
      </c>
    </row>
    <row r="617" spans="1:7" x14ac:dyDescent="0.3">
      <c r="A617" s="1">
        <v>46091</v>
      </c>
      <c r="B617">
        <v>2026</v>
      </c>
      <c r="C617" s="2" t="s">
        <v>38</v>
      </c>
      <c r="D617">
        <v>3</v>
      </c>
      <c r="E617" s="2" t="s">
        <v>41</v>
      </c>
      <c r="F617" s="1">
        <v>46082</v>
      </c>
      <c r="G617" s="2" t="s">
        <v>31</v>
      </c>
    </row>
    <row r="618" spans="1:7" x14ac:dyDescent="0.3">
      <c r="A618" s="1">
        <v>46092</v>
      </c>
      <c r="B618">
        <v>2026</v>
      </c>
      <c r="C618" s="2" t="s">
        <v>38</v>
      </c>
      <c r="D618">
        <v>3</v>
      </c>
      <c r="E618" s="2" t="s">
        <v>41</v>
      </c>
      <c r="F618" s="1">
        <v>46082</v>
      </c>
      <c r="G618" s="2" t="s">
        <v>25</v>
      </c>
    </row>
    <row r="619" spans="1:7" x14ac:dyDescent="0.3">
      <c r="A619" s="1">
        <v>46093</v>
      </c>
      <c r="B619">
        <v>2026</v>
      </c>
      <c r="C619" s="2" t="s">
        <v>38</v>
      </c>
      <c r="D619">
        <v>3</v>
      </c>
      <c r="E619" s="2" t="s">
        <v>41</v>
      </c>
      <c r="F619" s="1">
        <v>46082</v>
      </c>
      <c r="G619" s="2" t="s">
        <v>26</v>
      </c>
    </row>
    <row r="620" spans="1:7" x14ac:dyDescent="0.3">
      <c r="A620" s="1">
        <v>46094</v>
      </c>
      <c r="B620">
        <v>2026</v>
      </c>
      <c r="C620" s="2" t="s">
        <v>38</v>
      </c>
      <c r="D620">
        <v>3</v>
      </c>
      <c r="E620" s="2" t="s">
        <v>41</v>
      </c>
      <c r="F620" s="1">
        <v>46082</v>
      </c>
      <c r="G620" s="2" t="s">
        <v>27</v>
      </c>
    </row>
    <row r="621" spans="1:7" x14ac:dyDescent="0.3">
      <c r="A621" s="1">
        <v>46095</v>
      </c>
      <c r="B621">
        <v>2026</v>
      </c>
      <c r="C621" s="2" t="s">
        <v>38</v>
      </c>
      <c r="D621">
        <v>3</v>
      </c>
      <c r="E621" s="2" t="s">
        <v>41</v>
      </c>
      <c r="F621" s="1">
        <v>46082</v>
      </c>
      <c r="G621" s="2" t="s">
        <v>28</v>
      </c>
    </row>
    <row r="622" spans="1:7" x14ac:dyDescent="0.3">
      <c r="A622" s="1">
        <v>46096</v>
      </c>
      <c r="B622">
        <v>2026</v>
      </c>
      <c r="C622" s="2" t="s">
        <v>38</v>
      </c>
      <c r="D622">
        <v>3</v>
      </c>
      <c r="E622" s="2" t="s">
        <v>41</v>
      </c>
      <c r="F622" s="1">
        <v>46082</v>
      </c>
      <c r="G622" s="2" t="s">
        <v>29</v>
      </c>
    </row>
    <row r="623" spans="1:7" x14ac:dyDescent="0.3">
      <c r="A623" s="1">
        <v>46097</v>
      </c>
      <c r="B623">
        <v>2026</v>
      </c>
      <c r="C623" s="2" t="s">
        <v>38</v>
      </c>
      <c r="D623">
        <v>3</v>
      </c>
      <c r="E623" s="2" t="s">
        <v>41</v>
      </c>
      <c r="F623" s="1">
        <v>46082</v>
      </c>
      <c r="G623" s="2" t="s">
        <v>30</v>
      </c>
    </row>
    <row r="624" spans="1:7" x14ac:dyDescent="0.3">
      <c r="A624" s="1">
        <v>46098</v>
      </c>
      <c r="B624">
        <v>2026</v>
      </c>
      <c r="C624" s="2" t="s">
        <v>38</v>
      </c>
      <c r="D624">
        <v>3</v>
      </c>
      <c r="E624" s="2" t="s">
        <v>41</v>
      </c>
      <c r="F624" s="1">
        <v>46082</v>
      </c>
      <c r="G624" s="2" t="s">
        <v>31</v>
      </c>
    </row>
    <row r="625" spans="1:7" x14ac:dyDescent="0.3">
      <c r="A625" s="1">
        <v>46099</v>
      </c>
      <c r="B625">
        <v>2026</v>
      </c>
      <c r="C625" s="2" t="s">
        <v>38</v>
      </c>
      <c r="D625">
        <v>3</v>
      </c>
      <c r="E625" s="2" t="s">
        <v>41</v>
      </c>
      <c r="F625" s="1">
        <v>46082</v>
      </c>
      <c r="G625" s="2" t="s">
        <v>25</v>
      </c>
    </row>
    <row r="626" spans="1:7" x14ac:dyDescent="0.3">
      <c r="A626" s="1">
        <v>46100</v>
      </c>
      <c r="B626">
        <v>2026</v>
      </c>
      <c r="C626" s="2" t="s">
        <v>38</v>
      </c>
      <c r="D626">
        <v>3</v>
      </c>
      <c r="E626" s="2" t="s">
        <v>41</v>
      </c>
      <c r="F626" s="1">
        <v>46082</v>
      </c>
      <c r="G626" s="2" t="s">
        <v>26</v>
      </c>
    </row>
    <row r="627" spans="1:7" x14ac:dyDescent="0.3">
      <c r="A627" s="1">
        <v>46101</v>
      </c>
      <c r="B627">
        <v>2026</v>
      </c>
      <c r="C627" s="2" t="s">
        <v>38</v>
      </c>
      <c r="D627">
        <v>3</v>
      </c>
      <c r="E627" s="2" t="s">
        <v>41</v>
      </c>
      <c r="F627" s="1">
        <v>46082</v>
      </c>
      <c r="G627" s="2" t="s">
        <v>27</v>
      </c>
    </row>
    <row r="628" spans="1:7" x14ac:dyDescent="0.3">
      <c r="A628" s="1">
        <v>46102</v>
      </c>
      <c r="B628">
        <v>2026</v>
      </c>
      <c r="C628" s="2" t="s">
        <v>38</v>
      </c>
      <c r="D628">
        <v>3</v>
      </c>
      <c r="E628" s="2" t="s">
        <v>41</v>
      </c>
      <c r="F628" s="1">
        <v>46082</v>
      </c>
      <c r="G628" s="2" t="s">
        <v>28</v>
      </c>
    </row>
    <row r="629" spans="1:7" x14ac:dyDescent="0.3">
      <c r="A629" s="1">
        <v>46103</v>
      </c>
      <c r="B629">
        <v>2026</v>
      </c>
      <c r="C629" s="2" t="s">
        <v>38</v>
      </c>
      <c r="D629">
        <v>3</v>
      </c>
      <c r="E629" s="2" t="s">
        <v>41</v>
      </c>
      <c r="F629" s="1">
        <v>46082</v>
      </c>
      <c r="G629" s="2" t="s">
        <v>29</v>
      </c>
    </row>
    <row r="630" spans="1:7" x14ac:dyDescent="0.3">
      <c r="A630" s="1">
        <v>46104</v>
      </c>
      <c r="B630">
        <v>2026</v>
      </c>
      <c r="C630" s="2" t="s">
        <v>38</v>
      </c>
      <c r="D630">
        <v>3</v>
      </c>
      <c r="E630" s="2" t="s">
        <v>41</v>
      </c>
      <c r="F630" s="1">
        <v>46082</v>
      </c>
      <c r="G630" s="2" t="s">
        <v>30</v>
      </c>
    </row>
    <row r="631" spans="1:7" x14ac:dyDescent="0.3">
      <c r="A631" s="1">
        <v>46105</v>
      </c>
      <c r="B631">
        <v>2026</v>
      </c>
      <c r="C631" s="2" t="s">
        <v>38</v>
      </c>
      <c r="D631">
        <v>3</v>
      </c>
      <c r="E631" s="2" t="s">
        <v>41</v>
      </c>
      <c r="F631" s="1">
        <v>46082</v>
      </c>
      <c r="G631" s="2" t="s">
        <v>31</v>
      </c>
    </row>
    <row r="632" spans="1:7" x14ac:dyDescent="0.3">
      <c r="A632" s="1">
        <v>46106</v>
      </c>
      <c r="B632">
        <v>2026</v>
      </c>
      <c r="C632" s="2" t="s">
        <v>38</v>
      </c>
      <c r="D632">
        <v>3</v>
      </c>
      <c r="E632" s="2" t="s">
        <v>41</v>
      </c>
      <c r="F632" s="1">
        <v>46082</v>
      </c>
      <c r="G632" s="2" t="s">
        <v>25</v>
      </c>
    </row>
    <row r="633" spans="1:7" x14ac:dyDescent="0.3">
      <c r="A633" s="1">
        <v>46107</v>
      </c>
      <c r="B633">
        <v>2026</v>
      </c>
      <c r="C633" s="2" t="s">
        <v>38</v>
      </c>
      <c r="D633">
        <v>3</v>
      </c>
      <c r="E633" s="2" t="s">
        <v>41</v>
      </c>
      <c r="F633" s="1">
        <v>46082</v>
      </c>
      <c r="G633" s="2" t="s">
        <v>26</v>
      </c>
    </row>
    <row r="634" spans="1:7" x14ac:dyDescent="0.3">
      <c r="A634" s="1">
        <v>46108</v>
      </c>
      <c r="B634">
        <v>2026</v>
      </c>
      <c r="C634" s="2" t="s">
        <v>38</v>
      </c>
      <c r="D634">
        <v>3</v>
      </c>
      <c r="E634" s="2" t="s">
        <v>41</v>
      </c>
      <c r="F634" s="1">
        <v>46082</v>
      </c>
      <c r="G634" s="2" t="s">
        <v>27</v>
      </c>
    </row>
    <row r="635" spans="1:7" x14ac:dyDescent="0.3">
      <c r="A635" s="1">
        <v>46109</v>
      </c>
      <c r="B635">
        <v>2026</v>
      </c>
      <c r="C635" s="2" t="s">
        <v>38</v>
      </c>
      <c r="D635">
        <v>3</v>
      </c>
      <c r="E635" s="2" t="s">
        <v>41</v>
      </c>
      <c r="F635" s="1">
        <v>46082</v>
      </c>
      <c r="G635" s="2" t="s">
        <v>28</v>
      </c>
    </row>
    <row r="636" spans="1:7" x14ac:dyDescent="0.3">
      <c r="A636" s="1">
        <v>46110</v>
      </c>
      <c r="B636">
        <v>2026</v>
      </c>
      <c r="C636" s="2" t="s">
        <v>38</v>
      </c>
      <c r="D636">
        <v>3</v>
      </c>
      <c r="E636" s="2" t="s">
        <v>41</v>
      </c>
      <c r="F636" s="1">
        <v>46082</v>
      </c>
      <c r="G636" s="2" t="s">
        <v>29</v>
      </c>
    </row>
    <row r="637" spans="1:7" x14ac:dyDescent="0.3">
      <c r="A637" s="1">
        <v>46111</v>
      </c>
      <c r="B637">
        <v>2026</v>
      </c>
      <c r="C637" s="2" t="s">
        <v>38</v>
      </c>
      <c r="D637">
        <v>3</v>
      </c>
      <c r="E637" s="2" t="s">
        <v>41</v>
      </c>
      <c r="F637" s="1">
        <v>46082</v>
      </c>
      <c r="G637" s="2" t="s">
        <v>30</v>
      </c>
    </row>
    <row r="638" spans="1:7" x14ac:dyDescent="0.3">
      <c r="A638" s="1">
        <v>46112</v>
      </c>
      <c r="B638">
        <v>2026</v>
      </c>
      <c r="C638" s="2" t="s">
        <v>38</v>
      </c>
      <c r="D638">
        <v>3</v>
      </c>
      <c r="E638" s="2" t="s">
        <v>41</v>
      </c>
      <c r="F638" s="1">
        <v>46082</v>
      </c>
      <c r="G638" s="2" t="s">
        <v>31</v>
      </c>
    </row>
    <row r="639" spans="1:7" x14ac:dyDescent="0.3">
      <c r="A639" s="1">
        <v>46113</v>
      </c>
      <c r="B639">
        <v>2026</v>
      </c>
      <c r="C639" s="2" t="s">
        <v>42</v>
      </c>
      <c r="D639">
        <v>4</v>
      </c>
      <c r="E639" s="2" t="s">
        <v>43</v>
      </c>
      <c r="F639" s="1">
        <v>46113</v>
      </c>
      <c r="G639" s="2" t="s">
        <v>25</v>
      </c>
    </row>
    <row r="640" spans="1:7" x14ac:dyDescent="0.3">
      <c r="A640" s="1">
        <v>46114</v>
      </c>
      <c r="B640">
        <v>2026</v>
      </c>
      <c r="C640" s="2" t="s">
        <v>42</v>
      </c>
      <c r="D640">
        <v>4</v>
      </c>
      <c r="E640" s="2" t="s">
        <v>43</v>
      </c>
      <c r="F640" s="1">
        <v>46113</v>
      </c>
      <c r="G640" s="2" t="s">
        <v>26</v>
      </c>
    </row>
    <row r="641" spans="1:7" x14ac:dyDescent="0.3">
      <c r="A641" s="1">
        <v>46115</v>
      </c>
      <c r="B641">
        <v>2026</v>
      </c>
      <c r="C641" s="2" t="s">
        <v>42</v>
      </c>
      <c r="D641">
        <v>4</v>
      </c>
      <c r="E641" s="2" t="s">
        <v>43</v>
      </c>
      <c r="F641" s="1">
        <v>46113</v>
      </c>
      <c r="G641" s="2" t="s">
        <v>27</v>
      </c>
    </row>
    <row r="642" spans="1:7" x14ac:dyDescent="0.3">
      <c r="A642" s="1">
        <v>46116</v>
      </c>
      <c r="B642">
        <v>2026</v>
      </c>
      <c r="C642" s="2" t="s">
        <v>42</v>
      </c>
      <c r="D642">
        <v>4</v>
      </c>
      <c r="E642" s="2" t="s">
        <v>43</v>
      </c>
      <c r="F642" s="1">
        <v>46113</v>
      </c>
      <c r="G642" s="2" t="s">
        <v>28</v>
      </c>
    </row>
    <row r="643" spans="1:7" x14ac:dyDescent="0.3">
      <c r="A643" s="1">
        <v>46117</v>
      </c>
      <c r="B643">
        <v>2026</v>
      </c>
      <c r="C643" s="2" t="s">
        <v>42</v>
      </c>
      <c r="D643">
        <v>4</v>
      </c>
      <c r="E643" s="2" t="s">
        <v>43</v>
      </c>
      <c r="F643" s="1">
        <v>46113</v>
      </c>
      <c r="G643" s="2" t="s">
        <v>29</v>
      </c>
    </row>
    <row r="644" spans="1:7" x14ac:dyDescent="0.3">
      <c r="A644" s="1">
        <v>46118</v>
      </c>
      <c r="B644">
        <v>2026</v>
      </c>
      <c r="C644" s="2" t="s">
        <v>42</v>
      </c>
      <c r="D644">
        <v>4</v>
      </c>
      <c r="E644" s="2" t="s">
        <v>43</v>
      </c>
      <c r="F644" s="1">
        <v>46113</v>
      </c>
      <c r="G644" s="2" t="s">
        <v>30</v>
      </c>
    </row>
    <row r="645" spans="1:7" x14ac:dyDescent="0.3">
      <c r="A645" s="1">
        <v>46119</v>
      </c>
      <c r="B645">
        <v>2026</v>
      </c>
      <c r="C645" s="2" t="s">
        <v>42</v>
      </c>
      <c r="D645">
        <v>4</v>
      </c>
      <c r="E645" s="2" t="s">
        <v>43</v>
      </c>
      <c r="F645" s="1">
        <v>46113</v>
      </c>
      <c r="G645" s="2" t="s">
        <v>31</v>
      </c>
    </row>
    <row r="646" spans="1:7" x14ac:dyDescent="0.3">
      <c r="A646" s="1">
        <v>46120</v>
      </c>
      <c r="B646">
        <v>2026</v>
      </c>
      <c r="C646" s="2" t="s">
        <v>42</v>
      </c>
      <c r="D646">
        <v>4</v>
      </c>
      <c r="E646" s="2" t="s">
        <v>43</v>
      </c>
      <c r="F646" s="1">
        <v>46113</v>
      </c>
      <c r="G646" s="2" t="s">
        <v>25</v>
      </c>
    </row>
    <row r="647" spans="1:7" x14ac:dyDescent="0.3">
      <c r="A647" s="1">
        <v>46121</v>
      </c>
      <c r="B647">
        <v>2026</v>
      </c>
      <c r="C647" s="2" t="s">
        <v>42</v>
      </c>
      <c r="D647">
        <v>4</v>
      </c>
      <c r="E647" s="2" t="s">
        <v>43</v>
      </c>
      <c r="F647" s="1">
        <v>46113</v>
      </c>
      <c r="G647" s="2" t="s">
        <v>26</v>
      </c>
    </row>
    <row r="648" spans="1:7" x14ac:dyDescent="0.3">
      <c r="A648" s="1">
        <v>46122</v>
      </c>
      <c r="B648">
        <v>2026</v>
      </c>
      <c r="C648" s="2" t="s">
        <v>42</v>
      </c>
      <c r="D648">
        <v>4</v>
      </c>
      <c r="E648" s="2" t="s">
        <v>43</v>
      </c>
      <c r="F648" s="1">
        <v>46113</v>
      </c>
      <c r="G648" s="2" t="s">
        <v>27</v>
      </c>
    </row>
    <row r="649" spans="1:7" x14ac:dyDescent="0.3">
      <c r="A649" s="1">
        <v>46123</v>
      </c>
      <c r="B649">
        <v>2026</v>
      </c>
      <c r="C649" s="2" t="s">
        <v>42</v>
      </c>
      <c r="D649">
        <v>4</v>
      </c>
      <c r="E649" s="2" t="s">
        <v>43</v>
      </c>
      <c r="F649" s="1">
        <v>46113</v>
      </c>
      <c r="G649" s="2" t="s">
        <v>28</v>
      </c>
    </row>
    <row r="650" spans="1:7" x14ac:dyDescent="0.3">
      <c r="A650" s="1">
        <v>46124</v>
      </c>
      <c r="B650">
        <v>2026</v>
      </c>
      <c r="C650" s="2" t="s">
        <v>42</v>
      </c>
      <c r="D650">
        <v>4</v>
      </c>
      <c r="E650" s="2" t="s">
        <v>43</v>
      </c>
      <c r="F650" s="1">
        <v>46113</v>
      </c>
      <c r="G650" s="2" t="s">
        <v>29</v>
      </c>
    </row>
    <row r="651" spans="1:7" x14ac:dyDescent="0.3">
      <c r="A651" s="1">
        <v>46125</v>
      </c>
      <c r="B651">
        <v>2026</v>
      </c>
      <c r="C651" s="2" t="s">
        <v>42</v>
      </c>
      <c r="D651">
        <v>4</v>
      </c>
      <c r="E651" s="2" t="s">
        <v>43</v>
      </c>
      <c r="F651" s="1">
        <v>46113</v>
      </c>
      <c r="G651" s="2" t="s">
        <v>30</v>
      </c>
    </row>
    <row r="652" spans="1:7" x14ac:dyDescent="0.3">
      <c r="A652" s="1">
        <v>46126</v>
      </c>
      <c r="B652">
        <v>2026</v>
      </c>
      <c r="C652" s="2" t="s">
        <v>42</v>
      </c>
      <c r="D652">
        <v>4</v>
      </c>
      <c r="E652" s="2" t="s">
        <v>43</v>
      </c>
      <c r="F652" s="1">
        <v>46113</v>
      </c>
      <c r="G652" s="2" t="s">
        <v>31</v>
      </c>
    </row>
    <row r="653" spans="1:7" x14ac:dyDescent="0.3">
      <c r="A653" s="1">
        <v>46127</v>
      </c>
      <c r="B653">
        <v>2026</v>
      </c>
      <c r="C653" s="2" t="s">
        <v>42</v>
      </c>
      <c r="D653">
        <v>4</v>
      </c>
      <c r="E653" s="2" t="s">
        <v>43</v>
      </c>
      <c r="F653" s="1">
        <v>46113</v>
      </c>
      <c r="G653" s="2" t="s">
        <v>25</v>
      </c>
    </row>
    <row r="654" spans="1:7" x14ac:dyDescent="0.3">
      <c r="A654" s="1">
        <v>46128</v>
      </c>
      <c r="B654">
        <v>2026</v>
      </c>
      <c r="C654" s="2" t="s">
        <v>42</v>
      </c>
      <c r="D654">
        <v>4</v>
      </c>
      <c r="E654" s="2" t="s">
        <v>43</v>
      </c>
      <c r="F654" s="1">
        <v>46113</v>
      </c>
      <c r="G654" s="2" t="s">
        <v>26</v>
      </c>
    </row>
    <row r="655" spans="1:7" x14ac:dyDescent="0.3">
      <c r="A655" s="1">
        <v>46129</v>
      </c>
      <c r="B655">
        <v>2026</v>
      </c>
      <c r="C655" s="2" t="s">
        <v>42</v>
      </c>
      <c r="D655">
        <v>4</v>
      </c>
      <c r="E655" s="2" t="s">
        <v>43</v>
      </c>
      <c r="F655" s="1">
        <v>46113</v>
      </c>
      <c r="G655" s="2" t="s">
        <v>27</v>
      </c>
    </row>
    <row r="656" spans="1:7" x14ac:dyDescent="0.3">
      <c r="A656" s="1">
        <v>46130</v>
      </c>
      <c r="B656">
        <v>2026</v>
      </c>
      <c r="C656" s="2" t="s">
        <v>42</v>
      </c>
      <c r="D656">
        <v>4</v>
      </c>
      <c r="E656" s="2" t="s">
        <v>43</v>
      </c>
      <c r="F656" s="1">
        <v>46113</v>
      </c>
      <c r="G656" s="2" t="s">
        <v>28</v>
      </c>
    </row>
    <row r="657" spans="1:7" x14ac:dyDescent="0.3">
      <c r="A657" s="1">
        <v>46131</v>
      </c>
      <c r="B657">
        <v>2026</v>
      </c>
      <c r="C657" s="2" t="s">
        <v>42</v>
      </c>
      <c r="D657">
        <v>4</v>
      </c>
      <c r="E657" s="2" t="s">
        <v>43</v>
      </c>
      <c r="F657" s="1">
        <v>46113</v>
      </c>
      <c r="G657" s="2" t="s">
        <v>29</v>
      </c>
    </row>
    <row r="658" spans="1:7" x14ac:dyDescent="0.3">
      <c r="A658" s="1">
        <v>46132</v>
      </c>
      <c r="B658">
        <v>2026</v>
      </c>
      <c r="C658" s="2" t="s">
        <v>42</v>
      </c>
      <c r="D658">
        <v>4</v>
      </c>
      <c r="E658" s="2" t="s">
        <v>43</v>
      </c>
      <c r="F658" s="1">
        <v>46113</v>
      </c>
      <c r="G658" s="2" t="s">
        <v>30</v>
      </c>
    </row>
    <row r="659" spans="1:7" x14ac:dyDescent="0.3">
      <c r="A659" s="1">
        <v>46133</v>
      </c>
      <c r="B659">
        <v>2026</v>
      </c>
      <c r="C659" s="2" t="s">
        <v>42</v>
      </c>
      <c r="D659">
        <v>4</v>
      </c>
      <c r="E659" s="2" t="s">
        <v>43</v>
      </c>
      <c r="F659" s="1">
        <v>46113</v>
      </c>
      <c r="G659" s="2" t="s">
        <v>31</v>
      </c>
    </row>
    <row r="660" spans="1:7" x14ac:dyDescent="0.3">
      <c r="A660" s="1">
        <v>46134</v>
      </c>
      <c r="B660">
        <v>2026</v>
      </c>
      <c r="C660" s="2" t="s">
        <v>42</v>
      </c>
      <c r="D660">
        <v>4</v>
      </c>
      <c r="E660" s="2" t="s">
        <v>43</v>
      </c>
      <c r="F660" s="1">
        <v>46113</v>
      </c>
      <c r="G660" s="2" t="s">
        <v>25</v>
      </c>
    </row>
    <row r="661" spans="1:7" x14ac:dyDescent="0.3">
      <c r="A661" s="1">
        <v>46135</v>
      </c>
      <c r="B661">
        <v>2026</v>
      </c>
      <c r="C661" s="2" t="s">
        <v>42</v>
      </c>
      <c r="D661">
        <v>4</v>
      </c>
      <c r="E661" s="2" t="s">
        <v>43</v>
      </c>
      <c r="F661" s="1">
        <v>46113</v>
      </c>
      <c r="G661" s="2" t="s">
        <v>26</v>
      </c>
    </row>
    <row r="662" spans="1:7" x14ac:dyDescent="0.3">
      <c r="A662" s="1">
        <v>46136</v>
      </c>
      <c r="B662">
        <v>2026</v>
      </c>
      <c r="C662" s="2" t="s">
        <v>42</v>
      </c>
      <c r="D662">
        <v>4</v>
      </c>
      <c r="E662" s="2" t="s">
        <v>43</v>
      </c>
      <c r="F662" s="1">
        <v>46113</v>
      </c>
      <c r="G662" s="2" t="s">
        <v>27</v>
      </c>
    </row>
    <row r="663" spans="1:7" x14ac:dyDescent="0.3">
      <c r="A663" s="1">
        <v>46137</v>
      </c>
      <c r="B663">
        <v>2026</v>
      </c>
      <c r="C663" s="2" t="s">
        <v>42</v>
      </c>
      <c r="D663">
        <v>4</v>
      </c>
      <c r="E663" s="2" t="s">
        <v>43</v>
      </c>
      <c r="F663" s="1">
        <v>46113</v>
      </c>
      <c r="G663" s="2" t="s">
        <v>28</v>
      </c>
    </row>
    <row r="664" spans="1:7" x14ac:dyDescent="0.3">
      <c r="A664" s="1">
        <v>46138</v>
      </c>
      <c r="B664">
        <v>2026</v>
      </c>
      <c r="C664" s="2" t="s">
        <v>42</v>
      </c>
      <c r="D664">
        <v>4</v>
      </c>
      <c r="E664" s="2" t="s">
        <v>43</v>
      </c>
      <c r="F664" s="1">
        <v>46113</v>
      </c>
      <c r="G664" s="2" t="s">
        <v>29</v>
      </c>
    </row>
    <row r="665" spans="1:7" x14ac:dyDescent="0.3">
      <c r="A665" s="1">
        <v>46139</v>
      </c>
      <c r="B665">
        <v>2026</v>
      </c>
      <c r="C665" s="2" t="s">
        <v>42</v>
      </c>
      <c r="D665">
        <v>4</v>
      </c>
      <c r="E665" s="2" t="s">
        <v>43</v>
      </c>
      <c r="F665" s="1">
        <v>46113</v>
      </c>
      <c r="G665" s="2" t="s">
        <v>30</v>
      </c>
    </row>
    <row r="666" spans="1:7" x14ac:dyDescent="0.3">
      <c r="A666" s="1">
        <v>46140</v>
      </c>
      <c r="B666">
        <v>2026</v>
      </c>
      <c r="C666" s="2" t="s">
        <v>42</v>
      </c>
      <c r="D666">
        <v>4</v>
      </c>
      <c r="E666" s="2" t="s">
        <v>43</v>
      </c>
      <c r="F666" s="1">
        <v>46113</v>
      </c>
      <c r="G666" s="2" t="s">
        <v>31</v>
      </c>
    </row>
    <row r="667" spans="1:7" x14ac:dyDescent="0.3">
      <c r="A667" s="1">
        <v>46141</v>
      </c>
      <c r="B667">
        <v>2026</v>
      </c>
      <c r="C667" s="2" t="s">
        <v>42</v>
      </c>
      <c r="D667">
        <v>4</v>
      </c>
      <c r="E667" s="2" t="s">
        <v>43</v>
      </c>
      <c r="F667" s="1">
        <v>46113</v>
      </c>
      <c r="G667" s="2" t="s">
        <v>25</v>
      </c>
    </row>
    <row r="668" spans="1:7" x14ac:dyDescent="0.3">
      <c r="A668" s="1">
        <v>46142</v>
      </c>
      <c r="B668">
        <v>2026</v>
      </c>
      <c r="C668" s="2" t="s">
        <v>42</v>
      </c>
      <c r="D668">
        <v>4</v>
      </c>
      <c r="E668" s="2" t="s">
        <v>43</v>
      </c>
      <c r="F668" s="1">
        <v>46113</v>
      </c>
      <c r="G668" s="2" t="s">
        <v>26</v>
      </c>
    </row>
    <row r="669" spans="1:7" x14ac:dyDescent="0.3">
      <c r="A669" s="1">
        <v>46143</v>
      </c>
      <c r="B669">
        <v>2026</v>
      </c>
      <c r="C669" s="2" t="s">
        <v>42</v>
      </c>
      <c r="D669">
        <v>5</v>
      </c>
      <c r="E669" s="2" t="s">
        <v>44</v>
      </c>
      <c r="F669" s="1">
        <v>46143</v>
      </c>
      <c r="G669" s="2" t="s">
        <v>27</v>
      </c>
    </row>
    <row r="670" spans="1:7" x14ac:dyDescent="0.3">
      <c r="A670" s="1">
        <v>46144</v>
      </c>
      <c r="B670">
        <v>2026</v>
      </c>
      <c r="C670" s="2" t="s">
        <v>42</v>
      </c>
      <c r="D670">
        <v>5</v>
      </c>
      <c r="E670" s="2" t="s">
        <v>44</v>
      </c>
      <c r="F670" s="1">
        <v>46143</v>
      </c>
      <c r="G670" s="2" t="s">
        <v>28</v>
      </c>
    </row>
    <row r="671" spans="1:7" x14ac:dyDescent="0.3">
      <c r="A671" s="1">
        <v>46145</v>
      </c>
      <c r="B671">
        <v>2026</v>
      </c>
      <c r="C671" s="2" t="s">
        <v>42</v>
      </c>
      <c r="D671">
        <v>5</v>
      </c>
      <c r="E671" s="2" t="s">
        <v>44</v>
      </c>
      <c r="F671" s="1">
        <v>46143</v>
      </c>
      <c r="G671" s="2" t="s">
        <v>29</v>
      </c>
    </row>
    <row r="672" spans="1:7" x14ac:dyDescent="0.3">
      <c r="A672" s="1">
        <v>46146</v>
      </c>
      <c r="B672">
        <v>2026</v>
      </c>
      <c r="C672" s="2" t="s">
        <v>42</v>
      </c>
      <c r="D672">
        <v>5</v>
      </c>
      <c r="E672" s="2" t="s">
        <v>44</v>
      </c>
      <c r="F672" s="1">
        <v>46143</v>
      </c>
      <c r="G672" s="2" t="s">
        <v>30</v>
      </c>
    </row>
    <row r="673" spans="1:7" x14ac:dyDescent="0.3">
      <c r="A673" s="1">
        <v>46147</v>
      </c>
      <c r="B673">
        <v>2026</v>
      </c>
      <c r="C673" s="2" t="s">
        <v>42</v>
      </c>
      <c r="D673">
        <v>5</v>
      </c>
      <c r="E673" s="2" t="s">
        <v>44</v>
      </c>
      <c r="F673" s="1">
        <v>46143</v>
      </c>
      <c r="G673" s="2" t="s">
        <v>31</v>
      </c>
    </row>
    <row r="674" spans="1:7" x14ac:dyDescent="0.3">
      <c r="A674" s="1">
        <v>46148</v>
      </c>
      <c r="B674">
        <v>2026</v>
      </c>
      <c r="C674" s="2" t="s">
        <v>42</v>
      </c>
      <c r="D674">
        <v>5</v>
      </c>
      <c r="E674" s="2" t="s">
        <v>44</v>
      </c>
      <c r="F674" s="1">
        <v>46143</v>
      </c>
      <c r="G674" s="2" t="s">
        <v>25</v>
      </c>
    </row>
    <row r="675" spans="1:7" x14ac:dyDescent="0.3">
      <c r="A675" s="1">
        <v>46149</v>
      </c>
      <c r="B675">
        <v>2026</v>
      </c>
      <c r="C675" s="2" t="s">
        <v>42</v>
      </c>
      <c r="D675">
        <v>5</v>
      </c>
      <c r="E675" s="2" t="s">
        <v>44</v>
      </c>
      <c r="F675" s="1">
        <v>46143</v>
      </c>
      <c r="G675" s="2" t="s">
        <v>26</v>
      </c>
    </row>
    <row r="676" spans="1:7" x14ac:dyDescent="0.3">
      <c r="A676" s="1">
        <v>46150</v>
      </c>
      <c r="B676">
        <v>2026</v>
      </c>
      <c r="C676" s="2" t="s">
        <v>42</v>
      </c>
      <c r="D676">
        <v>5</v>
      </c>
      <c r="E676" s="2" t="s">
        <v>44</v>
      </c>
      <c r="F676" s="1">
        <v>46143</v>
      </c>
      <c r="G676" s="2" t="s">
        <v>27</v>
      </c>
    </row>
    <row r="677" spans="1:7" x14ac:dyDescent="0.3">
      <c r="A677" s="1">
        <v>46151</v>
      </c>
      <c r="B677">
        <v>2026</v>
      </c>
      <c r="C677" s="2" t="s">
        <v>42</v>
      </c>
      <c r="D677">
        <v>5</v>
      </c>
      <c r="E677" s="2" t="s">
        <v>44</v>
      </c>
      <c r="F677" s="1">
        <v>46143</v>
      </c>
      <c r="G677" s="2" t="s">
        <v>28</v>
      </c>
    </row>
    <row r="678" spans="1:7" x14ac:dyDescent="0.3">
      <c r="A678" s="1">
        <v>46152</v>
      </c>
      <c r="B678">
        <v>2026</v>
      </c>
      <c r="C678" s="2" t="s">
        <v>42</v>
      </c>
      <c r="D678">
        <v>5</v>
      </c>
      <c r="E678" s="2" t="s">
        <v>44</v>
      </c>
      <c r="F678" s="1">
        <v>46143</v>
      </c>
      <c r="G678" s="2" t="s">
        <v>29</v>
      </c>
    </row>
    <row r="679" spans="1:7" x14ac:dyDescent="0.3">
      <c r="A679" s="1">
        <v>46153</v>
      </c>
      <c r="B679">
        <v>2026</v>
      </c>
      <c r="C679" s="2" t="s">
        <v>42</v>
      </c>
      <c r="D679">
        <v>5</v>
      </c>
      <c r="E679" s="2" t="s">
        <v>44</v>
      </c>
      <c r="F679" s="1">
        <v>46143</v>
      </c>
      <c r="G679" s="2" t="s">
        <v>30</v>
      </c>
    </row>
    <row r="680" spans="1:7" x14ac:dyDescent="0.3">
      <c r="A680" s="1">
        <v>46154</v>
      </c>
      <c r="B680">
        <v>2026</v>
      </c>
      <c r="C680" s="2" t="s">
        <v>42</v>
      </c>
      <c r="D680">
        <v>5</v>
      </c>
      <c r="E680" s="2" t="s">
        <v>44</v>
      </c>
      <c r="F680" s="1">
        <v>46143</v>
      </c>
      <c r="G680" s="2" t="s">
        <v>31</v>
      </c>
    </row>
    <row r="681" spans="1:7" x14ac:dyDescent="0.3">
      <c r="A681" s="1">
        <v>46155</v>
      </c>
      <c r="B681">
        <v>2026</v>
      </c>
      <c r="C681" s="2" t="s">
        <v>42</v>
      </c>
      <c r="D681">
        <v>5</v>
      </c>
      <c r="E681" s="2" t="s">
        <v>44</v>
      </c>
      <c r="F681" s="1">
        <v>46143</v>
      </c>
      <c r="G681" s="2" t="s">
        <v>25</v>
      </c>
    </row>
    <row r="682" spans="1:7" x14ac:dyDescent="0.3">
      <c r="A682" s="1">
        <v>46156</v>
      </c>
      <c r="B682">
        <v>2026</v>
      </c>
      <c r="C682" s="2" t="s">
        <v>42</v>
      </c>
      <c r="D682">
        <v>5</v>
      </c>
      <c r="E682" s="2" t="s">
        <v>44</v>
      </c>
      <c r="F682" s="1">
        <v>46143</v>
      </c>
      <c r="G682" s="2" t="s">
        <v>26</v>
      </c>
    </row>
    <row r="683" spans="1:7" x14ac:dyDescent="0.3">
      <c r="A683" s="1">
        <v>46157</v>
      </c>
      <c r="B683">
        <v>2026</v>
      </c>
      <c r="C683" s="2" t="s">
        <v>42</v>
      </c>
      <c r="D683">
        <v>5</v>
      </c>
      <c r="E683" s="2" t="s">
        <v>44</v>
      </c>
      <c r="F683" s="1">
        <v>46143</v>
      </c>
      <c r="G683" s="2" t="s">
        <v>27</v>
      </c>
    </row>
    <row r="684" spans="1:7" x14ac:dyDescent="0.3">
      <c r="A684" s="1">
        <v>46158</v>
      </c>
      <c r="B684">
        <v>2026</v>
      </c>
      <c r="C684" s="2" t="s">
        <v>42</v>
      </c>
      <c r="D684">
        <v>5</v>
      </c>
      <c r="E684" s="2" t="s">
        <v>44</v>
      </c>
      <c r="F684" s="1">
        <v>46143</v>
      </c>
      <c r="G684" s="2" t="s">
        <v>28</v>
      </c>
    </row>
    <row r="685" spans="1:7" x14ac:dyDescent="0.3">
      <c r="A685" s="1">
        <v>46159</v>
      </c>
      <c r="B685">
        <v>2026</v>
      </c>
      <c r="C685" s="2" t="s">
        <v>42</v>
      </c>
      <c r="D685">
        <v>5</v>
      </c>
      <c r="E685" s="2" t="s">
        <v>44</v>
      </c>
      <c r="F685" s="1">
        <v>46143</v>
      </c>
      <c r="G685" s="2" t="s">
        <v>29</v>
      </c>
    </row>
    <row r="686" spans="1:7" x14ac:dyDescent="0.3">
      <c r="A686" s="1">
        <v>46160</v>
      </c>
      <c r="B686">
        <v>2026</v>
      </c>
      <c r="C686" s="2" t="s">
        <v>42</v>
      </c>
      <c r="D686">
        <v>5</v>
      </c>
      <c r="E686" s="2" t="s">
        <v>44</v>
      </c>
      <c r="F686" s="1">
        <v>46143</v>
      </c>
      <c r="G686" s="2" t="s">
        <v>30</v>
      </c>
    </row>
    <row r="687" spans="1:7" x14ac:dyDescent="0.3">
      <c r="A687" s="1">
        <v>46161</v>
      </c>
      <c r="B687">
        <v>2026</v>
      </c>
      <c r="C687" s="2" t="s">
        <v>42</v>
      </c>
      <c r="D687">
        <v>5</v>
      </c>
      <c r="E687" s="2" t="s">
        <v>44</v>
      </c>
      <c r="F687" s="1">
        <v>46143</v>
      </c>
      <c r="G687" s="2" t="s">
        <v>31</v>
      </c>
    </row>
    <row r="688" spans="1:7" x14ac:dyDescent="0.3">
      <c r="A688" s="1">
        <v>46162</v>
      </c>
      <c r="B688">
        <v>2026</v>
      </c>
      <c r="C688" s="2" t="s">
        <v>42</v>
      </c>
      <c r="D688">
        <v>5</v>
      </c>
      <c r="E688" s="2" t="s">
        <v>44</v>
      </c>
      <c r="F688" s="1">
        <v>46143</v>
      </c>
      <c r="G688" s="2" t="s">
        <v>25</v>
      </c>
    </row>
    <row r="689" spans="1:7" x14ac:dyDescent="0.3">
      <c r="A689" s="1">
        <v>46163</v>
      </c>
      <c r="B689">
        <v>2026</v>
      </c>
      <c r="C689" s="2" t="s">
        <v>42</v>
      </c>
      <c r="D689">
        <v>5</v>
      </c>
      <c r="E689" s="2" t="s">
        <v>44</v>
      </c>
      <c r="F689" s="1">
        <v>46143</v>
      </c>
      <c r="G689" s="2" t="s">
        <v>26</v>
      </c>
    </row>
    <row r="690" spans="1:7" x14ac:dyDescent="0.3">
      <c r="A690" s="1">
        <v>46164</v>
      </c>
      <c r="B690">
        <v>2026</v>
      </c>
      <c r="C690" s="2" t="s">
        <v>42</v>
      </c>
      <c r="D690">
        <v>5</v>
      </c>
      <c r="E690" s="2" t="s">
        <v>44</v>
      </c>
      <c r="F690" s="1">
        <v>46143</v>
      </c>
      <c r="G690" s="2" t="s">
        <v>27</v>
      </c>
    </row>
    <row r="691" spans="1:7" x14ac:dyDescent="0.3">
      <c r="A691" s="1">
        <v>46165</v>
      </c>
      <c r="B691">
        <v>2026</v>
      </c>
      <c r="C691" s="2" t="s">
        <v>42</v>
      </c>
      <c r="D691">
        <v>5</v>
      </c>
      <c r="E691" s="2" t="s">
        <v>44</v>
      </c>
      <c r="F691" s="1">
        <v>46143</v>
      </c>
      <c r="G691" s="2" t="s">
        <v>28</v>
      </c>
    </row>
    <row r="692" spans="1:7" x14ac:dyDescent="0.3">
      <c r="A692" s="1">
        <v>46166</v>
      </c>
      <c r="B692">
        <v>2026</v>
      </c>
      <c r="C692" s="2" t="s">
        <v>42</v>
      </c>
      <c r="D692">
        <v>5</v>
      </c>
      <c r="E692" s="2" t="s">
        <v>44</v>
      </c>
      <c r="F692" s="1">
        <v>46143</v>
      </c>
      <c r="G692" s="2" t="s">
        <v>29</v>
      </c>
    </row>
    <row r="693" spans="1:7" x14ac:dyDescent="0.3">
      <c r="A693" s="1">
        <v>46167</v>
      </c>
      <c r="B693">
        <v>2026</v>
      </c>
      <c r="C693" s="2" t="s">
        <v>42</v>
      </c>
      <c r="D693">
        <v>5</v>
      </c>
      <c r="E693" s="2" t="s">
        <v>44</v>
      </c>
      <c r="F693" s="1">
        <v>46143</v>
      </c>
      <c r="G693" s="2" t="s">
        <v>30</v>
      </c>
    </row>
    <row r="694" spans="1:7" x14ac:dyDescent="0.3">
      <c r="A694" s="1">
        <v>46168</v>
      </c>
      <c r="B694">
        <v>2026</v>
      </c>
      <c r="C694" s="2" t="s">
        <v>42</v>
      </c>
      <c r="D694">
        <v>5</v>
      </c>
      <c r="E694" s="2" t="s">
        <v>44</v>
      </c>
      <c r="F694" s="1">
        <v>46143</v>
      </c>
      <c r="G694" s="2" t="s">
        <v>31</v>
      </c>
    </row>
    <row r="695" spans="1:7" x14ac:dyDescent="0.3">
      <c r="A695" s="1">
        <v>46169</v>
      </c>
      <c r="B695">
        <v>2026</v>
      </c>
      <c r="C695" s="2" t="s">
        <v>42</v>
      </c>
      <c r="D695">
        <v>5</v>
      </c>
      <c r="E695" s="2" t="s">
        <v>44</v>
      </c>
      <c r="F695" s="1">
        <v>46143</v>
      </c>
      <c r="G695" s="2" t="s">
        <v>25</v>
      </c>
    </row>
    <row r="696" spans="1:7" x14ac:dyDescent="0.3">
      <c r="A696" s="1">
        <v>46170</v>
      </c>
      <c r="B696">
        <v>2026</v>
      </c>
      <c r="C696" s="2" t="s">
        <v>42</v>
      </c>
      <c r="D696">
        <v>5</v>
      </c>
      <c r="E696" s="2" t="s">
        <v>44</v>
      </c>
      <c r="F696" s="1">
        <v>46143</v>
      </c>
      <c r="G696" s="2" t="s">
        <v>26</v>
      </c>
    </row>
    <row r="697" spans="1:7" x14ac:dyDescent="0.3">
      <c r="A697" s="1">
        <v>46171</v>
      </c>
      <c r="B697">
        <v>2026</v>
      </c>
      <c r="C697" s="2" t="s">
        <v>42</v>
      </c>
      <c r="D697">
        <v>5</v>
      </c>
      <c r="E697" s="2" t="s">
        <v>44</v>
      </c>
      <c r="F697" s="1">
        <v>46143</v>
      </c>
      <c r="G697" s="2" t="s">
        <v>27</v>
      </c>
    </row>
    <row r="698" spans="1:7" x14ac:dyDescent="0.3">
      <c r="A698" s="1">
        <v>46172</v>
      </c>
      <c r="B698">
        <v>2026</v>
      </c>
      <c r="C698" s="2" t="s">
        <v>42</v>
      </c>
      <c r="D698">
        <v>5</v>
      </c>
      <c r="E698" s="2" t="s">
        <v>44</v>
      </c>
      <c r="F698" s="1">
        <v>46143</v>
      </c>
      <c r="G698" s="2" t="s">
        <v>28</v>
      </c>
    </row>
    <row r="699" spans="1:7" x14ac:dyDescent="0.3">
      <c r="A699" s="1">
        <v>46173</v>
      </c>
      <c r="B699">
        <v>2026</v>
      </c>
      <c r="C699" s="2" t="s">
        <v>42</v>
      </c>
      <c r="D699">
        <v>5</v>
      </c>
      <c r="E699" s="2" t="s">
        <v>44</v>
      </c>
      <c r="F699" s="1">
        <v>46143</v>
      </c>
      <c r="G699" s="2" t="s">
        <v>29</v>
      </c>
    </row>
    <row r="700" spans="1:7" x14ac:dyDescent="0.3">
      <c r="A700" s="1">
        <v>46174</v>
      </c>
      <c r="B700">
        <v>2026</v>
      </c>
      <c r="C700" s="2" t="s">
        <v>42</v>
      </c>
      <c r="D700">
        <v>6</v>
      </c>
      <c r="E700" s="2" t="s">
        <v>45</v>
      </c>
      <c r="F700" s="1">
        <v>46174</v>
      </c>
      <c r="G700" s="2" t="s">
        <v>30</v>
      </c>
    </row>
    <row r="701" spans="1:7" x14ac:dyDescent="0.3">
      <c r="A701" s="1">
        <v>46175</v>
      </c>
      <c r="B701">
        <v>2026</v>
      </c>
      <c r="C701" s="2" t="s">
        <v>42</v>
      </c>
      <c r="D701">
        <v>6</v>
      </c>
      <c r="E701" s="2" t="s">
        <v>45</v>
      </c>
      <c r="F701" s="1">
        <v>46174</v>
      </c>
      <c r="G701" s="2" t="s">
        <v>31</v>
      </c>
    </row>
    <row r="702" spans="1:7" x14ac:dyDescent="0.3">
      <c r="A702" s="1">
        <v>46176</v>
      </c>
      <c r="B702">
        <v>2026</v>
      </c>
      <c r="C702" s="2" t="s">
        <v>42</v>
      </c>
      <c r="D702">
        <v>6</v>
      </c>
      <c r="E702" s="2" t="s">
        <v>45</v>
      </c>
      <c r="F702" s="1">
        <v>46174</v>
      </c>
      <c r="G702" s="2" t="s">
        <v>25</v>
      </c>
    </row>
    <row r="703" spans="1:7" x14ac:dyDescent="0.3">
      <c r="A703" s="1">
        <v>46177</v>
      </c>
      <c r="B703">
        <v>2026</v>
      </c>
      <c r="C703" s="2" t="s">
        <v>42</v>
      </c>
      <c r="D703">
        <v>6</v>
      </c>
      <c r="E703" s="2" t="s">
        <v>45</v>
      </c>
      <c r="F703" s="1">
        <v>46174</v>
      </c>
      <c r="G703" s="2" t="s">
        <v>26</v>
      </c>
    </row>
    <row r="704" spans="1:7" x14ac:dyDescent="0.3">
      <c r="A704" s="1">
        <v>46178</v>
      </c>
      <c r="B704">
        <v>2026</v>
      </c>
      <c r="C704" s="2" t="s">
        <v>42</v>
      </c>
      <c r="D704">
        <v>6</v>
      </c>
      <c r="E704" s="2" t="s">
        <v>45</v>
      </c>
      <c r="F704" s="1">
        <v>46174</v>
      </c>
      <c r="G704" s="2" t="s">
        <v>27</v>
      </c>
    </row>
    <row r="705" spans="1:7" x14ac:dyDescent="0.3">
      <c r="A705" s="1">
        <v>46179</v>
      </c>
      <c r="B705">
        <v>2026</v>
      </c>
      <c r="C705" s="2" t="s">
        <v>42</v>
      </c>
      <c r="D705">
        <v>6</v>
      </c>
      <c r="E705" s="2" t="s">
        <v>45</v>
      </c>
      <c r="F705" s="1">
        <v>46174</v>
      </c>
      <c r="G705" s="2" t="s">
        <v>28</v>
      </c>
    </row>
    <row r="706" spans="1:7" x14ac:dyDescent="0.3">
      <c r="A706" s="1">
        <v>46180</v>
      </c>
      <c r="B706">
        <v>2026</v>
      </c>
      <c r="C706" s="2" t="s">
        <v>42</v>
      </c>
      <c r="D706">
        <v>6</v>
      </c>
      <c r="E706" s="2" t="s">
        <v>45</v>
      </c>
      <c r="F706" s="1">
        <v>46174</v>
      </c>
      <c r="G706" s="2" t="s">
        <v>29</v>
      </c>
    </row>
    <row r="707" spans="1:7" x14ac:dyDescent="0.3">
      <c r="A707" s="1">
        <v>46181</v>
      </c>
      <c r="B707">
        <v>2026</v>
      </c>
      <c r="C707" s="2" t="s">
        <v>42</v>
      </c>
      <c r="D707">
        <v>6</v>
      </c>
      <c r="E707" s="2" t="s">
        <v>45</v>
      </c>
      <c r="F707" s="1">
        <v>46174</v>
      </c>
      <c r="G707" s="2" t="s">
        <v>30</v>
      </c>
    </row>
    <row r="708" spans="1:7" x14ac:dyDescent="0.3">
      <c r="A708" s="1">
        <v>46182</v>
      </c>
      <c r="B708">
        <v>2026</v>
      </c>
      <c r="C708" s="2" t="s">
        <v>42</v>
      </c>
      <c r="D708">
        <v>6</v>
      </c>
      <c r="E708" s="2" t="s">
        <v>45</v>
      </c>
      <c r="F708" s="1">
        <v>46174</v>
      </c>
      <c r="G708" s="2" t="s">
        <v>31</v>
      </c>
    </row>
    <row r="709" spans="1:7" x14ac:dyDescent="0.3">
      <c r="A709" s="1">
        <v>46183</v>
      </c>
      <c r="B709">
        <v>2026</v>
      </c>
      <c r="C709" s="2" t="s">
        <v>42</v>
      </c>
      <c r="D709">
        <v>6</v>
      </c>
      <c r="E709" s="2" t="s">
        <v>45</v>
      </c>
      <c r="F709" s="1">
        <v>46174</v>
      </c>
      <c r="G709" s="2" t="s">
        <v>25</v>
      </c>
    </row>
    <row r="710" spans="1:7" x14ac:dyDescent="0.3">
      <c r="A710" s="1">
        <v>46184</v>
      </c>
      <c r="B710">
        <v>2026</v>
      </c>
      <c r="C710" s="2" t="s">
        <v>42</v>
      </c>
      <c r="D710">
        <v>6</v>
      </c>
      <c r="E710" s="2" t="s">
        <v>45</v>
      </c>
      <c r="F710" s="1">
        <v>46174</v>
      </c>
      <c r="G710" s="2" t="s">
        <v>26</v>
      </c>
    </row>
    <row r="711" spans="1:7" x14ac:dyDescent="0.3">
      <c r="A711" s="1">
        <v>46185</v>
      </c>
      <c r="B711">
        <v>2026</v>
      </c>
      <c r="C711" s="2" t="s">
        <v>42</v>
      </c>
      <c r="D711">
        <v>6</v>
      </c>
      <c r="E711" s="2" t="s">
        <v>45</v>
      </c>
      <c r="F711" s="1">
        <v>46174</v>
      </c>
      <c r="G711" s="2" t="s">
        <v>27</v>
      </c>
    </row>
    <row r="712" spans="1:7" x14ac:dyDescent="0.3">
      <c r="A712" s="1">
        <v>46186</v>
      </c>
      <c r="B712">
        <v>2026</v>
      </c>
      <c r="C712" s="2" t="s">
        <v>42</v>
      </c>
      <c r="D712">
        <v>6</v>
      </c>
      <c r="E712" s="2" t="s">
        <v>45</v>
      </c>
      <c r="F712" s="1">
        <v>46174</v>
      </c>
      <c r="G712" s="2" t="s">
        <v>28</v>
      </c>
    </row>
    <row r="713" spans="1:7" x14ac:dyDescent="0.3">
      <c r="A713" s="1">
        <v>46187</v>
      </c>
      <c r="B713">
        <v>2026</v>
      </c>
      <c r="C713" s="2" t="s">
        <v>42</v>
      </c>
      <c r="D713">
        <v>6</v>
      </c>
      <c r="E713" s="2" t="s">
        <v>45</v>
      </c>
      <c r="F713" s="1">
        <v>46174</v>
      </c>
      <c r="G713" s="2" t="s">
        <v>29</v>
      </c>
    </row>
    <row r="714" spans="1:7" x14ac:dyDescent="0.3">
      <c r="A714" s="1">
        <v>46188</v>
      </c>
      <c r="B714">
        <v>2026</v>
      </c>
      <c r="C714" s="2" t="s">
        <v>42</v>
      </c>
      <c r="D714">
        <v>6</v>
      </c>
      <c r="E714" s="2" t="s">
        <v>45</v>
      </c>
      <c r="F714" s="1">
        <v>46174</v>
      </c>
      <c r="G714" s="2" t="s">
        <v>30</v>
      </c>
    </row>
    <row r="715" spans="1:7" x14ac:dyDescent="0.3">
      <c r="A715" s="1">
        <v>46189</v>
      </c>
      <c r="B715">
        <v>2026</v>
      </c>
      <c r="C715" s="2" t="s">
        <v>42</v>
      </c>
      <c r="D715">
        <v>6</v>
      </c>
      <c r="E715" s="2" t="s">
        <v>45</v>
      </c>
      <c r="F715" s="1">
        <v>46174</v>
      </c>
      <c r="G715" s="2" t="s">
        <v>31</v>
      </c>
    </row>
    <row r="716" spans="1:7" x14ac:dyDescent="0.3">
      <c r="A716" s="1">
        <v>46190</v>
      </c>
      <c r="B716">
        <v>2026</v>
      </c>
      <c r="C716" s="2" t="s">
        <v>42</v>
      </c>
      <c r="D716">
        <v>6</v>
      </c>
      <c r="E716" s="2" t="s">
        <v>45</v>
      </c>
      <c r="F716" s="1">
        <v>46174</v>
      </c>
      <c r="G716" s="2" t="s">
        <v>25</v>
      </c>
    </row>
    <row r="717" spans="1:7" x14ac:dyDescent="0.3">
      <c r="A717" s="1">
        <v>46191</v>
      </c>
      <c r="B717">
        <v>2026</v>
      </c>
      <c r="C717" s="2" t="s">
        <v>42</v>
      </c>
      <c r="D717">
        <v>6</v>
      </c>
      <c r="E717" s="2" t="s">
        <v>45</v>
      </c>
      <c r="F717" s="1">
        <v>46174</v>
      </c>
      <c r="G717" s="2" t="s">
        <v>26</v>
      </c>
    </row>
    <row r="718" spans="1:7" x14ac:dyDescent="0.3">
      <c r="A718" s="1">
        <v>46192</v>
      </c>
      <c r="B718">
        <v>2026</v>
      </c>
      <c r="C718" s="2" t="s">
        <v>42</v>
      </c>
      <c r="D718">
        <v>6</v>
      </c>
      <c r="E718" s="2" t="s">
        <v>45</v>
      </c>
      <c r="F718" s="1">
        <v>46174</v>
      </c>
      <c r="G718" s="2" t="s">
        <v>27</v>
      </c>
    </row>
    <row r="719" spans="1:7" x14ac:dyDescent="0.3">
      <c r="A719" s="1">
        <v>46193</v>
      </c>
      <c r="B719">
        <v>2026</v>
      </c>
      <c r="C719" s="2" t="s">
        <v>42</v>
      </c>
      <c r="D719">
        <v>6</v>
      </c>
      <c r="E719" s="2" t="s">
        <v>45</v>
      </c>
      <c r="F719" s="1">
        <v>46174</v>
      </c>
      <c r="G719" s="2" t="s">
        <v>28</v>
      </c>
    </row>
    <row r="720" spans="1:7" x14ac:dyDescent="0.3">
      <c r="A720" s="1">
        <v>46194</v>
      </c>
      <c r="B720">
        <v>2026</v>
      </c>
      <c r="C720" s="2" t="s">
        <v>42</v>
      </c>
      <c r="D720">
        <v>6</v>
      </c>
      <c r="E720" s="2" t="s">
        <v>45</v>
      </c>
      <c r="F720" s="1">
        <v>46174</v>
      </c>
      <c r="G720" s="2" t="s">
        <v>29</v>
      </c>
    </row>
    <row r="721" spans="1:7" x14ac:dyDescent="0.3">
      <c r="A721" s="1">
        <v>46195</v>
      </c>
      <c r="B721">
        <v>2026</v>
      </c>
      <c r="C721" s="2" t="s">
        <v>42</v>
      </c>
      <c r="D721">
        <v>6</v>
      </c>
      <c r="E721" s="2" t="s">
        <v>45</v>
      </c>
      <c r="F721" s="1">
        <v>46174</v>
      </c>
      <c r="G721" s="2" t="s">
        <v>30</v>
      </c>
    </row>
    <row r="722" spans="1:7" x14ac:dyDescent="0.3">
      <c r="A722" s="1">
        <v>46196</v>
      </c>
      <c r="B722">
        <v>2026</v>
      </c>
      <c r="C722" s="2" t="s">
        <v>42</v>
      </c>
      <c r="D722">
        <v>6</v>
      </c>
      <c r="E722" s="2" t="s">
        <v>45</v>
      </c>
      <c r="F722" s="1">
        <v>46174</v>
      </c>
      <c r="G722" s="2" t="s">
        <v>31</v>
      </c>
    </row>
    <row r="723" spans="1:7" x14ac:dyDescent="0.3">
      <c r="A723" s="1">
        <v>46197</v>
      </c>
      <c r="B723">
        <v>2026</v>
      </c>
      <c r="C723" s="2" t="s">
        <v>42</v>
      </c>
      <c r="D723">
        <v>6</v>
      </c>
      <c r="E723" s="2" t="s">
        <v>45</v>
      </c>
      <c r="F723" s="1">
        <v>46174</v>
      </c>
      <c r="G723" s="2" t="s">
        <v>25</v>
      </c>
    </row>
    <row r="724" spans="1:7" x14ac:dyDescent="0.3">
      <c r="A724" s="1">
        <v>46198</v>
      </c>
      <c r="B724">
        <v>2026</v>
      </c>
      <c r="C724" s="2" t="s">
        <v>42</v>
      </c>
      <c r="D724">
        <v>6</v>
      </c>
      <c r="E724" s="2" t="s">
        <v>45</v>
      </c>
      <c r="F724" s="1">
        <v>46174</v>
      </c>
      <c r="G724" s="2" t="s">
        <v>26</v>
      </c>
    </row>
    <row r="725" spans="1:7" x14ac:dyDescent="0.3">
      <c r="A725" s="1">
        <v>46199</v>
      </c>
      <c r="B725">
        <v>2026</v>
      </c>
      <c r="C725" s="2" t="s">
        <v>42</v>
      </c>
      <c r="D725">
        <v>6</v>
      </c>
      <c r="E725" s="2" t="s">
        <v>45</v>
      </c>
      <c r="F725" s="1">
        <v>46174</v>
      </c>
      <c r="G725" s="2" t="s">
        <v>27</v>
      </c>
    </row>
    <row r="726" spans="1:7" x14ac:dyDescent="0.3">
      <c r="A726" s="1">
        <v>46200</v>
      </c>
      <c r="B726">
        <v>2026</v>
      </c>
      <c r="C726" s="2" t="s">
        <v>42</v>
      </c>
      <c r="D726">
        <v>6</v>
      </c>
      <c r="E726" s="2" t="s">
        <v>45</v>
      </c>
      <c r="F726" s="1">
        <v>46174</v>
      </c>
      <c r="G726" s="2" t="s">
        <v>28</v>
      </c>
    </row>
    <row r="727" spans="1:7" x14ac:dyDescent="0.3">
      <c r="A727" s="1">
        <v>46201</v>
      </c>
      <c r="B727">
        <v>2026</v>
      </c>
      <c r="C727" s="2" t="s">
        <v>42</v>
      </c>
      <c r="D727">
        <v>6</v>
      </c>
      <c r="E727" s="2" t="s">
        <v>45</v>
      </c>
      <c r="F727" s="1">
        <v>46174</v>
      </c>
      <c r="G727" s="2" t="s">
        <v>29</v>
      </c>
    </row>
    <row r="728" spans="1:7" x14ac:dyDescent="0.3">
      <c r="A728" s="1">
        <v>46202</v>
      </c>
      <c r="B728">
        <v>2026</v>
      </c>
      <c r="C728" s="2" t="s">
        <v>42</v>
      </c>
      <c r="D728">
        <v>6</v>
      </c>
      <c r="E728" s="2" t="s">
        <v>45</v>
      </c>
      <c r="F728" s="1">
        <v>46174</v>
      </c>
      <c r="G728" s="2" t="s">
        <v>30</v>
      </c>
    </row>
    <row r="729" spans="1:7" x14ac:dyDescent="0.3">
      <c r="A729" s="1">
        <v>46203</v>
      </c>
      <c r="B729">
        <v>2026</v>
      </c>
      <c r="C729" s="2" t="s">
        <v>42</v>
      </c>
      <c r="D729">
        <v>6</v>
      </c>
      <c r="E729" s="2" t="s">
        <v>45</v>
      </c>
      <c r="F729" s="1">
        <v>46174</v>
      </c>
      <c r="G729" s="2" t="s">
        <v>31</v>
      </c>
    </row>
    <row r="730" spans="1:7" x14ac:dyDescent="0.3">
      <c r="A730" s="1">
        <v>46204</v>
      </c>
      <c r="B730">
        <v>2026</v>
      </c>
      <c r="C730" s="2" t="s">
        <v>23</v>
      </c>
      <c r="D730">
        <v>7</v>
      </c>
      <c r="E730" s="2" t="s">
        <v>24</v>
      </c>
      <c r="F730" s="1">
        <v>46204</v>
      </c>
      <c r="G730" s="2" t="s">
        <v>25</v>
      </c>
    </row>
    <row r="731" spans="1:7" x14ac:dyDescent="0.3">
      <c r="A731" s="1">
        <v>46205</v>
      </c>
      <c r="B731">
        <v>2026</v>
      </c>
      <c r="C731" s="2" t="s">
        <v>23</v>
      </c>
      <c r="D731">
        <v>7</v>
      </c>
      <c r="E731" s="2" t="s">
        <v>24</v>
      </c>
      <c r="F731" s="1">
        <v>46204</v>
      </c>
      <c r="G731" s="2" t="s">
        <v>26</v>
      </c>
    </row>
    <row r="732" spans="1:7" x14ac:dyDescent="0.3">
      <c r="A732" s="1">
        <v>46206</v>
      </c>
      <c r="B732">
        <v>2026</v>
      </c>
      <c r="C732" s="2" t="s">
        <v>23</v>
      </c>
      <c r="D732">
        <v>7</v>
      </c>
      <c r="E732" s="2" t="s">
        <v>24</v>
      </c>
      <c r="F732" s="1">
        <v>46204</v>
      </c>
      <c r="G732" s="2" t="s">
        <v>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40DC-BAFF-4FA1-986B-B4E6F236B9BF}">
  <dimension ref="A1:E6"/>
  <sheetViews>
    <sheetView tabSelected="1" workbookViewId="0">
      <selection activeCell="G2" sqref="G2"/>
    </sheetView>
  </sheetViews>
  <sheetFormatPr defaultRowHeight="14.4" x14ac:dyDescent="0.3"/>
  <cols>
    <col min="1" max="1" width="12.109375" bestFit="1" customWidth="1"/>
    <col min="2" max="2" width="20.109375" bestFit="1" customWidth="1"/>
    <col min="3" max="3" width="21.88671875" bestFit="1" customWidth="1"/>
    <col min="4" max="4" width="10" bestFit="1" customWidth="1"/>
    <col min="5" max="5" width="10.77734375" bestFit="1" customWidth="1"/>
    <col min="6" max="6" width="12.109375" bestFit="1" customWidth="1"/>
    <col min="7" max="7" width="20.109375" bestFit="1" customWidth="1"/>
    <col min="8" max="8" width="21.88671875" bestFit="1" customWidth="1"/>
    <col min="9" max="10" width="10.77734375" bestFit="1" customWidth="1"/>
  </cols>
  <sheetData>
    <row r="1" spans="1:5" x14ac:dyDescent="0.3">
      <c r="A1" t="s">
        <v>6</v>
      </c>
      <c r="B1" t="s">
        <v>46</v>
      </c>
      <c r="C1" t="s">
        <v>47</v>
      </c>
      <c r="D1" t="s">
        <v>48</v>
      </c>
      <c r="E1" t="s">
        <v>49</v>
      </c>
    </row>
    <row r="2" spans="1:5" x14ac:dyDescent="0.3">
      <c r="A2" s="2" t="s">
        <v>12</v>
      </c>
      <c r="B2" s="2" t="s">
        <v>50</v>
      </c>
      <c r="C2" s="2" t="s">
        <v>51</v>
      </c>
      <c r="D2" s="2" t="s">
        <v>52</v>
      </c>
      <c r="E2" s="2" t="s">
        <v>53</v>
      </c>
    </row>
    <row r="3" spans="1:5" x14ac:dyDescent="0.3">
      <c r="A3" s="2" t="s">
        <v>14</v>
      </c>
      <c r="B3" s="2" t="s">
        <v>54</v>
      </c>
      <c r="C3" s="2" t="s">
        <v>51</v>
      </c>
      <c r="D3" s="2" t="s">
        <v>52</v>
      </c>
      <c r="E3" s="2" t="s">
        <v>53</v>
      </c>
    </row>
    <row r="4" spans="1:5" x14ac:dyDescent="0.3">
      <c r="A4" s="2" t="s">
        <v>16</v>
      </c>
      <c r="B4" s="2" t="s">
        <v>55</v>
      </c>
      <c r="C4" s="2" t="s">
        <v>56</v>
      </c>
      <c r="D4" s="2" t="s">
        <v>52</v>
      </c>
      <c r="E4" s="2" t="s">
        <v>53</v>
      </c>
    </row>
    <row r="5" spans="1:5" x14ac:dyDescent="0.3">
      <c r="A5" s="2" t="s">
        <v>13</v>
      </c>
      <c r="B5" s="2" t="s">
        <v>57</v>
      </c>
      <c r="C5" s="2" t="s">
        <v>58</v>
      </c>
      <c r="D5" s="2" t="s">
        <v>52</v>
      </c>
      <c r="E5" s="2" t="s">
        <v>53</v>
      </c>
    </row>
    <row r="6" spans="1:5" x14ac:dyDescent="0.3">
      <c r="A6" s="2" t="s">
        <v>15</v>
      </c>
      <c r="B6" s="2" t="s">
        <v>59</v>
      </c>
      <c r="C6" s="2" t="s">
        <v>60</v>
      </c>
      <c r="D6" s="2" t="s">
        <v>61</v>
      </c>
      <c r="E6" s="2" t="s">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2B5B74-9246-48DB-858C-A273647EEF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Performance</vt:lpstr>
      <vt:lpstr>Trend</vt:lpstr>
      <vt:lpstr>Fact</vt:lpstr>
      <vt:lpstr>DimDate</vt:lpstr>
      <vt:lpstr>DimCompany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Mishank Jaiin</dc:creator>
  <cp:lastModifiedBy>Mishank Jaiin</cp:lastModifiedBy>
  <dcterms:created xsi:type="dcterms:W3CDTF">2026-07-06T09:42:57Z</dcterms:created>
  <dcterms:modified xsi:type="dcterms:W3CDTF">2026-07-06T10:47:52Z</dcterms:modified>
</cp:coreProperties>
</file>